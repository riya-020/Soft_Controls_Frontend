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WebsiteBackup\Soft_Controls_Frontend\public\data\"/>
    </mc:Choice>
  </mc:AlternateContent>
  <xr:revisionPtr revIDLastSave="0" documentId="13_ncr:1_{2691DE76-276A-4A54-8E6E-750B097009C6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Master Question Bank" sheetId="2" state="hidden" r:id="rId1"/>
    <sheet name="FinalQuestions" sheetId="8" r:id="rId2"/>
    <sheet name="Sheet2" sheetId="29" r:id="rId3"/>
    <sheet name="Responses" sheetId="7" r:id="rId4"/>
    <sheet name="Function_SC" sheetId="24" r:id="rId5"/>
    <sheet name="Sheet1" sheetId="28" r:id="rId6"/>
    <sheet name="Culture_Risk_Index" sheetId="16" r:id="rId7"/>
    <sheet name="Sector benchmark score" sheetId="25" r:id="rId8"/>
    <sheet name="Summary" sheetId="11" r:id="rId9"/>
    <sheet name="SOFT CONTROL SCORECARD" sheetId="9" r:id="rId10"/>
    <sheet name="SurveyForm" sheetId="12" r:id="rId11"/>
    <sheet name="Functions" sheetId="23" r:id="rId12"/>
    <sheet name="Dimension Sheet" sheetId="20" r:id="rId13"/>
    <sheet name="Flagged_Qs" sheetId="27" r:id="rId14"/>
    <sheet name="Recommendations" sheetId="10" r:id="rId15"/>
    <sheet name="Auto_Recommendations" sheetId="26" r:id="rId16"/>
    <sheet name="AllResponses" sheetId="15" r:id="rId17"/>
    <sheet name="Radar Chart" sheetId="17" r:id="rId18"/>
  </sheets>
  <definedNames>
    <definedName name="ExternalData_1" localSheetId="16" hidden="1">AllResponses!$A$1:$K$866</definedName>
  </definedNames>
  <calcPr calcId="191029"/>
  <pivotCaches>
    <pivotCache cacheId="0" r:id="rId19"/>
  </pivotCaches>
  <extLst>
    <ext xmlns:x15="http://schemas.microsoft.com/office/spreadsheetml/2010/11/main" uri="{FCE2AD5D-F65C-4FA6-A056-5C36A1767C68}">
      <x15:dataModel>
        <x15:modelTables>
          <x15:modelTable id="Table11  2_4b6892e3-623f-4af1-8a70-8abb7d22d160" name="Table11  2" connection="Query - Table1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B2" i="27" s="1"/>
  <c r="C12" i="27" l="1"/>
  <c r="C10" i="27"/>
  <c r="B18" i="27"/>
  <c r="C9" i="27"/>
  <c r="C8" i="27"/>
  <c r="B16" i="27"/>
  <c r="C7" i="27"/>
  <c r="D11" i="27"/>
  <c r="B14" i="27"/>
  <c r="C2" i="27"/>
  <c r="C5" i="27"/>
  <c r="B13" i="27"/>
  <c r="C18" i="27"/>
  <c r="C4" i="27"/>
  <c r="B12" i="27"/>
  <c r="C17" i="27"/>
  <c r="C3" i="27"/>
  <c r="B11" i="27"/>
  <c r="C16" i="27"/>
  <c r="B10" i="27"/>
  <c r="C15" i="27"/>
  <c r="D2" i="27"/>
  <c r="B9" i="27"/>
  <c r="C14" i="27"/>
  <c r="D18" i="27"/>
  <c r="B7" i="27"/>
  <c r="D16" i="27"/>
  <c r="B6" i="27"/>
  <c r="C11" i="27"/>
  <c r="D15" i="27"/>
  <c r="B5" i="27"/>
  <c r="D14" i="27"/>
  <c r="B4" i="27"/>
  <c r="D13" i="27"/>
  <c r="B17" i="27"/>
  <c r="B3" i="27"/>
  <c r="D12" i="27"/>
  <c r="B15" i="27"/>
  <c r="C6" i="27"/>
  <c r="D10" i="27"/>
  <c r="D9" i="27"/>
  <c r="D8" i="27"/>
  <c r="D7" i="27"/>
  <c r="D6" i="27"/>
  <c r="D5" i="27"/>
  <c r="D4" i="27"/>
  <c r="B8" i="27"/>
  <c r="C13" i="27"/>
  <c r="D17" i="27"/>
  <c r="D3" i="27"/>
  <c r="A11" i="24" a="1"/>
  <c r="A11" i="24" s="1"/>
  <c r="A2" i="24" a="1"/>
  <c r="A2" i="24" s="1"/>
  <c r="H5" i="7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A3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2" i="20"/>
  <c r="H2" i="7"/>
  <c r="H3" i="7"/>
  <c r="H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B3" i="16"/>
  <c r="B14" i="24" l="1"/>
  <c r="F25" i="20" a="1"/>
  <c r="F25" i="20" s="1"/>
  <c r="F23" i="20" a="1"/>
  <c r="F23" i="20" s="1"/>
  <c r="F22" i="20" a="1"/>
  <c r="F22" i="20" s="1"/>
  <c r="F14" i="20" a="1"/>
  <c r="F14" i="20" s="1"/>
  <c r="F9" i="20" a="1"/>
  <c r="F9" i="20" s="1"/>
  <c r="F7" i="20" a="1"/>
  <c r="F7" i="20" s="1"/>
  <c r="D20" i="20"/>
  <c r="F8" i="20" a="1"/>
  <c r="F8" i="20" s="1"/>
  <c r="F21" i="20" a="1"/>
  <c r="F21" i="20" s="1"/>
  <c r="G27" i="20"/>
  <c r="D16" i="20"/>
  <c r="D30" i="20"/>
  <c r="D2" i="20"/>
  <c r="D4" i="20"/>
  <c r="D18" i="20"/>
  <c r="D32" i="20"/>
  <c r="G29" i="20"/>
  <c r="G28" i="20"/>
  <c r="G25" i="20"/>
  <c r="G11" i="20"/>
  <c r="G13" i="20"/>
  <c r="G26" i="20"/>
  <c r="F12" i="20" a="1"/>
  <c r="F12" i="20" s="1"/>
  <c r="F11" i="20" a="1"/>
  <c r="F11" i="20" s="1"/>
  <c r="F28" i="20" a="1"/>
  <c r="F28" i="20" s="1"/>
  <c r="F26" i="20" a="1"/>
  <c r="F26" i="20" s="1"/>
  <c r="F13" i="20" a="1"/>
  <c r="F13" i="20" s="1"/>
  <c r="F20" i="20" a="1"/>
  <c r="F20" i="20" s="1"/>
  <c r="G33" i="20"/>
  <c r="F18" i="20" a="1"/>
  <c r="F18" i="20" s="1"/>
  <c r="F33" i="20" a="1"/>
  <c r="F33" i="20" s="1"/>
  <c r="G31" i="20"/>
  <c r="G17" i="20"/>
  <c r="D23" i="20"/>
  <c r="G14" i="20"/>
  <c r="G16" i="20"/>
  <c r="F27" i="20" a="1"/>
  <c r="F27" i="20" s="1"/>
  <c r="G15" i="20"/>
  <c r="D22" i="20"/>
  <c r="G8" i="20"/>
  <c r="D9" i="20"/>
  <c r="D8" i="20"/>
  <c r="F6" i="20" a="1"/>
  <c r="F6" i="20" s="1"/>
  <c r="G24" i="20"/>
  <c r="G10" i="20"/>
  <c r="D29" i="20"/>
  <c r="D15" i="20"/>
  <c r="F19" i="20" a="1"/>
  <c r="F19" i="20" s="1"/>
  <c r="F5" i="20" a="1"/>
  <c r="F5" i="20" s="1"/>
  <c r="G23" i="20"/>
  <c r="G9" i="20"/>
  <c r="D28" i="20"/>
  <c r="D14" i="20"/>
  <c r="F4" i="20" a="1"/>
  <c r="F4" i="20" s="1"/>
  <c r="G22" i="20"/>
  <c r="D27" i="20"/>
  <c r="D13" i="20"/>
  <c r="F31" i="20" a="1"/>
  <c r="F31" i="20" s="1"/>
  <c r="F2" i="20" a="1"/>
  <c r="F2" i="20" s="1"/>
  <c r="G21" i="20"/>
  <c r="G7" i="20"/>
  <c r="D26" i="20"/>
  <c r="D12" i="20"/>
  <c r="F32" i="20" a="1"/>
  <c r="F32" i="20" s="1"/>
  <c r="F30" i="20" a="1"/>
  <c r="F30" i="20" s="1"/>
  <c r="F16" i="20" a="1"/>
  <c r="F16" i="20" s="1"/>
  <c r="F3" i="20" a="1"/>
  <c r="F3" i="20" s="1"/>
  <c r="G20" i="20"/>
  <c r="G6" i="20"/>
  <c r="D25" i="20"/>
  <c r="D11" i="20"/>
  <c r="F17" i="20" a="1"/>
  <c r="F17" i="20" s="1"/>
  <c r="F29" i="20" a="1"/>
  <c r="F29" i="20" s="1"/>
  <c r="F15" i="20" a="1"/>
  <c r="F15" i="20" s="1"/>
  <c r="G19" i="20"/>
  <c r="G2" i="20"/>
  <c r="D24" i="20"/>
  <c r="D10" i="20"/>
  <c r="G32" i="20"/>
  <c r="G18" i="20"/>
  <c r="G5" i="20"/>
  <c r="G4" i="20"/>
  <c r="G30" i="20"/>
  <c r="G3" i="20"/>
  <c r="D21" i="20"/>
  <c r="D7" i="20"/>
  <c r="D6" i="20"/>
  <c r="F24" i="20" a="1"/>
  <c r="F24" i="20" s="1"/>
  <c r="F10" i="20" a="1"/>
  <c r="F10" i="20" s="1"/>
  <c r="D33" i="20"/>
  <c r="D19" i="20"/>
  <c r="D5" i="20"/>
  <c r="G12" i="20"/>
  <c r="D31" i="20"/>
  <c r="D17" i="20"/>
  <c r="D3" i="20"/>
  <c r="B34" i="17"/>
  <c r="C34" i="17"/>
  <c r="D34" i="17"/>
  <c r="B35" i="17"/>
  <c r="C35" i="17"/>
  <c r="D35" i="17"/>
  <c r="B36" i="17"/>
  <c r="C36" i="17"/>
  <c r="D36" i="17"/>
  <c r="B37" i="17"/>
  <c r="C37" i="17"/>
  <c r="D37" i="17"/>
  <c r="B38" i="17"/>
  <c r="C38" i="17"/>
  <c r="D38" i="17"/>
  <c r="B39" i="17"/>
  <c r="C39" i="17"/>
  <c r="D39" i="17"/>
  <c r="B40" i="17"/>
  <c r="C40" i="17"/>
  <c r="D40" i="17"/>
  <c r="B41" i="17"/>
  <c r="C41" i="17"/>
  <c r="D41" i="17"/>
  <c r="B4" i="16" l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E30" i="12"/>
  <c r="F30" i="12" s="1"/>
  <c r="E31" i="12"/>
  <c r="F31" i="12" s="1"/>
  <c r="E32" i="12"/>
  <c r="F32" i="12" s="1"/>
  <c r="E33" i="12"/>
  <c r="F33" i="12" s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F29" i="12"/>
  <c r="E34" i="12"/>
  <c r="F34" i="12" s="1"/>
  <c r="E35" i="12"/>
  <c r="F35" i="12" s="1"/>
  <c r="E36" i="12"/>
  <c r="F36" i="12" s="1"/>
  <c r="E5" i="12"/>
  <c r="F5" i="12" s="1"/>
  <c r="C6" i="12" a="1"/>
  <c r="C6" i="12" s="1"/>
  <c r="C7" i="12" a="1"/>
  <c r="C7" i="12" s="1"/>
  <c r="C8" i="12" a="1"/>
  <c r="C8" i="12" s="1"/>
  <c r="C9" i="12" a="1"/>
  <c r="C9" i="12" s="1"/>
  <c r="C10" i="12" a="1"/>
  <c r="C10" i="12" s="1"/>
  <c r="C11" i="12" a="1"/>
  <c r="C11" i="12" s="1"/>
  <c r="C12" i="12" a="1"/>
  <c r="C12" i="12" s="1"/>
  <c r="C13" i="12" a="1"/>
  <c r="C13" i="12" s="1"/>
  <c r="C14" i="12" a="1"/>
  <c r="C14" i="12" s="1"/>
  <c r="C15" i="12" a="1"/>
  <c r="C15" i="12" s="1"/>
  <c r="C16" i="12" a="1"/>
  <c r="C16" i="12" s="1"/>
  <c r="C17" i="12" a="1"/>
  <c r="C17" i="12" s="1"/>
  <c r="C18" i="12" a="1"/>
  <c r="C18" i="12" s="1"/>
  <c r="C19" i="12" a="1"/>
  <c r="C19" i="12" s="1"/>
  <c r="C20" i="12" a="1"/>
  <c r="C20" i="12" s="1"/>
  <c r="C21" i="12" a="1"/>
  <c r="C21" i="12" s="1"/>
  <c r="C22" i="12" a="1"/>
  <c r="C22" i="12" s="1"/>
  <c r="C23" i="12" a="1"/>
  <c r="C23" i="12" s="1"/>
  <c r="C24" i="12" a="1"/>
  <c r="C24" i="12" s="1"/>
  <c r="C25" i="12" a="1"/>
  <c r="C25" i="12" s="1"/>
  <c r="C26" i="12" a="1"/>
  <c r="C26" i="12" s="1"/>
  <c r="C27" i="12" a="1"/>
  <c r="C27" i="12" s="1"/>
  <c r="C28" i="12" a="1"/>
  <c r="C28" i="12" s="1"/>
  <c r="C29" i="12" a="1"/>
  <c r="C29" i="12" s="1"/>
  <c r="C30" i="12" a="1"/>
  <c r="C30" i="12" s="1"/>
  <c r="C31" i="12" a="1"/>
  <c r="C31" i="12" s="1"/>
  <c r="C32" i="12" a="1"/>
  <c r="C32" i="12" s="1"/>
  <c r="C33" i="12" a="1"/>
  <c r="C33" i="12" s="1"/>
  <c r="C34" i="12" a="1"/>
  <c r="C34" i="12" s="1"/>
  <c r="C35" i="12" a="1"/>
  <c r="C35" i="12" s="1"/>
  <c r="C36" i="12" a="1"/>
  <c r="C36" i="12" s="1"/>
  <c r="C5" i="12" a="1"/>
  <c r="C5" i="12" s="1"/>
  <c r="B33" i="12" a="1"/>
  <c r="B33" i="12" s="1"/>
  <c r="G33" i="12" s="1"/>
  <c r="B34" i="12" a="1"/>
  <c r="B34" i="12" s="1"/>
  <c r="G34" i="12" s="1"/>
  <c r="B35" i="12" a="1"/>
  <c r="B35" i="12" s="1"/>
  <c r="G35" i="12" s="1"/>
  <c r="B36" i="12" a="1"/>
  <c r="B36" i="12" s="1"/>
  <c r="G36" i="12" s="1"/>
  <c r="B11" i="12" a="1"/>
  <c r="B11" i="12" s="1"/>
  <c r="G11" i="12" s="1"/>
  <c r="B12" i="12" a="1"/>
  <c r="B12" i="12" s="1"/>
  <c r="G12" i="12" s="1"/>
  <c r="B13" i="12" a="1"/>
  <c r="B13" i="12" s="1"/>
  <c r="G13" i="12" s="1"/>
  <c r="B14" i="12" a="1"/>
  <c r="B14" i="12" s="1"/>
  <c r="G14" i="12" s="1"/>
  <c r="B15" i="12" a="1"/>
  <c r="B15" i="12" s="1"/>
  <c r="G15" i="12" s="1"/>
  <c r="B16" i="12" a="1"/>
  <c r="B16" i="12" s="1"/>
  <c r="G16" i="12" s="1"/>
  <c r="B17" i="12" a="1"/>
  <c r="B17" i="12" s="1"/>
  <c r="G17" i="12" s="1"/>
  <c r="B18" i="12" a="1"/>
  <c r="B18" i="12" s="1"/>
  <c r="G18" i="12" s="1"/>
  <c r="B19" i="12" a="1"/>
  <c r="B19" i="12" s="1"/>
  <c r="G19" i="12" s="1"/>
  <c r="B20" i="12" a="1"/>
  <c r="B20" i="12" s="1"/>
  <c r="G20" i="12" s="1"/>
  <c r="B21" i="12" a="1"/>
  <c r="B21" i="12" s="1"/>
  <c r="G21" i="12" s="1"/>
  <c r="B22" i="12" a="1"/>
  <c r="B22" i="12" s="1"/>
  <c r="G22" i="12" s="1"/>
  <c r="B23" i="12" a="1"/>
  <c r="B23" i="12" s="1"/>
  <c r="G23" i="12" s="1"/>
  <c r="B24" i="12" a="1"/>
  <c r="B24" i="12" s="1"/>
  <c r="G24" i="12" s="1"/>
  <c r="B25" i="12" a="1"/>
  <c r="B25" i="12" s="1"/>
  <c r="G25" i="12" s="1"/>
  <c r="B26" i="12" a="1"/>
  <c r="B26" i="12" s="1"/>
  <c r="G26" i="12" s="1"/>
  <c r="B27" i="12" a="1"/>
  <c r="B27" i="12" s="1"/>
  <c r="G27" i="12" s="1"/>
  <c r="B28" i="12" a="1"/>
  <c r="B28" i="12" s="1"/>
  <c r="G28" i="12" s="1"/>
  <c r="B29" i="12" a="1"/>
  <c r="B29" i="12" s="1"/>
  <c r="G29" i="12" s="1"/>
  <c r="B30" i="12" a="1"/>
  <c r="B30" i="12" s="1"/>
  <c r="G30" i="12" s="1"/>
  <c r="B31" i="12" a="1"/>
  <c r="B31" i="12" s="1"/>
  <c r="G31" i="12" s="1"/>
  <c r="B32" i="12" a="1"/>
  <c r="B32" i="12" s="1"/>
  <c r="G32" i="12" s="1"/>
  <c r="B6" i="12" a="1"/>
  <c r="B6" i="12" s="1"/>
  <c r="G6" i="12" s="1"/>
  <c r="B7" i="12" a="1"/>
  <c r="B7" i="12" s="1"/>
  <c r="G7" i="12" s="1"/>
  <c r="B8" i="12" a="1"/>
  <c r="B8" i="12" s="1"/>
  <c r="G8" i="12" s="1"/>
  <c r="B9" i="12" a="1"/>
  <c r="B9" i="12" s="1"/>
  <c r="G9" i="12" s="1"/>
  <c r="B10" i="12" a="1"/>
  <c r="B10" i="12" s="1"/>
  <c r="G10" i="12" s="1"/>
  <c r="B5" i="12" a="1"/>
  <c r="B5" i="12" s="1"/>
  <c r="G5" i="12" s="1"/>
  <c r="D20" i="7"/>
  <c r="D21" i="7"/>
  <c r="G224" i="7"/>
  <c r="G225" i="7"/>
  <c r="G226" i="7"/>
  <c r="D226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E802" i="7"/>
  <c r="F802" i="7" s="1"/>
  <c r="E803" i="7"/>
  <c r="F803" i="7" s="1"/>
  <c r="E804" i="7"/>
  <c r="F804" i="7" s="1"/>
  <c r="E805" i="7"/>
  <c r="F805" i="7" s="1"/>
  <c r="E806" i="7"/>
  <c r="F806" i="7" s="1"/>
  <c r="E807" i="7"/>
  <c r="F807" i="7" s="1"/>
  <c r="E808" i="7"/>
  <c r="F808" i="7" s="1"/>
  <c r="E809" i="7"/>
  <c r="F809" i="7" s="1"/>
  <c r="E810" i="7"/>
  <c r="F810" i="7" s="1"/>
  <c r="E811" i="7"/>
  <c r="F811" i="7" s="1"/>
  <c r="E812" i="7"/>
  <c r="F812" i="7" s="1"/>
  <c r="E813" i="7"/>
  <c r="F813" i="7" s="1"/>
  <c r="E814" i="7"/>
  <c r="F814" i="7" s="1"/>
  <c r="E815" i="7"/>
  <c r="F815" i="7" s="1"/>
  <c r="E816" i="7"/>
  <c r="F816" i="7" s="1"/>
  <c r="E817" i="7"/>
  <c r="F817" i="7" s="1"/>
  <c r="E818" i="7"/>
  <c r="F818" i="7" s="1"/>
  <c r="E819" i="7"/>
  <c r="F819" i="7" s="1"/>
  <c r="E820" i="7"/>
  <c r="F820" i="7" s="1"/>
  <c r="E821" i="7"/>
  <c r="F821" i="7" s="1"/>
  <c r="E822" i="7"/>
  <c r="F822" i="7" s="1"/>
  <c r="E823" i="7"/>
  <c r="F823" i="7" s="1"/>
  <c r="E824" i="7"/>
  <c r="F824" i="7" s="1"/>
  <c r="E825" i="7"/>
  <c r="F825" i="7" s="1"/>
  <c r="E826" i="7"/>
  <c r="F826" i="7" s="1"/>
  <c r="E827" i="7"/>
  <c r="F827" i="7" s="1"/>
  <c r="E828" i="7"/>
  <c r="F828" i="7" s="1"/>
  <c r="E829" i="7"/>
  <c r="F829" i="7" s="1"/>
  <c r="E830" i="7"/>
  <c r="F830" i="7" s="1"/>
  <c r="E831" i="7"/>
  <c r="F831" i="7" s="1"/>
  <c r="E832" i="7"/>
  <c r="F832" i="7" s="1"/>
  <c r="E833" i="7"/>
  <c r="F833" i="7" s="1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E770" i="7"/>
  <c r="F770" i="7" s="1"/>
  <c r="E771" i="7"/>
  <c r="F771" i="7" s="1"/>
  <c r="E772" i="7"/>
  <c r="F772" i="7" s="1"/>
  <c r="E773" i="7"/>
  <c r="F773" i="7" s="1"/>
  <c r="E774" i="7"/>
  <c r="F774" i="7" s="1"/>
  <c r="E775" i="7"/>
  <c r="F775" i="7" s="1"/>
  <c r="E776" i="7"/>
  <c r="F776" i="7" s="1"/>
  <c r="E777" i="7"/>
  <c r="F777" i="7" s="1"/>
  <c r="E778" i="7"/>
  <c r="F778" i="7" s="1"/>
  <c r="E779" i="7"/>
  <c r="F779" i="7" s="1"/>
  <c r="E780" i="7"/>
  <c r="F780" i="7" s="1"/>
  <c r="E781" i="7"/>
  <c r="F781" i="7" s="1"/>
  <c r="E782" i="7"/>
  <c r="F782" i="7" s="1"/>
  <c r="E783" i="7"/>
  <c r="F783" i="7" s="1"/>
  <c r="E784" i="7"/>
  <c r="F784" i="7" s="1"/>
  <c r="E785" i="7"/>
  <c r="F785" i="7" s="1"/>
  <c r="E786" i="7"/>
  <c r="F786" i="7" s="1"/>
  <c r="E787" i="7"/>
  <c r="F787" i="7" s="1"/>
  <c r="E788" i="7"/>
  <c r="F788" i="7" s="1"/>
  <c r="E789" i="7"/>
  <c r="F789" i="7" s="1"/>
  <c r="E790" i="7"/>
  <c r="F790" i="7" s="1"/>
  <c r="E791" i="7"/>
  <c r="F791" i="7" s="1"/>
  <c r="E792" i="7"/>
  <c r="F792" i="7" s="1"/>
  <c r="E793" i="7"/>
  <c r="F793" i="7" s="1"/>
  <c r="E794" i="7"/>
  <c r="F794" i="7" s="1"/>
  <c r="E795" i="7"/>
  <c r="F795" i="7" s="1"/>
  <c r="E796" i="7"/>
  <c r="F796" i="7" s="1"/>
  <c r="E797" i="7"/>
  <c r="F797" i="7" s="1"/>
  <c r="E798" i="7"/>
  <c r="F798" i="7" s="1"/>
  <c r="E799" i="7"/>
  <c r="F799" i="7" s="1"/>
  <c r="E800" i="7"/>
  <c r="F800" i="7" s="1"/>
  <c r="E801" i="7"/>
  <c r="F801" i="7" s="1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E738" i="7"/>
  <c r="F738" i="7" s="1"/>
  <c r="E739" i="7"/>
  <c r="F739" i="7" s="1"/>
  <c r="E740" i="7"/>
  <c r="F740" i="7" s="1"/>
  <c r="E741" i="7"/>
  <c r="F741" i="7" s="1"/>
  <c r="E742" i="7"/>
  <c r="F742" i="7" s="1"/>
  <c r="E743" i="7"/>
  <c r="F743" i="7" s="1"/>
  <c r="E744" i="7"/>
  <c r="F744" i="7" s="1"/>
  <c r="E745" i="7"/>
  <c r="F745" i="7" s="1"/>
  <c r="E746" i="7"/>
  <c r="F746" i="7" s="1"/>
  <c r="E747" i="7"/>
  <c r="F747" i="7" s="1"/>
  <c r="E748" i="7"/>
  <c r="F748" i="7" s="1"/>
  <c r="E749" i="7"/>
  <c r="F749" i="7" s="1"/>
  <c r="E750" i="7"/>
  <c r="F750" i="7" s="1"/>
  <c r="E751" i="7"/>
  <c r="F751" i="7" s="1"/>
  <c r="E752" i="7"/>
  <c r="F752" i="7" s="1"/>
  <c r="E753" i="7"/>
  <c r="F753" i="7" s="1"/>
  <c r="E754" i="7"/>
  <c r="F754" i="7" s="1"/>
  <c r="E755" i="7"/>
  <c r="F755" i="7" s="1"/>
  <c r="E756" i="7"/>
  <c r="F756" i="7" s="1"/>
  <c r="E757" i="7"/>
  <c r="F757" i="7" s="1"/>
  <c r="E758" i="7"/>
  <c r="F758" i="7" s="1"/>
  <c r="E759" i="7"/>
  <c r="F759" i="7" s="1"/>
  <c r="E760" i="7"/>
  <c r="F760" i="7" s="1"/>
  <c r="E761" i="7"/>
  <c r="F761" i="7" s="1"/>
  <c r="E762" i="7"/>
  <c r="F762" i="7" s="1"/>
  <c r="E763" i="7"/>
  <c r="F763" i="7" s="1"/>
  <c r="E764" i="7"/>
  <c r="F764" i="7" s="1"/>
  <c r="E765" i="7"/>
  <c r="F765" i="7" s="1"/>
  <c r="E766" i="7"/>
  <c r="F766" i="7" s="1"/>
  <c r="E767" i="7"/>
  <c r="F767" i="7" s="1"/>
  <c r="E768" i="7"/>
  <c r="F768" i="7" s="1"/>
  <c r="E769" i="7"/>
  <c r="F769" i="7" s="1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E706" i="7"/>
  <c r="F706" i="7" s="1"/>
  <c r="E707" i="7"/>
  <c r="F707" i="7" s="1"/>
  <c r="E708" i="7"/>
  <c r="F708" i="7" s="1"/>
  <c r="E709" i="7"/>
  <c r="F709" i="7" s="1"/>
  <c r="E710" i="7"/>
  <c r="F710" i="7" s="1"/>
  <c r="E711" i="7"/>
  <c r="F711" i="7" s="1"/>
  <c r="E712" i="7"/>
  <c r="F712" i="7" s="1"/>
  <c r="E713" i="7"/>
  <c r="F713" i="7" s="1"/>
  <c r="E714" i="7"/>
  <c r="F714" i="7" s="1"/>
  <c r="E715" i="7"/>
  <c r="F715" i="7" s="1"/>
  <c r="E716" i="7"/>
  <c r="F716" i="7" s="1"/>
  <c r="E717" i="7"/>
  <c r="F717" i="7" s="1"/>
  <c r="E718" i="7"/>
  <c r="F718" i="7" s="1"/>
  <c r="E719" i="7"/>
  <c r="F719" i="7" s="1"/>
  <c r="E720" i="7"/>
  <c r="F720" i="7" s="1"/>
  <c r="E721" i="7"/>
  <c r="F721" i="7" s="1"/>
  <c r="E722" i="7"/>
  <c r="F722" i="7" s="1"/>
  <c r="E723" i="7"/>
  <c r="F723" i="7" s="1"/>
  <c r="E724" i="7"/>
  <c r="F724" i="7" s="1"/>
  <c r="E725" i="7"/>
  <c r="F725" i="7" s="1"/>
  <c r="E726" i="7"/>
  <c r="F726" i="7" s="1"/>
  <c r="E727" i="7"/>
  <c r="F727" i="7" s="1"/>
  <c r="E728" i="7"/>
  <c r="F728" i="7" s="1"/>
  <c r="E729" i="7"/>
  <c r="F729" i="7" s="1"/>
  <c r="E730" i="7"/>
  <c r="F730" i="7" s="1"/>
  <c r="E731" i="7"/>
  <c r="F731" i="7" s="1"/>
  <c r="E732" i="7"/>
  <c r="F732" i="7" s="1"/>
  <c r="E733" i="7"/>
  <c r="F733" i="7" s="1"/>
  <c r="E734" i="7"/>
  <c r="F734" i="7" s="1"/>
  <c r="E735" i="7"/>
  <c r="F735" i="7" s="1"/>
  <c r="E736" i="7"/>
  <c r="F736" i="7" s="1"/>
  <c r="E737" i="7"/>
  <c r="F737" i="7" s="1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E674" i="7"/>
  <c r="F674" i="7" s="1"/>
  <c r="E675" i="7"/>
  <c r="F675" i="7" s="1"/>
  <c r="E676" i="7"/>
  <c r="F676" i="7" s="1"/>
  <c r="E677" i="7"/>
  <c r="F677" i="7" s="1"/>
  <c r="E678" i="7"/>
  <c r="F678" i="7" s="1"/>
  <c r="E679" i="7"/>
  <c r="F679" i="7" s="1"/>
  <c r="E680" i="7"/>
  <c r="F680" i="7" s="1"/>
  <c r="E681" i="7"/>
  <c r="F681" i="7" s="1"/>
  <c r="E682" i="7"/>
  <c r="F682" i="7" s="1"/>
  <c r="E683" i="7"/>
  <c r="F683" i="7" s="1"/>
  <c r="E684" i="7"/>
  <c r="F684" i="7" s="1"/>
  <c r="E685" i="7"/>
  <c r="F685" i="7" s="1"/>
  <c r="E686" i="7"/>
  <c r="F686" i="7" s="1"/>
  <c r="E687" i="7"/>
  <c r="F687" i="7" s="1"/>
  <c r="E688" i="7"/>
  <c r="F688" i="7" s="1"/>
  <c r="E689" i="7"/>
  <c r="F689" i="7" s="1"/>
  <c r="E690" i="7"/>
  <c r="F690" i="7" s="1"/>
  <c r="E691" i="7"/>
  <c r="F691" i="7" s="1"/>
  <c r="E692" i="7"/>
  <c r="F692" i="7" s="1"/>
  <c r="E693" i="7"/>
  <c r="F693" i="7" s="1"/>
  <c r="E694" i="7"/>
  <c r="F694" i="7" s="1"/>
  <c r="E695" i="7"/>
  <c r="F695" i="7" s="1"/>
  <c r="E696" i="7"/>
  <c r="F696" i="7" s="1"/>
  <c r="E697" i="7"/>
  <c r="F697" i="7" s="1"/>
  <c r="E698" i="7"/>
  <c r="F698" i="7" s="1"/>
  <c r="E699" i="7"/>
  <c r="F699" i="7" s="1"/>
  <c r="E700" i="7"/>
  <c r="F700" i="7" s="1"/>
  <c r="E701" i="7"/>
  <c r="F701" i="7" s="1"/>
  <c r="E702" i="7"/>
  <c r="F702" i="7" s="1"/>
  <c r="E703" i="7"/>
  <c r="F703" i="7" s="1"/>
  <c r="E704" i="7"/>
  <c r="F704" i="7" s="1"/>
  <c r="E705" i="7"/>
  <c r="F705" i="7" s="1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E642" i="7"/>
  <c r="F642" i="7" s="1"/>
  <c r="E643" i="7"/>
  <c r="F643" i="7" s="1"/>
  <c r="E644" i="7"/>
  <c r="F644" i="7" s="1"/>
  <c r="E645" i="7"/>
  <c r="F645" i="7" s="1"/>
  <c r="E646" i="7"/>
  <c r="F646" i="7" s="1"/>
  <c r="E647" i="7"/>
  <c r="F647" i="7" s="1"/>
  <c r="E648" i="7"/>
  <c r="F648" i="7" s="1"/>
  <c r="E649" i="7"/>
  <c r="F649" i="7" s="1"/>
  <c r="E650" i="7"/>
  <c r="F650" i="7" s="1"/>
  <c r="E651" i="7"/>
  <c r="F651" i="7" s="1"/>
  <c r="E652" i="7"/>
  <c r="F652" i="7" s="1"/>
  <c r="E653" i="7"/>
  <c r="F653" i="7" s="1"/>
  <c r="E654" i="7"/>
  <c r="F654" i="7" s="1"/>
  <c r="E655" i="7"/>
  <c r="F655" i="7" s="1"/>
  <c r="E656" i="7"/>
  <c r="F656" i="7" s="1"/>
  <c r="E657" i="7"/>
  <c r="F657" i="7" s="1"/>
  <c r="E658" i="7"/>
  <c r="F658" i="7" s="1"/>
  <c r="E659" i="7"/>
  <c r="F659" i="7" s="1"/>
  <c r="E660" i="7"/>
  <c r="F660" i="7" s="1"/>
  <c r="E661" i="7"/>
  <c r="F661" i="7" s="1"/>
  <c r="E662" i="7"/>
  <c r="F662" i="7" s="1"/>
  <c r="E663" i="7"/>
  <c r="F663" i="7" s="1"/>
  <c r="E664" i="7"/>
  <c r="F664" i="7" s="1"/>
  <c r="E665" i="7"/>
  <c r="F665" i="7" s="1"/>
  <c r="E666" i="7"/>
  <c r="F666" i="7" s="1"/>
  <c r="E667" i="7"/>
  <c r="F667" i="7" s="1"/>
  <c r="E668" i="7"/>
  <c r="F668" i="7" s="1"/>
  <c r="E669" i="7"/>
  <c r="F669" i="7" s="1"/>
  <c r="E670" i="7"/>
  <c r="F670" i="7" s="1"/>
  <c r="E671" i="7"/>
  <c r="F671" i="7" s="1"/>
  <c r="E672" i="7"/>
  <c r="F672" i="7" s="1"/>
  <c r="E673" i="7"/>
  <c r="F673" i="7" s="1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E610" i="7"/>
  <c r="F610" i="7" s="1"/>
  <c r="E611" i="7"/>
  <c r="F611" i="7" s="1"/>
  <c r="E612" i="7"/>
  <c r="F612" i="7" s="1"/>
  <c r="E613" i="7"/>
  <c r="F613" i="7" s="1"/>
  <c r="E614" i="7"/>
  <c r="F614" i="7" s="1"/>
  <c r="E615" i="7"/>
  <c r="F615" i="7" s="1"/>
  <c r="E616" i="7"/>
  <c r="F616" i="7" s="1"/>
  <c r="E617" i="7"/>
  <c r="F617" i="7" s="1"/>
  <c r="E618" i="7"/>
  <c r="F618" i="7" s="1"/>
  <c r="E619" i="7"/>
  <c r="F619" i="7" s="1"/>
  <c r="E620" i="7"/>
  <c r="F620" i="7" s="1"/>
  <c r="E621" i="7"/>
  <c r="F621" i="7" s="1"/>
  <c r="E622" i="7"/>
  <c r="F622" i="7" s="1"/>
  <c r="E623" i="7"/>
  <c r="F623" i="7" s="1"/>
  <c r="E624" i="7"/>
  <c r="F624" i="7" s="1"/>
  <c r="E625" i="7"/>
  <c r="F625" i="7" s="1"/>
  <c r="E626" i="7"/>
  <c r="F626" i="7" s="1"/>
  <c r="E627" i="7"/>
  <c r="F627" i="7" s="1"/>
  <c r="E628" i="7"/>
  <c r="F628" i="7" s="1"/>
  <c r="E629" i="7"/>
  <c r="F629" i="7" s="1"/>
  <c r="E630" i="7"/>
  <c r="F630" i="7" s="1"/>
  <c r="E631" i="7"/>
  <c r="F631" i="7" s="1"/>
  <c r="E632" i="7"/>
  <c r="F632" i="7" s="1"/>
  <c r="E633" i="7"/>
  <c r="F633" i="7" s="1"/>
  <c r="E634" i="7"/>
  <c r="F634" i="7" s="1"/>
  <c r="E635" i="7"/>
  <c r="F635" i="7" s="1"/>
  <c r="E636" i="7"/>
  <c r="F636" i="7" s="1"/>
  <c r="E637" i="7"/>
  <c r="F637" i="7" s="1"/>
  <c r="E638" i="7"/>
  <c r="F638" i="7" s="1"/>
  <c r="E639" i="7"/>
  <c r="F639" i="7" s="1"/>
  <c r="E640" i="7"/>
  <c r="F640" i="7" s="1"/>
  <c r="E641" i="7"/>
  <c r="F641" i="7" s="1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E578" i="7"/>
  <c r="F578" i="7" s="1"/>
  <c r="E579" i="7"/>
  <c r="F579" i="7" s="1"/>
  <c r="E580" i="7"/>
  <c r="F580" i="7" s="1"/>
  <c r="E581" i="7"/>
  <c r="F581" i="7" s="1"/>
  <c r="E582" i="7"/>
  <c r="F582" i="7" s="1"/>
  <c r="E583" i="7"/>
  <c r="F583" i="7" s="1"/>
  <c r="E584" i="7"/>
  <c r="F584" i="7" s="1"/>
  <c r="E585" i="7"/>
  <c r="F585" i="7" s="1"/>
  <c r="E586" i="7"/>
  <c r="F586" i="7" s="1"/>
  <c r="E587" i="7"/>
  <c r="F587" i="7" s="1"/>
  <c r="E588" i="7"/>
  <c r="F588" i="7" s="1"/>
  <c r="E589" i="7"/>
  <c r="F589" i="7" s="1"/>
  <c r="E590" i="7"/>
  <c r="F590" i="7" s="1"/>
  <c r="E591" i="7"/>
  <c r="F591" i="7" s="1"/>
  <c r="E592" i="7"/>
  <c r="F592" i="7" s="1"/>
  <c r="E593" i="7"/>
  <c r="F593" i="7" s="1"/>
  <c r="E594" i="7"/>
  <c r="F594" i="7" s="1"/>
  <c r="E595" i="7"/>
  <c r="F595" i="7" s="1"/>
  <c r="E596" i="7"/>
  <c r="F596" i="7" s="1"/>
  <c r="E597" i="7"/>
  <c r="F597" i="7" s="1"/>
  <c r="E598" i="7"/>
  <c r="F598" i="7" s="1"/>
  <c r="E599" i="7"/>
  <c r="F599" i="7" s="1"/>
  <c r="E600" i="7"/>
  <c r="F600" i="7" s="1"/>
  <c r="E601" i="7"/>
  <c r="F601" i="7" s="1"/>
  <c r="E602" i="7"/>
  <c r="F602" i="7" s="1"/>
  <c r="E603" i="7"/>
  <c r="F603" i="7" s="1"/>
  <c r="E604" i="7"/>
  <c r="F604" i="7" s="1"/>
  <c r="E605" i="7"/>
  <c r="F605" i="7" s="1"/>
  <c r="E606" i="7"/>
  <c r="F606" i="7" s="1"/>
  <c r="E607" i="7"/>
  <c r="F607" i="7" s="1"/>
  <c r="E608" i="7"/>
  <c r="F608" i="7" s="1"/>
  <c r="E609" i="7"/>
  <c r="F609" i="7" s="1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E546" i="7"/>
  <c r="F546" i="7" s="1"/>
  <c r="E547" i="7"/>
  <c r="F547" i="7" s="1"/>
  <c r="E548" i="7"/>
  <c r="F548" i="7" s="1"/>
  <c r="E549" i="7"/>
  <c r="F549" i="7" s="1"/>
  <c r="E550" i="7"/>
  <c r="F550" i="7" s="1"/>
  <c r="E551" i="7"/>
  <c r="F551" i="7" s="1"/>
  <c r="E552" i="7"/>
  <c r="F552" i="7" s="1"/>
  <c r="E553" i="7"/>
  <c r="F553" i="7" s="1"/>
  <c r="E554" i="7"/>
  <c r="F554" i="7" s="1"/>
  <c r="E555" i="7"/>
  <c r="F555" i="7" s="1"/>
  <c r="E556" i="7"/>
  <c r="F556" i="7" s="1"/>
  <c r="E557" i="7"/>
  <c r="F557" i="7" s="1"/>
  <c r="E558" i="7"/>
  <c r="F558" i="7" s="1"/>
  <c r="E559" i="7"/>
  <c r="F559" i="7" s="1"/>
  <c r="E560" i="7"/>
  <c r="F560" i="7" s="1"/>
  <c r="E561" i="7"/>
  <c r="F561" i="7" s="1"/>
  <c r="E562" i="7"/>
  <c r="F562" i="7" s="1"/>
  <c r="E563" i="7"/>
  <c r="F563" i="7" s="1"/>
  <c r="E564" i="7"/>
  <c r="F564" i="7" s="1"/>
  <c r="E565" i="7"/>
  <c r="F565" i="7" s="1"/>
  <c r="E566" i="7"/>
  <c r="F566" i="7" s="1"/>
  <c r="E567" i="7"/>
  <c r="F567" i="7" s="1"/>
  <c r="E568" i="7"/>
  <c r="F568" i="7" s="1"/>
  <c r="E569" i="7"/>
  <c r="F569" i="7" s="1"/>
  <c r="E570" i="7"/>
  <c r="F570" i="7" s="1"/>
  <c r="E571" i="7"/>
  <c r="F571" i="7" s="1"/>
  <c r="E572" i="7"/>
  <c r="F572" i="7" s="1"/>
  <c r="E573" i="7"/>
  <c r="F573" i="7" s="1"/>
  <c r="E574" i="7"/>
  <c r="F574" i="7" s="1"/>
  <c r="E575" i="7"/>
  <c r="F575" i="7" s="1"/>
  <c r="E576" i="7"/>
  <c r="F576" i="7" s="1"/>
  <c r="E577" i="7"/>
  <c r="F577" i="7" s="1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E514" i="7"/>
  <c r="F514" i="7" s="1"/>
  <c r="E515" i="7"/>
  <c r="F515" i="7" s="1"/>
  <c r="E516" i="7"/>
  <c r="F516" i="7" s="1"/>
  <c r="E517" i="7"/>
  <c r="F517" i="7" s="1"/>
  <c r="E518" i="7"/>
  <c r="F518" i="7" s="1"/>
  <c r="E519" i="7"/>
  <c r="F519" i="7" s="1"/>
  <c r="E520" i="7"/>
  <c r="F520" i="7" s="1"/>
  <c r="E521" i="7"/>
  <c r="F521" i="7" s="1"/>
  <c r="E522" i="7"/>
  <c r="F522" i="7" s="1"/>
  <c r="E523" i="7"/>
  <c r="F523" i="7" s="1"/>
  <c r="E524" i="7"/>
  <c r="F524" i="7" s="1"/>
  <c r="E525" i="7"/>
  <c r="F525" i="7" s="1"/>
  <c r="E526" i="7"/>
  <c r="F526" i="7" s="1"/>
  <c r="E527" i="7"/>
  <c r="F527" i="7" s="1"/>
  <c r="E528" i="7"/>
  <c r="F528" i="7" s="1"/>
  <c r="E529" i="7"/>
  <c r="F529" i="7" s="1"/>
  <c r="E530" i="7"/>
  <c r="F530" i="7" s="1"/>
  <c r="E531" i="7"/>
  <c r="F531" i="7" s="1"/>
  <c r="E532" i="7"/>
  <c r="F532" i="7" s="1"/>
  <c r="E533" i="7"/>
  <c r="F533" i="7" s="1"/>
  <c r="E534" i="7"/>
  <c r="F534" i="7" s="1"/>
  <c r="E535" i="7"/>
  <c r="F535" i="7" s="1"/>
  <c r="E536" i="7"/>
  <c r="F536" i="7" s="1"/>
  <c r="E537" i="7"/>
  <c r="F537" i="7" s="1"/>
  <c r="E538" i="7"/>
  <c r="F538" i="7" s="1"/>
  <c r="E539" i="7"/>
  <c r="F539" i="7" s="1"/>
  <c r="E540" i="7"/>
  <c r="F540" i="7" s="1"/>
  <c r="E541" i="7"/>
  <c r="F541" i="7" s="1"/>
  <c r="E542" i="7"/>
  <c r="F542" i="7" s="1"/>
  <c r="E543" i="7"/>
  <c r="F543" i="7" s="1"/>
  <c r="E544" i="7"/>
  <c r="F544" i="7" s="1"/>
  <c r="E545" i="7"/>
  <c r="F545" i="7" s="1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E482" i="7"/>
  <c r="F482" i="7" s="1"/>
  <c r="E483" i="7"/>
  <c r="F483" i="7" s="1"/>
  <c r="E484" i="7"/>
  <c r="F484" i="7" s="1"/>
  <c r="E485" i="7"/>
  <c r="F485" i="7" s="1"/>
  <c r="E486" i="7"/>
  <c r="F486" i="7" s="1"/>
  <c r="E487" i="7"/>
  <c r="F487" i="7" s="1"/>
  <c r="E488" i="7"/>
  <c r="F488" i="7" s="1"/>
  <c r="E489" i="7"/>
  <c r="F489" i="7" s="1"/>
  <c r="E490" i="7"/>
  <c r="F490" i="7" s="1"/>
  <c r="E491" i="7"/>
  <c r="F491" i="7" s="1"/>
  <c r="E492" i="7"/>
  <c r="F492" i="7" s="1"/>
  <c r="E493" i="7"/>
  <c r="F493" i="7" s="1"/>
  <c r="E494" i="7"/>
  <c r="F494" i="7" s="1"/>
  <c r="E495" i="7"/>
  <c r="F495" i="7" s="1"/>
  <c r="E496" i="7"/>
  <c r="F496" i="7" s="1"/>
  <c r="E497" i="7"/>
  <c r="F497" i="7" s="1"/>
  <c r="E498" i="7"/>
  <c r="F498" i="7" s="1"/>
  <c r="E499" i="7"/>
  <c r="F499" i="7" s="1"/>
  <c r="E500" i="7"/>
  <c r="F500" i="7" s="1"/>
  <c r="E501" i="7"/>
  <c r="F501" i="7" s="1"/>
  <c r="E502" i="7"/>
  <c r="F502" i="7" s="1"/>
  <c r="E503" i="7"/>
  <c r="F503" i="7" s="1"/>
  <c r="E504" i="7"/>
  <c r="F504" i="7" s="1"/>
  <c r="E505" i="7"/>
  <c r="F505" i="7" s="1"/>
  <c r="E506" i="7"/>
  <c r="F506" i="7" s="1"/>
  <c r="E507" i="7"/>
  <c r="F507" i="7" s="1"/>
  <c r="E508" i="7"/>
  <c r="F508" i="7" s="1"/>
  <c r="E509" i="7"/>
  <c r="F509" i="7" s="1"/>
  <c r="E510" i="7"/>
  <c r="F510" i="7" s="1"/>
  <c r="E511" i="7"/>
  <c r="F511" i="7" s="1"/>
  <c r="E512" i="7"/>
  <c r="F512" i="7" s="1"/>
  <c r="E513" i="7"/>
  <c r="F513" i="7" s="1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E450" i="7"/>
  <c r="F450" i="7" s="1"/>
  <c r="E451" i="7"/>
  <c r="F451" i="7" s="1"/>
  <c r="E452" i="7"/>
  <c r="F452" i="7" s="1"/>
  <c r="E453" i="7"/>
  <c r="F453" i="7" s="1"/>
  <c r="E454" i="7"/>
  <c r="F454" i="7" s="1"/>
  <c r="E455" i="7"/>
  <c r="F455" i="7" s="1"/>
  <c r="E456" i="7"/>
  <c r="F456" i="7" s="1"/>
  <c r="E457" i="7"/>
  <c r="F457" i="7" s="1"/>
  <c r="E458" i="7"/>
  <c r="F458" i="7" s="1"/>
  <c r="E459" i="7"/>
  <c r="F459" i="7" s="1"/>
  <c r="E460" i="7"/>
  <c r="F460" i="7" s="1"/>
  <c r="E461" i="7"/>
  <c r="F461" i="7" s="1"/>
  <c r="E462" i="7"/>
  <c r="F462" i="7" s="1"/>
  <c r="E463" i="7"/>
  <c r="F463" i="7" s="1"/>
  <c r="E464" i="7"/>
  <c r="F464" i="7" s="1"/>
  <c r="E465" i="7"/>
  <c r="F465" i="7" s="1"/>
  <c r="E466" i="7"/>
  <c r="F466" i="7" s="1"/>
  <c r="E467" i="7"/>
  <c r="F467" i="7" s="1"/>
  <c r="E468" i="7"/>
  <c r="F468" i="7" s="1"/>
  <c r="E469" i="7"/>
  <c r="F469" i="7" s="1"/>
  <c r="E470" i="7"/>
  <c r="F470" i="7" s="1"/>
  <c r="E471" i="7"/>
  <c r="F471" i="7" s="1"/>
  <c r="E472" i="7"/>
  <c r="F472" i="7" s="1"/>
  <c r="E473" i="7"/>
  <c r="F473" i="7" s="1"/>
  <c r="E474" i="7"/>
  <c r="F474" i="7" s="1"/>
  <c r="E475" i="7"/>
  <c r="F475" i="7" s="1"/>
  <c r="E476" i="7"/>
  <c r="F476" i="7" s="1"/>
  <c r="E477" i="7"/>
  <c r="F477" i="7" s="1"/>
  <c r="E478" i="7"/>
  <c r="F478" i="7" s="1"/>
  <c r="E479" i="7"/>
  <c r="F479" i="7" s="1"/>
  <c r="E480" i="7"/>
  <c r="F480" i="7" s="1"/>
  <c r="E481" i="7"/>
  <c r="F481" i="7" s="1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E418" i="7"/>
  <c r="F418" i="7" s="1"/>
  <c r="E419" i="7"/>
  <c r="F419" i="7" s="1"/>
  <c r="E420" i="7"/>
  <c r="F420" i="7" s="1"/>
  <c r="E421" i="7"/>
  <c r="F421" i="7" s="1"/>
  <c r="E422" i="7"/>
  <c r="F422" i="7" s="1"/>
  <c r="E423" i="7"/>
  <c r="F423" i="7" s="1"/>
  <c r="E424" i="7"/>
  <c r="F424" i="7" s="1"/>
  <c r="E425" i="7"/>
  <c r="F425" i="7" s="1"/>
  <c r="E426" i="7"/>
  <c r="F426" i="7" s="1"/>
  <c r="E427" i="7"/>
  <c r="F427" i="7" s="1"/>
  <c r="E428" i="7"/>
  <c r="F428" i="7" s="1"/>
  <c r="E429" i="7"/>
  <c r="F429" i="7" s="1"/>
  <c r="E430" i="7"/>
  <c r="F430" i="7" s="1"/>
  <c r="E431" i="7"/>
  <c r="F431" i="7" s="1"/>
  <c r="E432" i="7"/>
  <c r="F432" i="7" s="1"/>
  <c r="E433" i="7"/>
  <c r="F433" i="7" s="1"/>
  <c r="E434" i="7"/>
  <c r="F434" i="7" s="1"/>
  <c r="E435" i="7"/>
  <c r="F435" i="7" s="1"/>
  <c r="E436" i="7"/>
  <c r="F436" i="7" s="1"/>
  <c r="E437" i="7"/>
  <c r="F437" i="7" s="1"/>
  <c r="E438" i="7"/>
  <c r="F438" i="7" s="1"/>
  <c r="E439" i="7"/>
  <c r="F439" i="7" s="1"/>
  <c r="E440" i="7"/>
  <c r="F440" i="7" s="1"/>
  <c r="E441" i="7"/>
  <c r="F441" i="7" s="1"/>
  <c r="E442" i="7"/>
  <c r="F442" i="7" s="1"/>
  <c r="E443" i="7"/>
  <c r="F443" i="7" s="1"/>
  <c r="E444" i="7"/>
  <c r="F444" i="7" s="1"/>
  <c r="E445" i="7"/>
  <c r="F445" i="7" s="1"/>
  <c r="E446" i="7"/>
  <c r="F446" i="7" s="1"/>
  <c r="E447" i="7"/>
  <c r="F447" i="7" s="1"/>
  <c r="E448" i="7"/>
  <c r="F448" i="7" s="1"/>
  <c r="E449" i="7"/>
  <c r="F449" i="7" s="1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E386" i="7"/>
  <c r="F386" i="7" s="1"/>
  <c r="E387" i="7"/>
  <c r="F387" i="7" s="1"/>
  <c r="E388" i="7"/>
  <c r="F388" i="7" s="1"/>
  <c r="E389" i="7"/>
  <c r="F389" i="7" s="1"/>
  <c r="E390" i="7"/>
  <c r="F390" i="7" s="1"/>
  <c r="E391" i="7"/>
  <c r="F391" i="7" s="1"/>
  <c r="E392" i="7"/>
  <c r="F392" i="7" s="1"/>
  <c r="E393" i="7"/>
  <c r="F393" i="7" s="1"/>
  <c r="E394" i="7"/>
  <c r="F394" i="7" s="1"/>
  <c r="E395" i="7"/>
  <c r="F395" i="7" s="1"/>
  <c r="E396" i="7"/>
  <c r="F396" i="7" s="1"/>
  <c r="E397" i="7"/>
  <c r="F397" i="7" s="1"/>
  <c r="E398" i="7"/>
  <c r="F398" i="7" s="1"/>
  <c r="E399" i="7"/>
  <c r="F399" i="7" s="1"/>
  <c r="E400" i="7"/>
  <c r="F400" i="7" s="1"/>
  <c r="E401" i="7"/>
  <c r="F401" i="7" s="1"/>
  <c r="E402" i="7"/>
  <c r="F402" i="7" s="1"/>
  <c r="E403" i="7"/>
  <c r="F403" i="7" s="1"/>
  <c r="E404" i="7"/>
  <c r="F404" i="7" s="1"/>
  <c r="E405" i="7"/>
  <c r="F405" i="7" s="1"/>
  <c r="E406" i="7"/>
  <c r="F406" i="7" s="1"/>
  <c r="E407" i="7"/>
  <c r="F407" i="7" s="1"/>
  <c r="E408" i="7"/>
  <c r="F408" i="7" s="1"/>
  <c r="E409" i="7"/>
  <c r="F409" i="7" s="1"/>
  <c r="E410" i="7"/>
  <c r="F410" i="7" s="1"/>
  <c r="E411" i="7"/>
  <c r="F411" i="7" s="1"/>
  <c r="E412" i="7"/>
  <c r="F412" i="7" s="1"/>
  <c r="E413" i="7"/>
  <c r="F413" i="7" s="1"/>
  <c r="E414" i="7"/>
  <c r="F414" i="7" s="1"/>
  <c r="E415" i="7"/>
  <c r="F415" i="7" s="1"/>
  <c r="E416" i="7"/>
  <c r="F416" i="7" s="1"/>
  <c r="E417" i="7"/>
  <c r="F417" i="7" s="1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E354" i="7"/>
  <c r="F354" i="7" s="1"/>
  <c r="E355" i="7"/>
  <c r="F355" i="7" s="1"/>
  <c r="E356" i="7"/>
  <c r="F356" i="7" s="1"/>
  <c r="E357" i="7"/>
  <c r="F357" i="7" s="1"/>
  <c r="E358" i="7"/>
  <c r="F358" i="7" s="1"/>
  <c r="E359" i="7"/>
  <c r="F359" i="7" s="1"/>
  <c r="B16" i="24" s="1"/>
  <c r="E360" i="7"/>
  <c r="F360" i="7" s="1"/>
  <c r="E361" i="7"/>
  <c r="F361" i="7" s="1"/>
  <c r="E362" i="7"/>
  <c r="F362" i="7" s="1"/>
  <c r="E363" i="7"/>
  <c r="F363" i="7" s="1"/>
  <c r="E364" i="7"/>
  <c r="F364" i="7" s="1"/>
  <c r="E365" i="7"/>
  <c r="F365" i="7" s="1"/>
  <c r="E366" i="7"/>
  <c r="F366" i="7" s="1"/>
  <c r="E367" i="7"/>
  <c r="F367" i="7" s="1"/>
  <c r="E368" i="7"/>
  <c r="F368" i="7" s="1"/>
  <c r="E369" i="7"/>
  <c r="F369" i="7" s="1"/>
  <c r="E370" i="7"/>
  <c r="F370" i="7" s="1"/>
  <c r="E371" i="7"/>
  <c r="F371" i="7" s="1"/>
  <c r="E372" i="7"/>
  <c r="F372" i="7" s="1"/>
  <c r="E373" i="7"/>
  <c r="F373" i="7" s="1"/>
  <c r="E374" i="7"/>
  <c r="F374" i="7" s="1"/>
  <c r="E375" i="7"/>
  <c r="F375" i="7" s="1"/>
  <c r="E376" i="7"/>
  <c r="F376" i="7" s="1"/>
  <c r="E377" i="7"/>
  <c r="F377" i="7" s="1"/>
  <c r="E378" i="7"/>
  <c r="F378" i="7" s="1"/>
  <c r="E379" i="7"/>
  <c r="F379" i="7" s="1"/>
  <c r="E380" i="7"/>
  <c r="F380" i="7" s="1"/>
  <c r="E381" i="7"/>
  <c r="F381" i="7" s="1"/>
  <c r="E382" i="7"/>
  <c r="F382" i="7" s="1"/>
  <c r="E383" i="7"/>
  <c r="F383" i="7" s="1"/>
  <c r="E384" i="7"/>
  <c r="F384" i="7" s="1"/>
  <c r="E385" i="7"/>
  <c r="F385" i="7" s="1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E322" i="7"/>
  <c r="F322" i="7" s="1"/>
  <c r="E323" i="7"/>
  <c r="F323" i="7" s="1"/>
  <c r="E324" i="7"/>
  <c r="F324" i="7" s="1"/>
  <c r="E325" i="7"/>
  <c r="F325" i="7" s="1"/>
  <c r="E326" i="7"/>
  <c r="F326" i="7" s="1"/>
  <c r="E327" i="7"/>
  <c r="F327" i="7" s="1"/>
  <c r="E328" i="7"/>
  <c r="F328" i="7" s="1"/>
  <c r="E329" i="7"/>
  <c r="F329" i="7" s="1"/>
  <c r="E330" i="7"/>
  <c r="F330" i="7" s="1"/>
  <c r="E331" i="7"/>
  <c r="F331" i="7" s="1"/>
  <c r="E332" i="7"/>
  <c r="F332" i="7" s="1"/>
  <c r="E333" i="7"/>
  <c r="F333" i="7" s="1"/>
  <c r="E334" i="7"/>
  <c r="F334" i="7" s="1"/>
  <c r="E335" i="7"/>
  <c r="F335" i="7" s="1"/>
  <c r="E336" i="7"/>
  <c r="F336" i="7" s="1"/>
  <c r="E337" i="7"/>
  <c r="F337" i="7" s="1"/>
  <c r="E338" i="7"/>
  <c r="F338" i="7" s="1"/>
  <c r="E339" i="7"/>
  <c r="F339" i="7" s="1"/>
  <c r="E340" i="7"/>
  <c r="F340" i="7" s="1"/>
  <c r="E341" i="7"/>
  <c r="F341" i="7" s="1"/>
  <c r="E342" i="7"/>
  <c r="F342" i="7" s="1"/>
  <c r="E343" i="7"/>
  <c r="F343" i="7" s="1"/>
  <c r="E344" i="7"/>
  <c r="F344" i="7" s="1"/>
  <c r="E345" i="7"/>
  <c r="F345" i="7" s="1"/>
  <c r="E346" i="7"/>
  <c r="F346" i="7" s="1"/>
  <c r="E347" i="7"/>
  <c r="F347" i="7" s="1"/>
  <c r="E348" i="7"/>
  <c r="F348" i="7" s="1"/>
  <c r="E349" i="7"/>
  <c r="F349" i="7" s="1"/>
  <c r="E350" i="7"/>
  <c r="F350" i="7" s="1"/>
  <c r="E351" i="7"/>
  <c r="F351" i="7" s="1"/>
  <c r="E352" i="7"/>
  <c r="F352" i="7" s="1"/>
  <c r="E353" i="7"/>
  <c r="F353" i="7" s="1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E290" i="7"/>
  <c r="F290" i="7" s="1"/>
  <c r="E291" i="7"/>
  <c r="F291" i="7" s="1"/>
  <c r="E292" i="7"/>
  <c r="F292" i="7" s="1"/>
  <c r="E293" i="7"/>
  <c r="F293" i="7" s="1"/>
  <c r="E294" i="7"/>
  <c r="F294" i="7" s="1"/>
  <c r="E295" i="7"/>
  <c r="F295" i="7" s="1"/>
  <c r="E296" i="7"/>
  <c r="F296" i="7" s="1"/>
  <c r="E297" i="7"/>
  <c r="F297" i="7" s="1"/>
  <c r="E298" i="7"/>
  <c r="F298" i="7" s="1"/>
  <c r="E299" i="7"/>
  <c r="F299" i="7" s="1"/>
  <c r="E300" i="7"/>
  <c r="F300" i="7" s="1"/>
  <c r="E301" i="7"/>
  <c r="F301" i="7" s="1"/>
  <c r="E302" i="7"/>
  <c r="F302" i="7" s="1"/>
  <c r="E303" i="7"/>
  <c r="F303" i="7" s="1"/>
  <c r="E304" i="7"/>
  <c r="F304" i="7" s="1"/>
  <c r="E305" i="7"/>
  <c r="F305" i="7" s="1"/>
  <c r="E306" i="7"/>
  <c r="F306" i="7" s="1"/>
  <c r="E307" i="7"/>
  <c r="F307" i="7" s="1"/>
  <c r="E308" i="7"/>
  <c r="F308" i="7" s="1"/>
  <c r="E309" i="7"/>
  <c r="F309" i="7" s="1"/>
  <c r="E310" i="7"/>
  <c r="F310" i="7" s="1"/>
  <c r="E311" i="7"/>
  <c r="F311" i="7" s="1"/>
  <c r="E312" i="7"/>
  <c r="F312" i="7" s="1"/>
  <c r="E313" i="7"/>
  <c r="F313" i="7" s="1"/>
  <c r="E314" i="7"/>
  <c r="F314" i="7" s="1"/>
  <c r="E315" i="7"/>
  <c r="F315" i="7" s="1"/>
  <c r="E316" i="7"/>
  <c r="F316" i="7" s="1"/>
  <c r="E317" i="7"/>
  <c r="F317" i="7" s="1"/>
  <c r="E318" i="7"/>
  <c r="F318" i="7" s="1"/>
  <c r="E319" i="7"/>
  <c r="F319" i="7" s="1"/>
  <c r="E320" i="7"/>
  <c r="F320" i="7" s="1"/>
  <c r="E321" i="7"/>
  <c r="F321" i="7" s="1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E258" i="7"/>
  <c r="F258" i="7" s="1"/>
  <c r="E259" i="7"/>
  <c r="F259" i="7" s="1"/>
  <c r="E260" i="7"/>
  <c r="F260" i="7" s="1"/>
  <c r="E261" i="7"/>
  <c r="F261" i="7" s="1"/>
  <c r="E262" i="7"/>
  <c r="F262" i="7" s="1"/>
  <c r="E263" i="7"/>
  <c r="F263" i="7" s="1"/>
  <c r="E264" i="7"/>
  <c r="F264" i="7" s="1"/>
  <c r="E265" i="7"/>
  <c r="F265" i="7" s="1"/>
  <c r="E266" i="7"/>
  <c r="F266" i="7" s="1"/>
  <c r="E267" i="7"/>
  <c r="F267" i="7" s="1"/>
  <c r="E268" i="7"/>
  <c r="F268" i="7" s="1"/>
  <c r="E269" i="7"/>
  <c r="F269" i="7" s="1"/>
  <c r="E270" i="7"/>
  <c r="F270" i="7" s="1"/>
  <c r="E271" i="7"/>
  <c r="F271" i="7" s="1"/>
  <c r="E272" i="7"/>
  <c r="F272" i="7" s="1"/>
  <c r="E273" i="7"/>
  <c r="F273" i="7" s="1"/>
  <c r="E274" i="7"/>
  <c r="F274" i="7" s="1"/>
  <c r="E275" i="7"/>
  <c r="F275" i="7" s="1"/>
  <c r="E276" i="7"/>
  <c r="F276" i="7" s="1"/>
  <c r="E277" i="7"/>
  <c r="F277" i="7" s="1"/>
  <c r="E278" i="7"/>
  <c r="F278" i="7" s="1"/>
  <c r="E279" i="7"/>
  <c r="F279" i="7" s="1"/>
  <c r="E280" i="7"/>
  <c r="F280" i="7" s="1"/>
  <c r="E281" i="7"/>
  <c r="F281" i="7" s="1"/>
  <c r="E282" i="7"/>
  <c r="F282" i="7" s="1"/>
  <c r="E283" i="7"/>
  <c r="F283" i="7" s="1"/>
  <c r="E284" i="7"/>
  <c r="F284" i="7" s="1"/>
  <c r="E285" i="7"/>
  <c r="F285" i="7" s="1"/>
  <c r="E286" i="7"/>
  <c r="F286" i="7" s="1"/>
  <c r="E287" i="7"/>
  <c r="F287" i="7" s="1"/>
  <c r="E288" i="7"/>
  <c r="F288" i="7" s="1"/>
  <c r="E289" i="7"/>
  <c r="F289" i="7" s="1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E227" i="7"/>
  <c r="F227" i="7" s="1"/>
  <c r="E228" i="7"/>
  <c r="F228" i="7" s="1"/>
  <c r="E229" i="7"/>
  <c r="F229" i="7" s="1"/>
  <c r="E230" i="7"/>
  <c r="F230" i="7" s="1"/>
  <c r="E231" i="7"/>
  <c r="F231" i="7" s="1"/>
  <c r="E232" i="7"/>
  <c r="F232" i="7" s="1"/>
  <c r="E233" i="7"/>
  <c r="F233" i="7" s="1"/>
  <c r="E234" i="7"/>
  <c r="F234" i="7" s="1"/>
  <c r="E235" i="7"/>
  <c r="F235" i="7" s="1"/>
  <c r="E236" i="7"/>
  <c r="F236" i="7" s="1"/>
  <c r="E237" i="7"/>
  <c r="F237" i="7" s="1"/>
  <c r="E238" i="7"/>
  <c r="F238" i="7" s="1"/>
  <c r="E239" i="7"/>
  <c r="F239" i="7" s="1"/>
  <c r="E240" i="7"/>
  <c r="F240" i="7" s="1"/>
  <c r="E241" i="7"/>
  <c r="F241" i="7" s="1"/>
  <c r="E242" i="7"/>
  <c r="F242" i="7" s="1"/>
  <c r="E243" i="7"/>
  <c r="F243" i="7" s="1"/>
  <c r="E244" i="7"/>
  <c r="F244" i="7" s="1"/>
  <c r="E245" i="7"/>
  <c r="F245" i="7" s="1"/>
  <c r="E246" i="7"/>
  <c r="F246" i="7" s="1"/>
  <c r="E247" i="7"/>
  <c r="F247" i="7" s="1"/>
  <c r="E248" i="7"/>
  <c r="F248" i="7" s="1"/>
  <c r="E249" i="7"/>
  <c r="F249" i="7" s="1"/>
  <c r="E250" i="7"/>
  <c r="F250" i="7" s="1"/>
  <c r="E251" i="7"/>
  <c r="F251" i="7" s="1"/>
  <c r="E252" i="7"/>
  <c r="F252" i="7" s="1"/>
  <c r="E253" i="7"/>
  <c r="F253" i="7" s="1"/>
  <c r="E254" i="7"/>
  <c r="F254" i="7" s="1"/>
  <c r="E255" i="7"/>
  <c r="F255" i="7" s="1"/>
  <c r="E256" i="7"/>
  <c r="F256" i="7" s="1"/>
  <c r="E257" i="7"/>
  <c r="F257" i="7" s="1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E226" i="7"/>
  <c r="F226" i="7" s="1"/>
  <c r="D182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C2" i="20" s="1"/>
  <c r="E2" i="20" s="1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E195" i="7"/>
  <c r="F195" i="7" s="1"/>
  <c r="E196" i="7"/>
  <c r="F196" i="7" s="1"/>
  <c r="E197" i="7"/>
  <c r="F197" i="7" s="1"/>
  <c r="E198" i="7"/>
  <c r="F198" i="7" s="1"/>
  <c r="E199" i="7"/>
  <c r="F199" i="7" s="1"/>
  <c r="E200" i="7"/>
  <c r="F200" i="7" s="1"/>
  <c r="E201" i="7"/>
  <c r="F201" i="7" s="1"/>
  <c r="E202" i="7"/>
  <c r="F202" i="7" s="1"/>
  <c r="E203" i="7"/>
  <c r="F203" i="7" s="1"/>
  <c r="E204" i="7"/>
  <c r="F204" i="7" s="1"/>
  <c r="E205" i="7"/>
  <c r="F205" i="7" s="1"/>
  <c r="E206" i="7"/>
  <c r="F206" i="7" s="1"/>
  <c r="E207" i="7"/>
  <c r="F207" i="7" s="1"/>
  <c r="E208" i="7"/>
  <c r="F208" i="7" s="1"/>
  <c r="E209" i="7"/>
  <c r="F209" i="7" s="1"/>
  <c r="E210" i="7"/>
  <c r="F210" i="7" s="1"/>
  <c r="E211" i="7"/>
  <c r="F211" i="7" s="1"/>
  <c r="E212" i="7"/>
  <c r="F212" i="7" s="1"/>
  <c r="E213" i="7"/>
  <c r="F213" i="7" s="1"/>
  <c r="E214" i="7"/>
  <c r="F214" i="7" s="1"/>
  <c r="E215" i="7"/>
  <c r="F215" i="7" s="1"/>
  <c r="E216" i="7"/>
  <c r="F216" i="7" s="1"/>
  <c r="E217" i="7"/>
  <c r="F217" i="7" s="1"/>
  <c r="E218" i="7"/>
  <c r="F218" i="7" s="1"/>
  <c r="E219" i="7"/>
  <c r="F219" i="7" s="1"/>
  <c r="E220" i="7"/>
  <c r="F220" i="7" s="1"/>
  <c r="E221" i="7"/>
  <c r="F221" i="7" s="1"/>
  <c r="E222" i="7"/>
  <c r="F222" i="7" s="1"/>
  <c r="E223" i="7"/>
  <c r="F223" i="7" s="1"/>
  <c r="E224" i="7"/>
  <c r="F224" i="7" s="1"/>
  <c r="E225" i="7"/>
  <c r="F225" i="7" s="1"/>
  <c r="D194" i="7"/>
  <c r="E194" i="7"/>
  <c r="F194" i="7" s="1"/>
  <c r="D2" i="9"/>
  <c r="D3" i="9"/>
  <c r="D4" i="9"/>
  <c r="D5" i="9"/>
  <c r="D6" i="9"/>
  <c r="D7" i="9"/>
  <c r="D8" i="9"/>
  <c r="D9" i="9"/>
  <c r="E2" i="7"/>
  <c r="F2" i="7" s="1"/>
  <c r="E4" i="7"/>
  <c r="F4" i="7" s="1"/>
  <c r="E6" i="7"/>
  <c r="F6" i="7" s="1"/>
  <c r="E3" i="7"/>
  <c r="F3" i="7" s="1"/>
  <c r="E5" i="7"/>
  <c r="F5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  <c r="E136" i="7"/>
  <c r="F136" i="7" s="1"/>
  <c r="E137" i="7"/>
  <c r="F137" i="7" s="1"/>
  <c r="E138" i="7"/>
  <c r="F138" i="7" s="1"/>
  <c r="E139" i="7"/>
  <c r="F139" i="7" s="1"/>
  <c r="E140" i="7"/>
  <c r="F140" i="7" s="1"/>
  <c r="E141" i="7"/>
  <c r="F141" i="7" s="1"/>
  <c r="E142" i="7"/>
  <c r="F142" i="7" s="1"/>
  <c r="E143" i="7"/>
  <c r="F143" i="7" s="1"/>
  <c r="E144" i="7"/>
  <c r="F144" i="7" s="1"/>
  <c r="E145" i="7"/>
  <c r="F145" i="7" s="1"/>
  <c r="E146" i="7"/>
  <c r="F146" i="7" s="1"/>
  <c r="E147" i="7"/>
  <c r="F147" i="7" s="1"/>
  <c r="E148" i="7"/>
  <c r="F148" i="7" s="1"/>
  <c r="E149" i="7"/>
  <c r="F149" i="7" s="1"/>
  <c r="E150" i="7"/>
  <c r="F150" i="7" s="1"/>
  <c r="E151" i="7"/>
  <c r="F151" i="7" s="1"/>
  <c r="E152" i="7"/>
  <c r="F152" i="7" s="1"/>
  <c r="E153" i="7"/>
  <c r="F153" i="7" s="1"/>
  <c r="E154" i="7"/>
  <c r="F154" i="7" s="1"/>
  <c r="E155" i="7"/>
  <c r="F155" i="7" s="1"/>
  <c r="E156" i="7"/>
  <c r="F156" i="7" s="1"/>
  <c r="E157" i="7"/>
  <c r="F157" i="7" s="1"/>
  <c r="E158" i="7"/>
  <c r="F158" i="7" s="1"/>
  <c r="E159" i="7"/>
  <c r="F159" i="7" s="1"/>
  <c r="E160" i="7"/>
  <c r="F160" i="7" s="1"/>
  <c r="E161" i="7"/>
  <c r="F161" i="7" s="1"/>
  <c r="E162" i="7"/>
  <c r="F162" i="7" s="1"/>
  <c r="E163" i="7"/>
  <c r="F163" i="7" s="1"/>
  <c r="E164" i="7"/>
  <c r="F164" i="7" s="1"/>
  <c r="E165" i="7"/>
  <c r="F165" i="7" s="1"/>
  <c r="E166" i="7"/>
  <c r="F166" i="7" s="1"/>
  <c r="E167" i="7"/>
  <c r="F167" i="7" s="1"/>
  <c r="E168" i="7"/>
  <c r="F168" i="7" s="1"/>
  <c r="E169" i="7"/>
  <c r="F169" i="7" s="1"/>
  <c r="E170" i="7"/>
  <c r="F170" i="7" s="1"/>
  <c r="E171" i="7"/>
  <c r="F171" i="7" s="1"/>
  <c r="E172" i="7"/>
  <c r="F172" i="7" s="1"/>
  <c r="E173" i="7"/>
  <c r="F173" i="7" s="1"/>
  <c r="E174" i="7"/>
  <c r="F174" i="7" s="1"/>
  <c r="E175" i="7"/>
  <c r="F175" i="7" s="1"/>
  <c r="E176" i="7"/>
  <c r="F176" i="7" s="1"/>
  <c r="E177" i="7"/>
  <c r="F177" i="7" s="1"/>
  <c r="E178" i="7"/>
  <c r="F178" i="7" s="1"/>
  <c r="E179" i="7"/>
  <c r="F179" i="7" s="1"/>
  <c r="E180" i="7"/>
  <c r="F180" i="7" s="1"/>
  <c r="E181" i="7"/>
  <c r="F181" i="7" s="1"/>
  <c r="E182" i="7"/>
  <c r="F182" i="7" s="1"/>
  <c r="E183" i="7"/>
  <c r="F183" i="7" s="1"/>
  <c r="E184" i="7"/>
  <c r="F184" i="7" s="1"/>
  <c r="E185" i="7"/>
  <c r="F185" i="7" s="1"/>
  <c r="E186" i="7"/>
  <c r="F186" i="7" s="1"/>
  <c r="E187" i="7"/>
  <c r="F187" i="7" s="1"/>
  <c r="E188" i="7"/>
  <c r="F188" i="7" s="1"/>
  <c r="E189" i="7"/>
  <c r="F189" i="7" s="1"/>
  <c r="E190" i="7"/>
  <c r="F190" i="7" s="1"/>
  <c r="E191" i="7"/>
  <c r="F191" i="7" s="1"/>
  <c r="E192" i="7"/>
  <c r="F192" i="7" s="1"/>
  <c r="E193" i="7"/>
  <c r="F193" i="7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3" i="7"/>
  <c r="D184" i="7"/>
  <c r="D185" i="7"/>
  <c r="D186" i="7"/>
  <c r="D187" i="7"/>
  <c r="D188" i="7"/>
  <c r="D189" i="7"/>
  <c r="D190" i="7"/>
  <c r="D191" i="7"/>
  <c r="D192" i="7"/>
  <c r="D193" i="7"/>
  <c r="E3" i="2"/>
  <c r="F3" i="2" s="1"/>
  <c r="F2" i="2"/>
  <c r="F4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E30" i="2"/>
  <c r="E6" i="2"/>
  <c r="E2" i="2"/>
  <c r="E4" i="2"/>
  <c r="E5" i="2"/>
  <c r="F5" i="2" s="1"/>
  <c r="E7" i="2"/>
  <c r="E8" i="2"/>
  <c r="E9" i="2"/>
  <c r="F9" i="2" s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E32" i="2"/>
  <c r="E33" i="2"/>
  <c r="B15" i="24" l="1"/>
  <c r="B11" i="24"/>
  <c r="B12" i="24"/>
  <c r="B13" i="24"/>
  <c r="B3" i="20"/>
  <c r="B2" i="16"/>
  <c r="P10" i="16"/>
  <c r="C4" i="9"/>
  <c r="B14" i="26" s="1"/>
  <c r="C5" i="9"/>
  <c r="B21" i="26" s="1"/>
  <c r="C6" i="9"/>
  <c r="B28" i="26" s="1"/>
  <c r="C7" i="9"/>
  <c r="B35" i="26" s="1"/>
  <c r="B21" i="9"/>
  <c r="C8" i="9"/>
  <c r="C9" i="9"/>
  <c r="B22" i="9"/>
  <c r="B23" i="9"/>
  <c r="B24" i="9"/>
  <c r="B25" i="9"/>
  <c r="B1" i="24" a="1"/>
  <c r="B26" i="9"/>
  <c r="B27" i="9"/>
  <c r="B20" i="9"/>
  <c r="C2" i="9"/>
  <c r="B2" i="26" s="1"/>
  <c r="C3" i="9"/>
  <c r="B21" i="20"/>
  <c r="C7" i="20"/>
  <c r="E7" i="20" s="1"/>
  <c r="C21" i="20"/>
  <c r="E21" i="20" s="1"/>
  <c r="B8" i="20"/>
  <c r="B7" i="20"/>
  <c r="B22" i="20"/>
  <c r="C22" i="20"/>
  <c r="E22" i="20" s="1"/>
  <c r="C8" i="20"/>
  <c r="E8" i="20" s="1"/>
  <c r="C6" i="20"/>
  <c r="E6" i="20" s="1"/>
  <c r="B33" i="20"/>
  <c r="B19" i="20"/>
  <c r="C33" i="20"/>
  <c r="E33" i="20" s="1"/>
  <c r="C19" i="20"/>
  <c r="E19" i="20" s="1"/>
  <c r="C5" i="20"/>
  <c r="E5" i="20" s="1"/>
  <c r="B32" i="20"/>
  <c r="B18" i="20"/>
  <c r="B6" i="20"/>
  <c r="C32" i="20"/>
  <c r="E32" i="20" s="1"/>
  <c r="C18" i="20"/>
  <c r="E18" i="20" s="1"/>
  <c r="C4" i="20"/>
  <c r="E4" i="20" s="1"/>
  <c r="B5" i="20"/>
  <c r="C31" i="20"/>
  <c r="E31" i="20" s="1"/>
  <c r="C17" i="20"/>
  <c r="E17" i="20" s="1"/>
  <c r="C3" i="20"/>
  <c r="E3" i="20" s="1"/>
  <c r="B2" i="20"/>
  <c r="B17" i="20"/>
  <c r="B30" i="20"/>
  <c r="B16" i="20"/>
  <c r="C30" i="20"/>
  <c r="E30" i="20" s="1"/>
  <c r="C16" i="20"/>
  <c r="E16" i="20" s="1"/>
  <c r="C20" i="20"/>
  <c r="E20" i="20" s="1"/>
  <c r="B4" i="20"/>
  <c r="B29" i="20"/>
  <c r="B15" i="20"/>
  <c r="C29" i="20"/>
  <c r="E29" i="20" s="1"/>
  <c r="C15" i="20"/>
  <c r="E15" i="20" s="1"/>
  <c r="B28" i="20"/>
  <c r="B14" i="20"/>
  <c r="C28" i="20"/>
  <c r="E28" i="20" s="1"/>
  <c r="C14" i="20"/>
  <c r="E14" i="20" s="1"/>
  <c r="B27" i="20"/>
  <c r="B13" i="20"/>
  <c r="C27" i="20"/>
  <c r="E27" i="20" s="1"/>
  <c r="C13" i="20"/>
  <c r="E13" i="20" s="1"/>
  <c r="B20" i="20"/>
  <c r="B31" i="20"/>
  <c r="B26" i="20"/>
  <c r="B12" i="20"/>
  <c r="C26" i="20"/>
  <c r="E26" i="20" s="1"/>
  <c r="C12" i="20"/>
  <c r="E12" i="20" s="1"/>
  <c r="B25" i="20"/>
  <c r="B11" i="20"/>
  <c r="C25" i="20"/>
  <c r="E25" i="20" s="1"/>
  <c r="C11" i="20"/>
  <c r="E11" i="20" s="1"/>
  <c r="B24" i="20"/>
  <c r="B10" i="20"/>
  <c r="C24" i="20"/>
  <c r="E24" i="20" s="1"/>
  <c r="C10" i="20"/>
  <c r="E10" i="20" s="1"/>
  <c r="B23" i="20"/>
  <c r="B9" i="20"/>
  <c r="C23" i="20"/>
  <c r="E23" i="20" s="1"/>
  <c r="C9" i="20"/>
  <c r="E9" i="20" s="1"/>
  <c r="F9" i="11"/>
  <c r="C70" i="11"/>
  <c r="C112" i="11"/>
  <c r="C126" i="11"/>
  <c r="F138" i="11"/>
  <c r="C168" i="11"/>
  <c r="D187" i="11"/>
  <c r="E75" i="11"/>
  <c r="D131" i="11"/>
  <c r="D173" i="11"/>
  <c r="D61" i="11"/>
  <c r="E131" i="11"/>
  <c r="F68" i="11"/>
  <c r="F124" i="11"/>
  <c r="E61" i="11"/>
  <c r="C44" i="11"/>
  <c r="E117" i="11"/>
  <c r="D23" i="11"/>
  <c r="F110" i="11"/>
  <c r="E166" i="11"/>
  <c r="F25" i="11"/>
  <c r="F166" i="11"/>
  <c r="E173" i="11"/>
  <c r="E187" i="11"/>
  <c r="E103" i="11"/>
  <c r="C154" i="11"/>
  <c r="C182" i="11"/>
  <c r="F194" i="11"/>
  <c r="F40" i="11"/>
  <c r="E96" i="11"/>
  <c r="E159" i="11"/>
  <c r="F180" i="11"/>
  <c r="F54" i="11"/>
  <c r="F96" i="11"/>
  <c r="F11" i="11"/>
  <c r="C50" i="11"/>
  <c r="F152" i="11"/>
  <c r="F82" i="11"/>
  <c r="C2" i="11"/>
  <c r="C188" i="11"/>
  <c r="C174" i="11"/>
  <c r="C160" i="11"/>
  <c r="C146" i="11"/>
  <c r="C132" i="11"/>
  <c r="C118" i="11"/>
  <c r="C104" i="11"/>
  <c r="C90" i="11"/>
  <c r="C76" i="11"/>
  <c r="C62" i="11"/>
  <c r="C23" i="11"/>
  <c r="C9" i="11"/>
  <c r="D193" i="11"/>
  <c r="D179" i="11"/>
  <c r="D165" i="11"/>
  <c r="D151" i="11"/>
  <c r="D137" i="11"/>
  <c r="D123" i="11"/>
  <c r="D109" i="11"/>
  <c r="D95" i="11"/>
  <c r="D81" i="11"/>
  <c r="D67" i="11"/>
  <c r="D53" i="11"/>
  <c r="D15" i="11"/>
  <c r="E200" i="11"/>
  <c r="E186" i="11"/>
  <c r="E172" i="11"/>
  <c r="E158" i="11"/>
  <c r="E144" i="11"/>
  <c r="E130" i="11"/>
  <c r="E116" i="11"/>
  <c r="E102" i="11"/>
  <c r="E88" i="11"/>
  <c r="E74" i="11"/>
  <c r="E60" i="11"/>
  <c r="E22" i="11"/>
  <c r="E8" i="11"/>
  <c r="F193" i="11"/>
  <c r="F179" i="11"/>
  <c r="F165" i="11"/>
  <c r="F151" i="11"/>
  <c r="F137" i="11"/>
  <c r="F123" i="11"/>
  <c r="F109" i="11"/>
  <c r="F95" i="11"/>
  <c r="F81" i="11"/>
  <c r="F67" i="11"/>
  <c r="F53" i="11"/>
  <c r="F39" i="11"/>
  <c r="F24" i="11"/>
  <c r="F10" i="11"/>
  <c r="C201" i="11"/>
  <c r="C187" i="11"/>
  <c r="C173" i="11"/>
  <c r="C159" i="11"/>
  <c r="C145" i="11"/>
  <c r="C131" i="11"/>
  <c r="C117" i="11"/>
  <c r="C103" i="11"/>
  <c r="C89" i="11"/>
  <c r="C75" i="11"/>
  <c r="C61" i="11"/>
  <c r="C22" i="11"/>
  <c r="C8" i="11"/>
  <c r="D192" i="11"/>
  <c r="D178" i="11"/>
  <c r="D164" i="11"/>
  <c r="D150" i="11"/>
  <c r="D136" i="11"/>
  <c r="D122" i="11"/>
  <c r="D108" i="11"/>
  <c r="D94" i="11"/>
  <c r="D80" i="11"/>
  <c r="D66" i="11"/>
  <c r="D47" i="11"/>
  <c r="D14" i="11"/>
  <c r="E199" i="11"/>
  <c r="E185" i="11"/>
  <c r="E171" i="11"/>
  <c r="E157" i="11"/>
  <c r="E143" i="11"/>
  <c r="E129" i="11"/>
  <c r="E115" i="11"/>
  <c r="E101" i="11"/>
  <c r="E87" i="11"/>
  <c r="E73" i="11"/>
  <c r="E59" i="11"/>
  <c r="E21" i="11"/>
  <c r="E7" i="11"/>
  <c r="F192" i="11"/>
  <c r="F178" i="11"/>
  <c r="F164" i="11"/>
  <c r="F150" i="11"/>
  <c r="F136" i="11"/>
  <c r="F122" i="11"/>
  <c r="F108" i="11"/>
  <c r="F94" i="11"/>
  <c r="F80" i="11"/>
  <c r="F66" i="11"/>
  <c r="F52" i="11"/>
  <c r="F38" i="11"/>
  <c r="F23" i="11"/>
  <c r="E51" i="11"/>
  <c r="B80" i="16"/>
  <c r="B73" i="16"/>
  <c r="B74" i="16"/>
  <c r="B75" i="16"/>
  <c r="B76" i="16"/>
  <c r="B77" i="16"/>
  <c r="B78" i="16"/>
  <c r="B79" i="16"/>
  <c r="E37" i="17"/>
  <c r="E38" i="17"/>
  <c r="E39" i="17"/>
  <c r="E40" i="17"/>
  <c r="E41" i="17"/>
  <c r="E34" i="17"/>
  <c r="B9" i="17"/>
  <c r="B8" i="17"/>
  <c r="B7" i="17"/>
  <c r="B6" i="17"/>
  <c r="B5" i="17"/>
  <c r="B4" i="17"/>
  <c r="E35" i="17"/>
  <c r="E36" i="17"/>
  <c r="E45" i="11"/>
  <c r="D4" i="11"/>
  <c r="E34" i="11"/>
  <c r="D51" i="11"/>
  <c r="F32" i="11"/>
  <c r="C200" i="11"/>
  <c r="C186" i="11"/>
  <c r="C172" i="11"/>
  <c r="C158" i="11"/>
  <c r="C144" i="11"/>
  <c r="C130" i="11"/>
  <c r="C116" i="11"/>
  <c r="C102" i="11"/>
  <c r="C88" i="11"/>
  <c r="C74" i="11"/>
  <c r="C60" i="11"/>
  <c r="C21" i="11"/>
  <c r="C7" i="11"/>
  <c r="D191" i="11"/>
  <c r="D177" i="11"/>
  <c r="D163" i="11"/>
  <c r="D149" i="11"/>
  <c r="D135" i="11"/>
  <c r="D121" i="11"/>
  <c r="D107" i="11"/>
  <c r="D93" i="11"/>
  <c r="D79" i="11"/>
  <c r="D65" i="11"/>
  <c r="D45" i="11"/>
  <c r="D13" i="11"/>
  <c r="E198" i="11"/>
  <c r="E184" i="11"/>
  <c r="E170" i="11"/>
  <c r="E156" i="11"/>
  <c r="E142" i="11"/>
  <c r="E128" i="11"/>
  <c r="E114" i="11"/>
  <c r="E100" i="11"/>
  <c r="E86" i="11"/>
  <c r="E72" i="11"/>
  <c r="E58" i="11"/>
  <c r="E20" i="11"/>
  <c r="E6" i="11"/>
  <c r="F191" i="11"/>
  <c r="F177" i="11"/>
  <c r="F163" i="11"/>
  <c r="F149" i="11"/>
  <c r="F135" i="11"/>
  <c r="F121" i="11"/>
  <c r="F107" i="11"/>
  <c r="F93" i="11"/>
  <c r="F79" i="11"/>
  <c r="F65" i="11"/>
  <c r="F51" i="11"/>
  <c r="F37" i="11"/>
  <c r="F22" i="11"/>
  <c r="F8" i="11"/>
  <c r="C199" i="11"/>
  <c r="C185" i="11"/>
  <c r="C171" i="11"/>
  <c r="C157" i="11"/>
  <c r="C143" i="11"/>
  <c r="C129" i="11"/>
  <c r="C115" i="11"/>
  <c r="C101" i="11"/>
  <c r="C87" i="11"/>
  <c r="C73" i="11"/>
  <c r="C59" i="11"/>
  <c r="C20" i="11"/>
  <c r="C6" i="11"/>
  <c r="D190" i="11"/>
  <c r="D176" i="11"/>
  <c r="D162" i="11"/>
  <c r="D148" i="11"/>
  <c r="D134" i="11"/>
  <c r="D120" i="11"/>
  <c r="D106" i="11"/>
  <c r="D92" i="11"/>
  <c r="D78" i="11"/>
  <c r="D64" i="11"/>
  <c r="D44" i="11"/>
  <c r="D12" i="11"/>
  <c r="E197" i="11"/>
  <c r="E183" i="11"/>
  <c r="E169" i="11"/>
  <c r="E155" i="11"/>
  <c r="E141" i="11"/>
  <c r="E127" i="11"/>
  <c r="E113" i="11"/>
  <c r="E99" i="11"/>
  <c r="E85" i="11"/>
  <c r="E71" i="11"/>
  <c r="E57" i="11"/>
  <c r="E19" i="11"/>
  <c r="E5" i="11"/>
  <c r="F190" i="11"/>
  <c r="F176" i="11"/>
  <c r="F162" i="11"/>
  <c r="F148" i="11"/>
  <c r="F134" i="11"/>
  <c r="F120" i="11"/>
  <c r="F106" i="11"/>
  <c r="F92" i="11"/>
  <c r="F78" i="11"/>
  <c r="F64" i="11"/>
  <c r="F50" i="11"/>
  <c r="F36" i="11"/>
  <c r="F21" i="11"/>
  <c r="F7" i="11"/>
  <c r="C198" i="11"/>
  <c r="C184" i="11"/>
  <c r="C170" i="11"/>
  <c r="C156" i="11"/>
  <c r="C142" i="11"/>
  <c r="C128" i="11"/>
  <c r="C114" i="11"/>
  <c r="C100" i="11"/>
  <c r="C86" i="11"/>
  <c r="C72" i="11"/>
  <c r="C58" i="11"/>
  <c r="C19" i="11"/>
  <c r="C5" i="11"/>
  <c r="D189" i="11"/>
  <c r="D175" i="11"/>
  <c r="D161" i="11"/>
  <c r="D147" i="11"/>
  <c r="D133" i="11"/>
  <c r="D119" i="11"/>
  <c r="D105" i="11"/>
  <c r="D91" i="11"/>
  <c r="D77" i="11"/>
  <c r="D63" i="11"/>
  <c r="D41" i="11"/>
  <c r="D11" i="11"/>
  <c r="E196" i="11"/>
  <c r="E182" i="11"/>
  <c r="E168" i="11"/>
  <c r="E154" i="11"/>
  <c r="E140" i="11"/>
  <c r="E126" i="11"/>
  <c r="E112" i="11"/>
  <c r="E98" i="11"/>
  <c r="E84" i="11"/>
  <c r="E70" i="11"/>
  <c r="E56" i="11"/>
  <c r="E18" i="11"/>
  <c r="E3" i="11"/>
  <c r="F189" i="11"/>
  <c r="F175" i="11"/>
  <c r="F161" i="11"/>
  <c r="F147" i="11"/>
  <c r="F133" i="11"/>
  <c r="F119" i="11"/>
  <c r="F105" i="11"/>
  <c r="F91" i="11"/>
  <c r="F77" i="11"/>
  <c r="F63" i="11"/>
  <c r="F49" i="11"/>
  <c r="F35" i="11"/>
  <c r="F20" i="11"/>
  <c r="F6" i="11"/>
  <c r="D48" i="11"/>
  <c r="D37" i="11"/>
  <c r="D43" i="11"/>
  <c r="E44" i="11"/>
  <c r="E40" i="11"/>
  <c r="E37" i="11"/>
  <c r="D46" i="11"/>
  <c r="D40" i="11"/>
  <c r="E47" i="11"/>
  <c r="E26" i="11"/>
  <c r="E52" i="11"/>
  <c r="C197" i="11"/>
  <c r="C183" i="11"/>
  <c r="C169" i="11"/>
  <c r="C155" i="11"/>
  <c r="C141" i="11"/>
  <c r="C127" i="11"/>
  <c r="C113" i="11"/>
  <c r="C99" i="11"/>
  <c r="C85" i="11"/>
  <c r="C71" i="11"/>
  <c r="C57" i="11"/>
  <c r="C18" i="11"/>
  <c r="C3" i="11"/>
  <c r="D188" i="11"/>
  <c r="D174" i="11"/>
  <c r="D160" i="11"/>
  <c r="D146" i="11"/>
  <c r="D132" i="11"/>
  <c r="D118" i="11"/>
  <c r="D104" i="11"/>
  <c r="D90" i="11"/>
  <c r="D76" i="11"/>
  <c r="D62" i="11"/>
  <c r="D24" i="11"/>
  <c r="D10" i="11"/>
  <c r="E195" i="11"/>
  <c r="E181" i="11"/>
  <c r="E167" i="11"/>
  <c r="E153" i="11"/>
  <c r="E139" i="11"/>
  <c r="E125" i="11"/>
  <c r="E111" i="11"/>
  <c r="E97" i="11"/>
  <c r="E83" i="11"/>
  <c r="E69" i="11"/>
  <c r="E55" i="11"/>
  <c r="E17" i="11"/>
  <c r="E2" i="11"/>
  <c r="F188" i="11"/>
  <c r="F174" i="11"/>
  <c r="F160" i="11"/>
  <c r="F146" i="11"/>
  <c r="F132" i="11"/>
  <c r="F118" i="11"/>
  <c r="F104" i="11"/>
  <c r="F90" i="11"/>
  <c r="F76" i="11"/>
  <c r="F62" i="11"/>
  <c r="F48" i="11"/>
  <c r="F34" i="11"/>
  <c r="F19" i="11"/>
  <c r="F5" i="11"/>
  <c r="C140" i="11"/>
  <c r="C98" i="11"/>
  <c r="C56" i="11"/>
  <c r="D159" i="11"/>
  <c r="D103" i="11"/>
  <c r="D89" i="11"/>
  <c r="D75" i="11"/>
  <c r="D9" i="11"/>
  <c r="E194" i="11"/>
  <c r="E180" i="11"/>
  <c r="E152" i="11"/>
  <c r="E138" i="11"/>
  <c r="E124" i="11"/>
  <c r="E110" i="11"/>
  <c r="E82" i="11"/>
  <c r="E68" i="11"/>
  <c r="E54" i="11"/>
  <c r="E16" i="11"/>
  <c r="F201" i="11"/>
  <c r="F187" i="11"/>
  <c r="F173" i="11"/>
  <c r="F159" i="11"/>
  <c r="F145" i="11"/>
  <c r="F131" i="11"/>
  <c r="F117" i="11"/>
  <c r="F103" i="11"/>
  <c r="F89" i="11"/>
  <c r="F75" i="11"/>
  <c r="F61" i="11"/>
  <c r="F47" i="11"/>
  <c r="F33" i="11"/>
  <c r="F18" i="11"/>
  <c r="F4" i="11"/>
  <c r="C195" i="11"/>
  <c r="C181" i="11"/>
  <c r="C167" i="11"/>
  <c r="C153" i="11"/>
  <c r="C139" i="11"/>
  <c r="C125" i="11"/>
  <c r="C111" i="11"/>
  <c r="C97" i="11"/>
  <c r="C83" i="11"/>
  <c r="C69" i="11"/>
  <c r="C55" i="11"/>
  <c r="C16" i="11"/>
  <c r="D200" i="11"/>
  <c r="D186" i="11"/>
  <c r="D172" i="11"/>
  <c r="D158" i="11"/>
  <c r="D144" i="11"/>
  <c r="D130" i="11"/>
  <c r="D116" i="11"/>
  <c r="D102" i="11"/>
  <c r="D88" i="11"/>
  <c r="D74" i="11"/>
  <c r="D60" i="11"/>
  <c r="D22" i="11"/>
  <c r="D8" i="11"/>
  <c r="E193" i="11"/>
  <c r="E179" i="11"/>
  <c r="E165" i="11"/>
  <c r="E151" i="11"/>
  <c r="E137" i="11"/>
  <c r="E123" i="11"/>
  <c r="E109" i="11"/>
  <c r="E95" i="11"/>
  <c r="E81" i="11"/>
  <c r="E67" i="11"/>
  <c r="E53" i="11"/>
  <c r="E15" i="11"/>
  <c r="F200" i="11"/>
  <c r="F186" i="11"/>
  <c r="F172" i="11"/>
  <c r="F158" i="11"/>
  <c r="F144" i="11"/>
  <c r="F130" i="11"/>
  <c r="F116" i="11"/>
  <c r="F102" i="11"/>
  <c r="F88" i="11"/>
  <c r="F74" i="11"/>
  <c r="F60" i="11"/>
  <c r="F46" i="11"/>
  <c r="F31" i="11"/>
  <c r="F17" i="11"/>
  <c r="F3" i="11"/>
  <c r="D38" i="11"/>
  <c r="D42" i="11"/>
  <c r="C196" i="11"/>
  <c r="C84" i="11"/>
  <c r="C17" i="11"/>
  <c r="D201" i="11"/>
  <c r="D145" i="11"/>
  <c r="D117" i="11"/>
  <c r="E46" i="11"/>
  <c r="E43" i="11"/>
  <c r="E35" i="11"/>
  <c r="D52" i="11"/>
  <c r="D50" i="11"/>
  <c r="C194" i="11"/>
  <c r="C180" i="11"/>
  <c r="C166" i="11"/>
  <c r="C152" i="11"/>
  <c r="C138" i="11"/>
  <c r="C124" i="11"/>
  <c r="C110" i="11"/>
  <c r="C96" i="11"/>
  <c r="C82" i="11"/>
  <c r="C68" i="11"/>
  <c r="C54" i="11"/>
  <c r="C15" i="11"/>
  <c r="D199" i="11"/>
  <c r="D185" i="11"/>
  <c r="D171" i="11"/>
  <c r="D157" i="11"/>
  <c r="D143" i="11"/>
  <c r="D129" i="11"/>
  <c r="D115" i="11"/>
  <c r="D101" i="11"/>
  <c r="D87" i="11"/>
  <c r="D73" i="11"/>
  <c r="D59" i="11"/>
  <c r="D21" i="11"/>
  <c r="D7" i="11"/>
  <c r="E192" i="11"/>
  <c r="E178" i="11"/>
  <c r="E164" i="11"/>
  <c r="E150" i="11"/>
  <c r="E136" i="11"/>
  <c r="E122" i="11"/>
  <c r="E108" i="11"/>
  <c r="E94" i="11"/>
  <c r="E80" i="11"/>
  <c r="E66" i="11"/>
  <c r="E50" i="11"/>
  <c r="E14" i="11"/>
  <c r="F199" i="11"/>
  <c r="F185" i="11"/>
  <c r="F171" i="11"/>
  <c r="F157" i="11"/>
  <c r="F143" i="11"/>
  <c r="F129" i="11"/>
  <c r="F115" i="11"/>
  <c r="F101" i="11"/>
  <c r="F87" i="11"/>
  <c r="F73" i="11"/>
  <c r="F59" i="11"/>
  <c r="F45" i="11"/>
  <c r="F30" i="11"/>
  <c r="F16" i="11"/>
  <c r="F2" i="11"/>
  <c r="C193" i="11"/>
  <c r="C179" i="11"/>
  <c r="C165" i="11"/>
  <c r="C151" i="11"/>
  <c r="C137" i="11"/>
  <c r="C123" i="11"/>
  <c r="C109" i="11"/>
  <c r="C95" i="11"/>
  <c r="C81" i="11"/>
  <c r="C67" i="11"/>
  <c r="C53" i="11"/>
  <c r="C14" i="11"/>
  <c r="D198" i="11"/>
  <c r="D184" i="11"/>
  <c r="D170" i="11"/>
  <c r="D156" i="11"/>
  <c r="D142" i="11"/>
  <c r="D128" i="11"/>
  <c r="D114" i="11"/>
  <c r="D100" i="11"/>
  <c r="D86" i="11"/>
  <c r="D72" i="11"/>
  <c r="D58" i="11"/>
  <c r="D20" i="11"/>
  <c r="D6" i="11"/>
  <c r="E191" i="11"/>
  <c r="E177" i="11"/>
  <c r="E163" i="11"/>
  <c r="E149" i="11"/>
  <c r="E135" i="11"/>
  <c r="E121" i="11"/>
  <c r="E107" i="11"/>
  <c r="E93" i="11"/>
  <c r="E79" i="11"/>
  <c r="E65" i="11"/>
  <c r="E49" i="11"/>
  <c r="E13" i="11"/>
  <c r="F198" i="11"/>
  <c r="F184" i="11"/>
  <c r="F170" i="11"/>
  <c r="F156" i="11"/>
  <c r="F142" i="11"/>
  <c r="F128" i="11"/>
  <c r="F114" i="11"/>
  <c r="F100" i="11"/>
  <c r="F86" i="11"/>
  <c r="F72" i="11"/>
  <c r="F58" i="11"/>
  <c r="F44" i="11"/>
  <c r="F29" i="11"/>
  <c r="F15" i="11"/>
  <c r="C192" i="11"/>
  <c r="C178" i="11"/>
  <c r="C164" i="11"/>
  <c r="C150" i="11"/>
  <c r="C136" i="11"/>
  <c r="C122" i="11"/>
  <c r="C108" i="11"/>
  <c r="C94" i="11"/>
  <c r="C80" i="11"/>
  <c r="C66" i="11"/>
  <c r="C48" i="11"/>
  <c r="C13" i="11"/>
  <c r="D197" i="11"/>
  <c r="D183" i="11"/>
  <c r="D169" i="11"/>
  <c r="D155" i="11"/>
  <c r="D141" i="11"/>
  <c r="D127" i="11"/>
  <c r="D113" i="11"/>
  <c r="D99" i="11"/>
  <c r="D85" i="11"/>
  <c r="D71" i="11"/>
  <c r="D57" i="11"/>
  <c r="D19" i="11"/>
  <c r="D5" i="11"/>
  <c r="E190" i="11"/>
  <c r="E176" i="11"/>
  <c r="E162" i="11"/>
  <c r="E148" i="11"/>
  <c r="E134" i="11"/>
  <c r="E120" i="11"/>
  <c r="E106" i="11"/>
  <c r="E92" i="11"/>
  <c r="E78" i="11"/>
  <c r="E64" i="11"/>
  <c r="E48" i="11"/>
  <c r="E12" i="11"/>
  <c r="F197" i="11"/>
  <c r="F183" i="11"/>
  <c r="F169" i="11"/>
  <c r="F155" i="11"/>
  <c r="F141" i="11"/>
  <c r="F127" i="11"/>
  <c r="F113" i="11"/>
  <c r="F99" i="11"/>
  <c r="F85" i="11"/>
  <c r="F71" i="11"/>
  <c r="F57" i="11"/>
  <c r="F43" i="11"/>
  <c r="F28" i="11"/>
  <c r="F14" i="11"/>
  <c r="C191" i="11"/>
  <c r="C177" i="11"/>
  <c r="C163" i="11"/>
  <c r="C149" i="11"/>
  <c r="C135" i="11"/>
  <c r="C121" i="11"/>
  <c r="C107" i="11"/>
  <c r="C93" i="11"/>
  <c r="C79" i="11"/>
  <c r="C65" i="11"/>
  <c r="C47" i="11"/>
  <c r="C12" i="11"/>
  <c r="D196" i="11"/>
  <c r="D182" i="11"/>
  <c r="D168" i="11"/>
  <c r="D154" i="11"/>
  <c r="D140" i="11"/>
  <c r="D126" i="11"/>
  <c r="D112" i="11"/>
  <c r="D98" i="11"/>
  <c r="D84" i="11"/>
  <c r="D70" i="11"/>
  <c r="D56" i="11"/>
  <c r="D18" i="11"/>
  <c r="D3" i="11"/>
  <c r="E189" i="11"/>
  <c r="E175" i="11"/>
  <c r="E161" i="11"/>
  <c r="E147" i="11"/>
  <c r="E133" i="11"/>
  <c r="E119" i="11"/>
  <c r="E105" i="11"/>
  <c r="E91" i="11"/>
  <c r="E77" i="11"/>
  <c r="E63" i="11"/>
  <c r="E25" i="11"/>
  <c r="E11" i="11"/>
  <c r="F196" i="11"/>
  <c r="F182" i="11"/>
  <c r="F168" i="11"/>
  <c r="F154" i="11"/>
  <c r="F140" i="11"/>
  <c r="F126" i="11"/>
  <c r="F112" i="11"/>
  <c r="F98" i="11"/>
  <c r="F84" i="11"/>
  <c r="F70" i="11"/>
  <c r="F56" i="11"/>
  <c r="F42" i="11"/>
  <c r="F27" i="11"/>
  <c r="F13" i="11"/>
  <c r="C190" i="11"/>
  <c r="C176" i="11"/>
  <c r="C162" i="11"/>
  <c r="C148" i="11"/>
  <c r="C134" i="11"/>
  <c r="C120" i="11"/>
  <c r="C106" i="11"/>
  <c r="C92" i="11"/>
  <c r="C78" i="11"/>
  <c r="C64" i="11"/>
  <c r="C11" i="11"/>
  <c r="D195" i="11"/>
  <c r="D181" i="11"/>
  <c r="D167" i="11"/>
  <c r="D153" i="11"/>
  <c r="D139" i="11"/>
  <c r="D125" i="11"/>
  <c r="D111" i="11"/>
  <c r="D97" i="11"/>
  <c r="D83" i="11"/>
  <c r="D69" i="11"/>
  <c r="D55" i="11"/>
  <c r="D17" i="11"/>
  <c r="D2" i="11"/>
  <c r="E188" i="11"/>
  <c r="E174" i="11"/>
  <c r="E160" i="11"/>
  <c r="E146" i="11"/>
  <c r="E132" i="11"/>
  <c r="E118" i="11"/>
  <c r="E104" i="11"/>
  <c r="E90" i="11"/>
  <c r="E76" i="11"/>
  <c r="E62" i="11"/>
  <c r="E24" i="11"/>
  <c r="E10" i="11"/>
  <c r="F195" i="11"/>
  <c r="F181" i="11"/>
  <c r="F167" i="11"/>
  <c r="F153" i="11"/>
  <c r="F139" i="11"/>
  <c r="F125" i="11"/>
  <c r="F111" i="11"/>
  <c r="F97" i="11"/>
  <c r="F83" i="11"/>
  <c r="F69" i="11"/>
  <c r="F55" i="11"/>
  <c r="F41" i="11"/>
  <c r="F26" i="11"/>
  <c r="F12" i="11"/>
  <c r="C189" i="11"/>
  <c r="C175" i="11"/>
  <c r="C161" i="11"/>
  <c r="C147" i="11"/>
  <c r="C133" i="11"/>
  <c r="C119" i="11"/>
  <c r="C105" i="11"/>
  <c r="C91" i="11"/>
  <c r="C77" i="11"/>
  <c r="C63" i="11"/>
  <c r="C41" i="11"/>
  <c r="C10" i="11"/>
  <c r="D194" i="11"/>
  <c r="D180" i="11"/>
  <c r="D166" i="11"/>
  <c r="D152" i="11"/>
  <c r="D138" i="11"/>
  <c r="D124" i="11"/>
  <c r="D110" i="11"/>
  <c r="D96" i="11"/>
  <c r="D82" i="11"/>
  <c r="D68" i="11"/>
  <c r="D54" i="11"/>
  <c r="D16" i="11"/>
  <c r="E201" i="11"/>
  <c r="E145" i="11"/>
  <c r="E89" i="11"/>
  <c r="E23" i="11"/>
  <c r="E9" i="11"/>
  <c r="D49" i="11"/>
  <c r="C46" i="11"/>
  <c r="C45" i="11"/>
  <c r="E36" i="11"/>
  <c r="D36" i="11"/>
  <c r="D39" i="11"/>
  <c r="E39" i="11"/>
  <c r="C40" i="11"/>
  <c r="D33" i="11"/>
  <c r="E42" i="11"/>
  <c r="E6" i="9"/>
  <c r="E33" i="11"/>
  <c r="C28" i="11"/>
  <c r="D35" i="11"/>
  <c r="E32" i="11"/>
  <c r="D34" i="11"/>
  <c r="E38" i="11"/>
  <c r="C52" i="11"/>
  <c r="C51" i="11"/>
  <c r="E41" i="11"/>
  <c r="C49" i="11"/>
  <c r="E2" i="9"/>
  <c r="C43" i="11"/>
  <c r="C42" i="11"/>
  <c r="C32" i="11"/>
  <c r="E8" i="9"/>
  <c r="D28" i="11"/>
  <c r="E29" i="11"/>
  <c r="C39" i="11"/>
  <c r="C38" i="11"/>
  <c r="E28" i="11"/>
  <c r="C37" i="11"/>
  <c r="D32" i="11"/>
  <c r="E5" i="9"/>
  <c r="E27" i="11"/>
  <c r="C36" i="11"/>
  <c r="D31" i="11"/>
  <c r="E31" i="11"/>
  <c r="E9" i="9"/>
  <c r="C35" i="11"/>
  <c r="C34" i="11"/>
  <c r="C33" i="11"/>
  <c r="D29" i="11"/>
  <c r="C31" i="11"/>
  <c r="C30" i="11"/>
  <c r="C29" i="11"/>
  <c r="C25" i="11"/>
  <c r="D26" i="11"/>
  <c r="D30" i="11"/>
  <c r="C27" i="11"/>
  <c r="C26" i="11"/>
  <c r="D27" i="11"/>
  <c r="E30" i="11"/>
  <c r="F6" i="9"/>
  <c r="C28" i="26" s="1"/>
  <c r="E7" i="9"/>
  <c r="E3" i="9"/>
  <c r="D25" i="11"/>
  <c r="C24" i="11"/>
  <c r="E4" i="9"/>
  <c r="E4" i="11"/>
  <c r="B5" i="16"/>
  <c r="C4" i="11"/>
  <c r="B9" i="9"/>
  <c r="B8" i="9"/>
  <c r="B7" i="9"/>
  <c r="B6" i="9"/>
  <c r="B5" i="9"/>
  <c r="B4" i="9"/>
  <c r="B3" i="9"/>
  <c r="B2" i="9"/>
  <c r="B28" i="24" l="1"/>
  <c r="B27" i="24"/>
  <c r="F2" i="9"/>
  <c r="C2" i="26" s="1"/>
  <c r="F4" i="9"/>
  <c r="C14" i="26" s="1"/>
  <c r="D14" i="26" s="1" a="1"/>
  <c r="D14" i="26" s="1"/>
  <c r="F5" i="9"/>
  <c r="C21" i="26" s="1"/>
  <c r="D21" i="26" s="1" a="1"/>
  <c r="D21" i="26" s="1"/>
  <c r="F7" i="9"/>
  <c r="C35" i="26" s="1"/>
  <c r="D28" i="26" a="1"/>
  <c r="D28" i="26" s="1"/>
  <c r="E28" i="26" a="1"/>
  <c r="E28" i="26" s="1"/>
  <c r="F9" i="9"/>
  <c r="C49" i="26" s="1"/>
  <c r="B49" i="26"/>
  <c r="F8" i="9"/>
  <c r="C42" i="26" s="1"/>
  <c r="B42" i="26"/>
  <c r="F3" i="9"/>
  <c r="C9" i="26" s="1"/>
  <c r="B9" i="26"/>
  <c r="B1" i="24"/>
  <c r="I2" i="24"/>
  <c r="F4" i="24"/>
  <c r="H5" i="24"/>
  <c r="E2" i="24"/>
  <c r="I5" i="24"/>
  <c r="H2" i="24"/>
  <c r="E3" i="24"/>
  <c r="G7" i="24"/>
  <c r="E4" i="24"/>
  <c r="F7" i="24"/>
  <c r="F5" i="24"/>
  <c r="G2" i="24"/>
  <c r="E6" i="24"/>
  <c r="G5" i="24"/>
  <c r="F2" i="24"/>
  <c r="C7" i="24"/>
  <c r="C5" i="24"/>
  <c r="I7" i="24"/>
  <c r="I6" i="24"/>
  <c r="I4" i="24"/>
  <c r="D2" i="24"/>
  <c r="C3" i="24"/>
  <c r="E7" i="24"/>
  <c r="C2" i="24"/>
  <c r="E5" i="24"/>
  <c r="I3" i="24"/>
  <c r="D6" i="24"/>
  <c r="D7" i="24"/>
  <c r="H4" i="24"/>
  <c r="C6" i="24"/>
  <c r="D4" i="24"/>
  <c r="D5" i="24"/>
  <c r="H3" i="24"/>
  <c r="D3" i="24"/>
  <c r="G6" i="24"/>
  <c r="C4" i="24"/>
  <c r="G4" i="24"/>
  <c r="G3" i="24"/>
  <c r="H6" i="24"/>
  <c r="F6" i="24"/>
  <c r="F3" i="24"/>
  <c r="H7" i="24"/>
  <c r="A38" i="20"/>
  <c r="A37" i="20"/>
  <c r="A49" i="20"/>
  <c r="L9" i="16"/>
  <c r="B56" i="16"/>
  <c r="B58" i="16" s="1"/>
  <c r="B6" i="16"/>
  <c r="E2" i="26" l="1" a="1"/>
  <c r="E2" i="26" s="1"/>
  <c r="D2" i="26" a="1"/>
  <c r="D2" i="26" s="1"/>
  <c r="E35" i="26" a="1"/>
  <c r="E35" i="26" s="1"/>
  <c r="E14" i="26" a="1"/>
  <c r="E14" i="26" s="1"/>
  <c r="D35" i="26" a="1"/>
  <c r="D35" i="26" s="1"/>
  <c r="E21" i="26" a="1"/>
  <c r="E21" i="26" s="1"/>
  <c r="D9" i="26" a="1"/>
  <c r="D9" i="26" s="1"/>
  <c r="E9" i="26" a="1"/>
  <c r="E9" i="26" s="1"/>
  <c r="D42" i="26" a="1"/>
  <c r="D42" i="26" s="1"/>
  <c r="E42" i="26" a="1"/>
  <c r="E42" i="26" s="1"/>
  <c r="D49" i="26" a="1"/>
  <c r="D49" i="26" s="1"/>
  <c r="E49" i="26" a="1"/>
  <c r="E49" i="26" s="1"/>
  <c r="B5" i="24"/>
  <c r="B2" i="24"/>
  <c r="B4" i="24"/>
  <c r="B7" i="24"/>
  <c r="B3" i="24"/>
  <c r="B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AD27C-F074-43A1-96E0-3A39C427DE72}" keepAlive="1" name="Query - AllResponses" description="Connection to the 'AllResponses' query in the workbook." type="5" refreshedVersion="8" background="1" saveData="1">
    <dbPr connection="Provider=Microsoft.Mashup.OleDb.1;Data Source=$Workbook$;Location=AllResponses;Extended Properties=&quot;&quot;" command="SELECT * FROM [AllResponses]"/>
  </connection>
  <connection id="2" xr16:uid="{93F11F26-891E-4D10-8329-79E792548D41}" keepAlive="1" name="Query - AllResponses (2)" description="Connection to the 'AllResponses (2)' query in the workbook." type="5" refreshedVersion="0" background="1">
    <dbPr connection="Provider=Microsoft.Mashup.OleDb.1;Data Source=$Workbook$;Location=&quot;AllResponses (2)&quot;;Extended Properties=&quot;&quot;" command="SELECT * FROM [AllResponses (2)]"/>
  </connection>
  <connection id="3" xr16:uid="{261209B6-EF0E-4504-B15C-6F26BBF350AA}" keepAlive="1" name="Query - AllResponses (3)" description="Connection to the 'AllResponses (3)' query in the workbook." type="5" refreshedVersion="8" background="1" saveData="1">
    <dbPr connection="Provider=Microsoft.Mashup.OleDb.1;Data Source=$Workbook$;Location=&quot;AllResponses (3)&quot;;Extended Properties=&quot;&quot;" command="SELECT * FROM [AllResponses (3)]"/>
  </connection>
  <connection id="4" xr16:uid="{40149B71-3199-485A-BB27-E26961ADC12E}" keepAlive="1" name="Query - ResponsesQuerry" description="Connection to the 'ResponsesQuerry' query in the workbook." type="5" refreshedVersion="0" background="1">
    <dbPr connection="Provider=Microsoft.Mashup.OleDb.1;Data Source=$Workbook$;Location=ResponsesQuerry;Extended Properties=&quot;&quot;" command="SELECT * FROM [ResponsesQuerry]"/>
  </connection>
  <connection id="5" xr16:uid="{47D3032F-03DF-4287-961D-FCCD388412DA}" keepAlive="1" name="Query - ResponsesQuery" description="Connection to the 'ResponsesQuery' query in the workbook." type="5" refreshedVersion="0" background="1">
    <dbPr connection="Provider=Microsoft.Mashup.OleDb.1;Data Source=$Workbook$;Location=ResponsesQuery;Extended Properties=&quot;&quot;" command="SELECT * FROM [ResponsesQuery]"/>
  </connection>
  <connection id="6" xr16:uid="{7232788A-E116-46CA-8BE4-6BBEA49258CB}" keepAlive="1" name="Query - SurveyFormQuerry" description="Connection to the 'SurveyFormQuerry' query in the workbook." type="5" refreshedVersion="0" background="1">
    <dbPr connection="Provider=Microsoft.Mashup.OleDb.1;Data Source=$Workbook$;Location=SurveyFormQuerry;Extended Properties=&quot;&quot;" command="SELECT * FROM [SurveyFormQuerry]"/>
  </connection>
  <connection id="7" xr16:uid="{3B9E4DDC-06BB-4FB5-A7F9-863E5861530F}" keepAlive="1" name="Query - Table11" description="Connection to the 'Table11' query in the workbook." type="5" refreshedVersion="0" background="1">
    <dbPr connection="Provider=Microsoft.Mashup.OleDb.1;Data Source=$Workbook$;Location=Table11;Extended Properties=&quot;&quot;" command="SELECT * FROM [Table11]"/>
  </connection>
  <connection id="8" xr16:uid="{E425F383-A56A-4D5A-B7CD-5B0446A5F415}" name="Query - Table11 (2)" description="Connection to the 'Table11 (2)' query in the workbook." type="100" refreshedVersion="8" minRefreshableVersion="5">
    <extLst>
      <ext xmlns:x15="http://schemas.microsoft.com/office/spreadsheetml/2010/11/main" uri="{DE250136-89BD-433C-8126-D09CA5730AF9}">
        <x15:connection id="d88d1bc6-5b65-43c5-8287-0cc23a637342"/>
      </ext>
    </extLst>
  </connection>
  <connection id="9" xr16:uid="{B0004397-473C-4EC2-B2F9-9B5095EC8B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<sst xmlns="http://schemas.openxmlformats.org/spreadsheetml/2006/main" count="9011" uniqueCount="562">
  <si>
    <t>Role Modelling</t>
  </si>
  <si>
    <t>SoftControl</t>
  </si>
  <si>
    <t>Agree</t>
  </si>
  <si>
    <t>Achievability</t>
  </si>
  <si>
    <t>Neutral</t>
  </si>
  <si>
    <t>Enforcement</t>
  </si>
  <si>
    <t>Disagree</t>
  </si>
  <si>
    <t>Clarity</t>
  </si>
  <si>
    <t>Transparency</t>
  </si>
  <si>
    <t>Commitment</t>
  </si>
  <si>
    <t>Call someone to account</t>
  </si>
  <si>
    <t>QuestionID</t>
  </si>
  <si>
    <t>QuestionText</t>
  </si>
  <si>
    <t>Q001</t>
  </si>
  <si>
    <t>I believe that my Leaders and seniors are positive role models when it comes to successfully managing all potential risks</t>
  </si>
  <si>
    <t>Q002</t>
  </si>
  <si>
    <t>All the executives set the right ‘tone at the top’ on the importance of managing all potential risks.</t>
  </si>
  <si>
    <t>Q003</t>
  </si>
  <si>
    <t>All the seniors encourage employees to identify, escalate and report all material potential risks in a timely manner</t>
  </si>
  <si>
    <t>Q004</t>
  </si>
  <si>
    <t>When decisions are made by leaders, potential and long-term implications are usually considered.</t>
  </si>
  <si>
    <t>Q005</t>
  </si>
  <si>
    <t>In a Team or with leaders we can discuss openly when results fall short,and expectations aren’t met.</t>
  </si>
  <si>
    <t>Q006</t>
  </si>
  <si>
    <t>People can seek advice if they have questions about managing tasks or risks in the team.</t>
  </si>
  <si>
    <t>Q007</t>
  </si>
  <si>
    <t>People feel comfortable sharing their opinion on work and risk management.</t>
  </si>
  <si>
    <t>Q008</t>
  </si>
  <si>
    <t>Within my team or department people feel comfortable to report risk management dillemas or if something goes wrong.</t>
  </si>
  <si>
    <t>Q009</t>
  </si>
  <si>
    <t>The amount of training in risk management I have received to help me manage risk in my job is sufficient.</t>
  </si>
  <si>
    <t>Q010</t>
  </si>
  <si>
    <t>Within my team or department people have enough time and resources to do their job without taking unacceptable risks</t>
  </si>
  <si>
    <t>Q011</t>
  </si>
  <si>
    <t>People set targets that are achievable without compromising risk management policies, guidelines and procedures.</t>
  </si>
  <si>
    <t>Q012</t>
  </si>
  <si>
    <t>People visibly consider potential risks when making strategic decisions</t>
  </si>
  <si>
    <t>Q013</t>
  </si>
  <si>
    <t>Within my team, people learn from cases of non-compliances with regard to policies, procedures or guidelines for managing material potential risk</t>
  </si>
  <si>
    <t>Q014</t>
  </si>
  <si>
    <t>If I reported a violation of risk culture to management, I believe my report would be handled confidentially.</t>
  </si>
  <si>
    <t>Q015</t>
  </si>
  <si>
    <t>People are given incentives or rewards for being compliant with policies, procedures or guidelines.</t>
  </si>
  <si>
    <t>Q016</t>
  </si>
  <si>
    <t>Overall, within the company, Managing risks is viewed as a crucial element to achieve outstanding business performance</t>
  </si>
  <si>
    <t>Q017</t>
  </si>
  <si>
    <t>I am familiar with and could explain the activities that are required to manage and address risks relevant to my role</t>
  </si>
  <si>
    <t>Q018</t>
  </si>
  <si>
    <t>Within my team or department the level of understanding of our policies, procedures or guidelines for risk management is high.</t>
  </si>
  <si>
    <t>Q019</t>
  </si>
  <si>
    <t>I know how much risk I am allowed to take as per the the policies and procedures of my organization.</t>
  </si>
  <si>
    <t>Q020</t>
  </si>
  <si>
    <t>The communications and training I receive on risk management are Clear and easy for me to understand, and effective in guiding my decisions and behavior at work.</t>
  </si>
  <si>
    <t>Q021</t>
  </si>
  <si>
    <t>Within my team or department the possibility of being non-compliant with risk management policies, procedures or guidelines is minimal</t>
  </si>
  <si>
    <t>Q022</t>
  </si>
  <si>
    <t>New risks and changes to existing risks are proactively identified in my team</t>
  </si>
  <si>
    <t>Q023</t>
  </si>
  <si>
    <t>Leaders explain what actions were taken after concerns were being reported.</t>
  </si>
  <si>
    <t>Q024</t>
  </si>
  <si>
    <t>Professional standards, processes and procedures are clear and accessible and are not hidden</t>
  </si>
  <si>
    <t>Q025</t>
  </si>
  <si>
    <t>Within my team or department people feel motivated and empowered to manage risks.</t>
  </si>
  <si>
    <t>Q026</t>
  </si>
  <si>
    <t>People feel a strong sense of belonging to the organization</t>
  </si>
  <si>
    <t>Q027</t>
  </si>
  <si>
    <t>I consider the impact on others before failing to meet commitments of my own tasks.</t>
  </si>
  <si>
    <t>Q028</t>
  </si>
  <si>
    <t>I undertake all risk management responsibilities and activities applicable to my role</t>
  </si>
  <si>
    <t>Q029</t>
  </si>
  <si>
    <t>Within my team or department, people call each other to account if they see that someone is non-compliant with regard to risk management</t>
  </si>
  <si>
    <t>Q030</t>
  </si>
  <si>
    <t>Accountability issues are addressed soon after they arise in my team</t>
  </si>
  <si>
    <t>Q031</t>
  </si>
  <si>
    <t>I feel comfortable to report when someone is non-compliant with regard to risk management policies, procedures or guidelines</t>
  </si>
  <si>
    <t>Q032</t>
  </si>
  <si>
    <t>Within my team at workplace, people are receptive to criticism on their own conduct.</t>
  </si>
  <si>
    <t>Q033</t>
  </si>
  <si>
    <t>Did you experienced or witnessed a violation of company values or the Code of Conduct within the last twelve months</t>
  </si>
  <si>
    <t>Q034</t>
  </si>
  <si>
    <t>To whom would you like to report undesired behavior instances happening in you organization</t>
  </si>
  <si>
    <t>Response</t>
  </si>
  <si>
    <t>RespondentID</t>
  </si>
  <si>
    <t>Risk_Level</t>
  </si>
  <si>
    <t>Strongly Disagree</t>
  </si>
  <si>
    <t>Strongly Agree</t>
  </si>
  <si>
    <t>Score_100</t>
  </si>
  <si>
    <t>Score_5</t>
  </si>
  <si>
    <t>Score Scale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</si>
  <si>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</si>
  <si>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</si>
  <si>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</si>
  <si>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</si>
  <si>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</si>
  <si>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</si>
  <si>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</si>
  <si>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</si>
  <si>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</si>
  <si>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</si>
  <si>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</si>
  <si>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</si>
  <si>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</si>
  <si>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</si>
  <si>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</si>
  <si>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</si>
  <si>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</si>
  <si>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</si>
  <si>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</si>
  <si>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</si>
  <si>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</si>
  <si>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</si>
  <si>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</si>
  <si>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</si>
  <si>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Question Text</t>
  </si>
  <si>
    <t>Scores</t>
  </si>
  <si>
    <t>Total_Questions</t>
  </si>
  <si>
    <t>Favorable%</t>
  </si>
  <si>
    <t>Discussability</t>
  </si>
  <si>
    <t>Call Someone to Account</t>
  </si>
  <si>
    <t>FavorableFlag</t>
  </si>
  <si>
    <t>Avg Scores</t>
  </si>
  <si>
    <t>AvgScore100</t>
  </si>
  <si>
    <t xml:space="preserve"> </t>
  </si>
  <si>
    <t>R025</t>
  </si>
  <si>
    <t>Total_Qs</t>
  </si>
  <si>
    <t>Response (user selects)</t>
  </si>
  <si>
    <t>Respondent ID</t>
  </si>
  <si>
    <t>Metric</t>
  </si>
  <si>
    <t>Value</t>
  </si>
  <si>
    <t>Total Respondents</t>
  </si>
  <si>
    <t>Total Questions</t>
  </si>
  <si>
    <t>Overall Favorable %</t>
  </si>
  <si>
    <t>Overall Risk Level</t>
  </si>
  <si>
    <t>Score</t>
  </si>
  <si>
    <t>Column1</t>
  </si>
  <si>
    <t>High Risk</t>
  </si>
  <si>
    <t>Medium Risk</t>
  </si>
  <si>
    <t>Low Risk</t>
  </si>
  <si>
    <t>Hidden</t>
  </si>
  <si>
    <t>hidden</t>
  </si>
  <si>
    <t>Med Risk</t>
  </si>
  <si>
    <t>StartPadding</t>
  </si>
  <si>
    <t>Needle</t>
  </si>
  <si>
    <t>End Padding</t>
  </si>
  <si>
    <t>Column2</t>
  </si>
  <si>
    <t xml:space="preserve">Score </t>
  </si>
  <si>
    <t>Recommendation</t>
  </si>
  <si>
    <t>How</t>
  </si>
  <si>
    <t>When</t>
  </si>
  <si>
    <t>Discussibility</t>
  </si>
  <si>
    <t>Run small-group listening meetings to hear concerns and ideas.</t>
  </si>
  <si>
    <t>Collect topics anonymously; hold 45‑min session; publish what was heard and actions.</t>
  </si>
  <si>
    <t>Start this quarter; quarterly</t>
  </si>
  <si>
    <t>Hold problem-scenario discussions with anonymous voting and leader explanations.</t>
  </si>
  <si>
    <t>Use simple polls on 2–3 real dilemmas; record decisions and reasons; share notes.</t>
  </si>
  <si>
    <t>Start in 1–2 months; quarterly</t>
  </si>
  <si>
    <t>Re‑introduce speak‑up channels and protections.</t>
  </si>
  <si>
    <t>One‑page guide + short video on where to report, what happens next, and non‑retaliation.</t>
  </si>
  <si>
    <t>Within 1 month; refresh twice a year</t>
  </si>
  <si>
    <t>Share a monthly ‘You said, we did’ update.</t>
  </si>
  <si>
    <t>5‑bullet intranet/email note listing issues raised, actions taken, and any constraints.</t>
  </si>
  <si>
    <t>Monthly</t>
  </si>
  <si>
    <t>Publish answers to common employee questions.</t>
  </si>
  <si>
    <t>Collect questions (anonymous allowed), group them, and post clear answers in one place.</t>
  </si>
  <si>
    <t>Start within 1 month; update monthly</t>
  </si>
  <si>
    <t>Share short, visual guides for confusing processes.</t>
  </si>
  <si>
    <t>1‑page flows for incident handling, promotions, and workload planning; include contacts.</t>
  </si>
  <si>
    <t>Draft in 4–6 weeks; review 6‑monthly</t>
  </si>
  <si>
    <t>Leaders run open reflection sessions on past decisions and learnings.</t>
  </si>
  <si>
    <t>30‑min slot in team meetings; leader shares what worked/what didn’t and next changes.</t>
  </si>
  <si>
    <t>Start next month; quarterly</t>
  </si>
  <si>
    <t>Publish a simple ‘how to escalate’ guide.</t>
  </si>
  <si>
    <t>What to raise, when, to whom, expected timelines; include examples.</t>
  </si>
  <si>
    <t>Within 1 month</t>
  </si>
  <si>
    <t>Teams hold a monthly 20‑minute check‑in on promises and roadblocks.</t>
  </si>
  <si>
    <t>3 questions: what did we commit, what’s blocked, what help is needed; record actions.</t>
  </si>
  <si>
    <t>Review targets to ensure they are realistic.</t>
  </si>
  <si>
    <t>Check workload, skills, resources; adjust targets or add support.</t>
  </si>
  <si>
    <t>Within 6 weeks; at planning cycles</t>
  </si>
  <si>
    <t>Map workloads every two months to spot overload.</t>
  </si>
  <si>
    <t>Simple RAG per person/team; drop, delay, or reassign low‑priority work.</t>
  </si>
  <si>
    <t>Every 2 months</t>
  </si>
  <si>
    <t>Add a short ‘pressure check’ to performance conversations.</t>
  </si>
  <si>
    <t>Ask about blockers, deadlines, support needed; note 1–2 actions.</t>
  </si>
  <si>
    <t>From next review cycle</t>
  </si>
  <si>
    <t>Publish how misconduct or rule‑breaking is handled consistently.</t>
  </si>
  <si>
    <t>Steps, roles, timelines, and example outcomes apply equally to all levels.</t>
  </si>
  <si>
    <t>Within 2 months</t>
  </si>
  <si>
    <t>Create a small network of trained ethics helpers.</t>
  </si>
  <si>
    <t>1–2 per BU who can explain policies and direct people to the right channel.</t>
  </si>
  <si>
    <t>Nominate in 6 weeks; train in 2 months</t>
  </si>
  <si>
    <t>Send status updates to people who report concerns.</t>
  </si>
  <si>
    <t>Acknowledge receipt; share process and timelines; confirm closure (no sensitive details).</t>
  </si>
  <si>
    <t>Immediate; ongoing</t>
  </si>
  <si>
    <t>Run team sessions to clarify who does what.</t>
  </si>
  <si>
    <t>Create a simple responsibility map (RACI) and agree on handoffs.</t>
  </si>
  <si>
    <t>Within 1–2 months; review 6‑monthly</t>
  </si>
  <si>
    <t>Publish a short guide on how common decisions are made.</t>
  </si>
  <si>
    <t>Who decides, inputs needed, timelines, and appeal/escalation path.</t>
  </si>
  <si>
    <t>Hold a monthly ‘ask anything’ hour with department heads.</t>
  </si>
  <si>
    <t>45‑min session; allow anonymous questions; post a written summary.</t>
  </si>
  <si>
    <t>Role modelling</t>
  </si>
  <si>
    <t>Leaders share real examples of tough choices and lessons.</t>
  </si>
  <si>
    <t>10‑min segment at staff meetings or a short video; focus on what changed after mistakes.</t>
  </si>
  <si>
    <t>Quarterly</t>
  </si>
  <si>
    <t>Let selected employees observe key meetings and debrief behaviours.</t>
  </si>
  <si>
    <t>1 meeting/month; 15‑min debrief on listening, respect, and inviting challenge.</t>
  </si>
  <si>
    <t>Pilot in 2–3 months</t>
  </si>
  <si>
    <t>Provide simple 360° behaviour feedback to leaders.</t>
  </si>
  <si>
    <t>5–7 questions on listening, inclusion, inviting challenge; agree 2–3 actions.</t>
  </si>
  <si>
    <t>Start in 3–4 months; annual thereafter</t>
  </si>
  <si>
    <t>Publish a 6‑month culture plan with 3–5 actions and owners.</t>
  </si>
  <si>
    <t>Define milestones; review progress at the executive meeting each month.</t>
  </si>
  <si>
    <t>Draft in 4 weeks; monthly reviews</t>
  </si>
  <si>
    <t>Nominate culture champions across functions to keep actions moving.</t>
  </si>
  <si>
    <t>One‑page role; collect feedback; surface risks; share quick wins.</t>
  </si>
  <si>
    <t>Nominate in 1–2 months</t>
  </si>
  <si>
    <t>Add culture metrics to leader scorecards and reviews.</t>
  </si>
  <si>
    <t>Track speak‑up usage, leader‑employee gap, and sentiment trend each quarter.</t>
  </si>
  <si>
    <t>Define in 4–6 weeks; quarterly</t>
  </si>
  <si>
    <t xml:space="preserve">     </t>
  </si>
  <si>
    <t>Dimensions</t>
  </si>
  <si>
    <t>Executive Commitment to Risk Culture</t>
  </si>
  <si>
    <t>Leadership Encouragement to Escalate Risks</t>
  </si>
  <si>
    <t>Long-Term Decision Awareness</t>
  </si>
  <si>
    <t>Openness to Discussions</t>
  </si>
  <si>
    <t>Access to Guidance</t>
  </si>
  <si>
    <t>Openness to Sharing Opinions</t>
  </si>
  <si>
    <t>Comfort in Reporting Risk Dilemmas</t>
  </si>
  <si>
    <t>Adequacy of Risk Management Training</t>
  </si>
  <si>
    <t>Workload Balance &amp; Resource Sufficiency</t>
  </si>
  <si>
    <t>Realistic Target Setting</t>
  </si>
  <si>
    <t>Risk Insight in Decision Making</t>
  </si>
  <si>
    <t>Learning Culture from Non‑Compliance Cases</t>
  </si>
  <si>
    <t>Trust in Confidential Reporting</t>
  </si>
  <si>
    <t>Compliance Recognition &amp; enforcement</t>
  </si>
  <si>
    <t>Organizational View for on Risk Culture</t>
  </si>
  <si>
    <t>Clarity of Role and Responsibilities</t>
  </si>
  <si>
    <t>Understanding of Risk Policies &amp; Procedures</t>
  </si>
  <si>
    <t>Clarity of Personal Risk Boundaries</t>
  </si>
  <si>
    <t>Effectiveness of Risk Communication &amp; Training</t>
  </si>
  <si>
    <t>Motivation for Risk Ownership</t>
  </si>
  <si>
    <t>Sense of Belonging to the Organization</t>
  </si>
  <si>
    <t>Consideration of Impact on Others</t>
  </si>
  <si>
    <t>Accountability for Risk Actions</t>
  </si>
  <si>
    <t xml:space="preserve">Peer to peer Accountability </t>
  </si>
  <si>
    <t>Timely Resolution of Accountability Issues</t>
  </si>
  <si>
    <t>Comfort for Reporting Non‑Compliance.</t>
  </si>
  <si>
    <t>Openness to Receive Constructive Feedbacks</t>
  </si>
  <si>
    <t xml:space="preserve"> Compliance Confidence in team</t>
  </si>
  <si>
    <t>Proactive Risk Identification</t>
  </si>
  <si>
    <t>Leadership Follow Through</t>
  </si>
  <si>
    <t>Transparency &amp; Accessibility of Standards</t>
  </si>
  <si>
    <t xml:space="preserve">Leadership Example‑Setting in Risk Management </t>
  </si>
  <si>
    <t>Dimension</t>
  </si>
  <si>
    <t>AvgScore_100</t>
  </si>
  <si>
    <t>Unfavorable%</t>
  </si>
  <si>
    <t>People_Unfavorable</t>
  </si>
  <si>
    <t xml:space="preserve"> Total_Responses</t>
  </si>
  <si>
    <t>Risk Culture Index</t>
  </si>
  <si>
    <t>Dimensions2</t>
  </si>
  <si>
    <t xml:space="preserve">Operations </t>
  </si>
  <si>
    <t>HR</t>
  </si>
  <si>
    <t>Audit</t>
  </si>
  <si>
    <t>Function</t>
  </si>
  <si>
    <t>Operations</t>
  </si>
  <si>
    <t>Finance</t>
  </si>
  <si>
    <t>IT</t>
  </si>
  <si>
    <t>Sales</t>
  </si>
  <si>
    <t>R030</t>
  </si>
  <si>
    <t>0</t>
  </si>
  <si>
    <t/>
  </si>
  <si>
    <t xml:space="preserve">HR </t>
  </si>
  <si>
    <t>Funtions x SoftControls</t>
  </si>
  <si>
    <t>Funtion</t>
  </si>
  <si>
    <t>RCI</t>
  </si>
  <si>
    <t>KPI</t>
  </si>
  <si>
    <t>Best Funtion</t>
  </si>
  <si>
    <t>Worst Funtion</t>
  </si>
  <si>
    <t>Sector</t>
  </si>
  <si>
    <t>Calling to Account</t>
  </si>
  <si>
    <t>Banking &amp; Capital Markets</t>
  </si>
  <si>
    <t>Insurance</t>
  </si>
  <si>
    <t>Technology, Media &amp; Telecom</t>
  </si>
  <si>
    <t>Healthcare &amp; Life Sciences</t>
  </si>
  <si>
    <t>Energy &amp; Natural Resources</t>
  </si>
  <si>
    <t>Government &amp; Public Sector</t>
  </si>
  <si>
    <t>Consumer Goods &amp; Retail</t>
  </si>
  <si>
    <t>Industrial Manufacturing</t>
  </si>
  <si>
    <t>Infrastructure &amp; Transport</t>
  </si>
  <si>
    <t>Real Estate &amp; Construction</t>
  </si>
  <si>
    <t>Organizational View on Risk Culture</t>
  </si>
  <si>
    <t>Team members are held to the same behavioral standards, no matter who they are.</t>
  </si>
  <si>
    <t>Consistency of Conduct Enforcement</t>
  </si>
  <si>
    <t>Start ‘Workload Forecast Fridays’.</t>
  </si>
  <si>
    <t>Team predicts next week’s workload with R/Y/G tags; manager reallocates tasks as needed.</t>
  </si>
  <si>
    <t>Build a 30‑day skill booster for weak areas.</t>
  </si>
  <si>
    <t>L&amp;D creates bite‑sized training for the 2 most common skill gaps; track completion and application.</t>
  </si>
  <si>
    <t>Introduce ‘Priority Swap Logs’.</t>
  </si>
  <si>
    <t>When a new task arrives, list which lower‑priority task will pause; share weekly.</t>
  </si>
  <si>
    <t>Create a monthly resourcing checkpoint.</t>
  </si>
  <si>
    <t>BU reviews capacity, backlog, and blockers with HR; temporarily redistribute resources.</t>
  </si>
  <si>
    <t>Add ‘Team Norm Reviews’ to monthly check‑ins.</t>
  </si>
  <si>
    <t>Teams rate themselves on 3 norms (ownership, honesty, follow‑through); manager summarizes 1 improvement action.</t>
  </si>
  <si>
    <t>Introduce micro‑escalation cards.</t>
  </si>
  <si>
    <t>Provide a card/listing of ‘what to escalate’, timelines, and the right role; share in all team meetings.</t>
  </si>
  <si>
    <t>Run 15‑min ‘Case Replay’ exercises.</t>
  </si>
  <si>
    <t>Manager picks a sanitized situation, explains what should have happened, and clarifies expectations.</t>
  </si>
  <si>
    <t>Launch quick ‘Stop/Start/Continue’ monthly peer feedback.</t>
  </si>
  <si>
    <t>Each member submits 1 behaviour under each category; manager consolidates themes anonymously.</t>
  </si>
  <si>
    <t>Publish ‘Role Boundaries Cheat Sheets’.</t>
  </si>
  <si>
    <t>One‑pager per role listing 5 decisions they can make and 5 they cannot; share yearly.</t>
  </si>
  <si>
    <t>Use ‘Fast FAQs’ for any new process.</t>
  </si>
  <si>
    <t>On launch, publish 5 FAQs + 5 Do’s/Don’ts; share in team chats.</t>
  </si>
  <si>
    <t>Standardize ‘Before you start’ checklists.</t>
  </si>
  <si>
    <t>Each process owner provides a quick checklist to verify prerequisites.</t>
  </si>
  <si>
    <t>Create cross‑BU walkthrough recordings.</t>
  </si>
  <si>
    <t>10‑minute videos explaining steps, common confusions, and contacts; host on intranet.</t>
  </si>
  <si>
    <t>Launch monthly ‘Purpose Moments’.</t>
  </si>
  <si>
    <t>Teams spend 5 minutes mapping current tasks to mission; share 1 example monthly.</t>
  </si>
  <si>
    <t>Start cross‑region ‘Culture Exchange Pods’.</t>
  </si>
  <si>
    <t>Groups of 6 from different markets meet monthly to share risks and practices; rotate facilitators.</t>
  </si>
  <si>
    <t>Introduce ‘Micro‑recognitions’ for values.</t>
  </si>
  <si>
    <t>Managers send 2 value‑based recognitions per month via collaboration tools; auto‑logged for performance.</t>
  </si>
  <si>
    <t>Hold quarterly ‘What’s Working Well’ share‑outs.</t>
  </si>
  <si>
    <t>Teams present 3 positive behaviours that improved collaboration or ethics; capture playbook items.</t>
  </si>
  <si>
    <t>Start weekly ‘5‑Minute Clarity Checks’.</t>
  </si>
  <si>
    <t>Managers ask 2 fixed prompts: ‘What’s unclear?’ and ‘Where did we hesitate last week?’; note 1 action and share in team chat.</t>
  </si>
  <si>
    <t>Introduce ‘anonymous dilemma slips’ in team meetings.</t>
  </si>
  <si>
    <t>Set up a quick QR form; manager picks 1 dilemma each week and explains how it would be handled; share guidance note.</t>
  </si>
  <si>
    <t>Run cross‑function mini‑panels every month.</t>
  </si>
  <si>
    <t>Bring 3 functions for a 20‑minute rapid‑fire Q&amp;A on risk/ethics; record takeaways and distribute.</t>
  </si>
  <si>
    <t>Launch ‘What Would You Do?’ shorts.</t>
  </si>
  <si>
    <t>Upload a 60‑second case video bi‑weekly; employees vote on options; publish the correct escalation path.</t>
  </si>
  <si>
    <t>Publish an internal ‘Consistent Consequences Grid’.</t>
  </si>
  <si>
    <t>Map behaviours to actions; share anonymized examples quarterly.</t>
  </si>
  <si>
    <t>Launch ‘Check‑in after closure’ protocol.</t>
  </si>
  <si>
    <t>After each resolved case, manager explains process (no names) and controls strengthened.</t>
  </si>
  <si>
    <t>Add SLA timers for case handling.</t>
  </si>
  <si>
    <t>Case system alerts when steps exceed defined timelines; monthly review for delays.</t>
  </si>
  <si>
    <t>Run a monthly enforcement alignment huddle.</t>
  </si>
  <si>
    <t>HR + Compliance review 3–4 recent cases to ensure decisions are consistent across functions.</t>
  </si>
  <si>
    <t>Start monthly ‘Leader Reality Checks’.</t>
  </si>
  <si>
    <t>Leaders visit one team (virtual/on‑site) for 20 min; ask 3 fixed questions; share learnings.</t>
  </si>
  <si>
    <t>Introduce ‘Show Your Work’ leadership notes.</t>
  </si>
  <si>
    <t>Leaders publish short notes after key decisions showing risks considered and trade‑offs.</t>
  </si>
  <si>
    <t>Set up a rotating leader Q&amp;A carousel.</t>
  </si>
  <si>
    <t>Each month a different leader hosts a 15‑min open Q&amp;A; anonymous submissions.</t>
  </si>
  <si>
    <t>Embed values moments in leader briefings.</t>
  </si>
  <si>
    <t>Leaders open each briefing with a 1‑minute story of a value demonstrated internally.</t>
  </si>
  <si>
    <t>Publish ‘This Month in Decisions’ micro‑updates.</t>
  </si>
  <si>
    <t>Bullet 5 key decisions (no names); add what changed for teams and link to updated docs.</t>
  </si>
  <si>
    <t>Create a simple ‘policy‑on‑a‑page’ hub.</t>
  </si>
  <si>
    <t>Convert key policies into 1‑page visuals; upload and tag; notify teams of monthly additions.</t>
  </si>
  <si>
    <t>Add quarterly ‘Open Data Hour’ sessions.</t>
  </si>
  <si>
    <t>BI team walks employees through dashboards (risks, trends, SLA metrics); take Q&amp;A and publish summary.</t>
  </si>
  <si>
    <t>Introduce ‘Why we changed this’ tags.</t>
  </si>
  <si>
    <t>Add a one‑line reason on each new process/policy update; keep it visible on the page.</t>
  </si>
  <si>
    <t>AvgScore</t>
  </si>
  <si>
    <t>Flagged_RCI</t>
  </si>
  <si>
    <t>Flagged</t>
  </si>
  <si>
    <t>No</t>
  </si>
  <si>
    <t>Yes</t>
  </si>
  <si>
    <t>Neutral%</t>
  </si>
  <si>
    <t>Favourable%</t>
  </si>
  <si>
    <t>Unfavourable%</t>
  </si>
  <si>
    <t>What it means to your organization</t>
  </si>
  <si>
    <t>Business Impact</t>
  </si>
  <si>
    <t>When this is low, employees receive mixed signals about expected behavior, leading to inconsistency, reduced trust in leadership, and weaker cultural alignment.</t>
  </si>
  <si>
    <t>Shows how visibly senior leadership prioritizes and reinforces a strong risk culture.</t>
  </si>
  <si>
    <t>Low commitment reduces the credibility of risk initiatives, slows cultural adoption, and causes employees to deprioritize risk considerations.</t>
  </si>
  <si>
    <t>Indicates whether leaders actively encourage employees to raise concerns and escalate risks early.</t>
  </si>
  <si>
    <t>Low scores result in hidden risks, delayed escalation, and higher likelihood of issues growing into serious incidents.</t>
  </si>
  <si>
    <t>Measures the extent to which decisions consider long‑term consequences beyond immediate pressures.</t>
  </si>
  <si>
    <t>Low awareness leads to short‑term decision‑making, recurring problems, and misalignment with long‑term strategy.</t>
  </si>
  <si>
    <t>Reflects how freely employees can discuss concerns, mistakes, and dilemmas.</t>
  </si>
  <si>
    <t>Low openness suppresses learning, limits problem‑solving, and allows unresolved issues to accumulate.</t>
  </si>
  <si>
    <t>Poor access increases uncertainty, inconsistent decisions, and operational inefficiencies.</t>
  </si>
  <si>
    <t>Measures whether employees feel comfortable sharing views and perspectives on risk matters.</t>
  </si>
  <si>
    <t>Low openness reduces diversity of input, weakens decision quality, and limits early identification of risks.</t>
  </si>
  <si>
    <t>Indicates whether employees feel safe raising ethical dilemmas or complex risk situations.</t>
  </si>
  <si>
    <t>Low comfort discourages reporting, delays resolution, and increases exposure to unmanaged risks.</t>
  </si>
  <si>
    <t>Assesses whether employees feel sufficiently trained to manage risk appropriately.</t>
  </si>
  <si>
    <t>Insufficient training leads to inconsistent behavior, higher error rates, and dependence on individual experience.</t>
  </si>
  <si>
    <t>Evaluates whether employees have enough time and resources to manage risk effectively.</t>
  </si>
  <si>
    <t>High workload pressure causes shortcuts, control gaps, and increased operational risk.</t>
  </si>
  <si>
    <t>Measures whether targets and expectations are achievable without compromising risk standards.</t>
  </si>
  <si>
    <t>Unrealistic targets encourage risk‑taking, policy breaches, and erosion of ethical behavior.</t>
  </si>
  <si>
    <t>Low risk insight increases exposure to financial, operational, and reputational issues.</t>
  </si>
  <si>
    <t>Assesses the organization’s ability to learn and improve from past non‑compliance events.</t>
  </si>
  <si>
    <t>Low learning results in repeated issues, higher compliance risk, and diminished control maturity.</t>
  </si>
  <si>
    <t>Reflects how seriously risk culture is perceived across the organization.</t>
  </si>
  <si>
    <t>A weak view of risk culture undermines consistency in behavior and weakens overall risk management.</t>
  </si>
  <si>
    <t>Indicates whether compliance is recognized, reinforced, and acted upon fairly.</t>
  </si>
  <si>
    <t>Poor enforcement reduces rule adherence and increases misconduct risk.</t>
  </si>
  <si>
    <t>Shows how clearly individuals understand their role in managing risk.</t>
  </si>
  <si>
    <t>Measures how well employees understand risk‑related rules and procedures.</t>
  </si>
  <si>
    <t>Low understanding increases mistakes, non‑compliance, and inconsistent execution.</t>
  </si>
  <si>
    <t>Indicates whether employees understand personal limits and decision boundaries around risk.</t>
  </si>
  <si>
    <t>Unclear boundaries encourage risky decisions and inconsistent judgment calls.</t>
  </si>
  <si>
    <t>Assesses the clarity and usefulness of risk messaging and training initiatives.</t>
  </si>
  <si>
    <t>Ineffective communication weakens awareness and consistent application of risk principles.</t>
  </si>
  <si>
    <t>Reflects confidence within teams that compliance is taken seriously.</t>
  </si>
  <si>
    <t>Low confidence reduces adherence to standards and increases complacency toward risks.</t>
  </si>
  <si>
    <t>Shows whether risks are identified early rather than after incidents occur.</t>
  </si>
  <si>
    <t>Low proactivity increases reaction time, impact severity, and cost of failures.</t>
  </si>
  <si>
    <t>Measures whether leaders act on raised issues and concerns.</t>
  </si>
  <si>
    <t>Poor follow‑through reduces trust, engagement, and future willingness to escalate risks.</t>
  </si>
  <si>
    <t>Indicates whether standards and policies are easy to find and consistently applied.</t>
  </si>
  <si>
    <t>Low transparency leads to confusion, inconsistent compliance, and operational inefficiency.</t>
  </si>
  <si>
    <t>Measures fairness and consistency in applying behavioral rules.</t>
  </si>
  <si>
    <t>Inconsistent enforcement erodes trust and weakens adherence to standards.</t>
  </si>
  <si>
    <t>Sense of Ownership</t>
  </si>
  <si>
    <t>Low comfort hides breaches, increasing regulatory and reputational risk.</t>
  </si>
  <si>
    <t>Reflects how safe employees feel reporting non‑compliance or misconduct.</t>
  </si>
  <si>
    <t>Delayed resolution causes recurring problems and weakens confidence in controls.</t>
  </si>
  <si>
    <t>Assesses how quickly accountability concerns are addressed.</t>
  </si>
  <si>
    <t>Low peer accountability allows undesirable behaviors to spread unchecked.</t>
  </si>
  <si>
    <t>Measures willingness to hold colleagues accountable constructively.</t>
  </si>
  <si>
    <t>Weak accountability delays mitigation and increases unresolved risk exposure.</t>
  </si>
  <si>
    <t>Indicates whether individuals feel accountable for risk‑related decisions and outcomes.</t>
  </si>
  <si>
    <t>Low consideration damages collaboration, trust, and workplace culture.</t>
  </si>
  <si>
    <t>Shows whether employees consider how their actions affect colleagues and stakeholders.</t>
  </si>
  <si>
    <t>Low belonging reduces engagement, collaboration, and retention.</t>
  </si>
  <si>
    <t>Measures whether employees feel connected and valued by the organization.</t>
  </si>
  <si>
    <t>Low motivation results in passive behavior and unaddressed risks.</t>
  </si>
  <si>
    <t>Reflects employee motivation to take ownership of risks in their role.</t>
  </si>
  <si>
    <t>Unclear roles create accountability gaps, duplication of work, and overlooked risks.</t>
  </si>
  <si>
    <t>Shows how well risk considerations are integrated into everyday decisions</t>
  </si>
  <si>
    <t>Shows how easily employees can obtain advice or guidance when facing risk‑related situations</t>
  </si>
  <si>
    <t>This dimension reflects the extent to which employees feel personally responsible for managing risks, taking initiative, and acting in the best interest of the organization within their role.</t>
  </si>
  <si>
    <t>Low sense of ownership results in passive behavior, delayed action on risks, and unclear accountability across teams.</t>
  </si>
  <si>
    <t>It reflects how consistently leaders demonstrate risk‑aware behavior through their decisions and day‑to‑day actions.</t>
  </si>
  <si>
    <t>High Risk Statements</t>
  </si>
  <si>
    <t>Med Risk Statements</t>
  </si>
  <si>
    <t>Low Risk Statements</t>
  </si>
  <si>
    <t>Leaders are not consistently demonstrating expected risk‑aware behavior. This creates confusion within teams about what is acceptable and weakens trust in leadership decisions.</t>
  </si>
  <si>
    <t>Leadership intent is understood, but behaviors are not consistently demonstrated across levels. This may lead to pockets of inconsistency and uneven culture adoption.</t>
  </si>
  <si>
    <t>Leaders consistently role‑model strong risk‑aware behaviors. This sets clear expectations and strongly reinforces the desired culture across the organization.</t>
  </si>
  <si>
    <t>Senior leadership support for risk culture is perceived as weak or inconsistent. As a result, employees deprioritize risk considerations in daily decisions.</t>
  </si>
  <si>
    <t>Executives communicate commitment to risk culture, but reinforcement is not always visible. Cultural momentum exists but lacks strong top‑down reinforcement.</t>
  </si>
  <si>
    <t>Executive leadership visibly prioritizes and reinforces risk culture. This drives strong alignment and reinforces consistent behavior across functions.</t>
  </si>
  <si>
    <t>Employees do not feel encouraged to raise concerns, resulting in risks remaining hidden until they escalate into major issues.</t>
  </si>
  <si>
    <t>Employees escalate certain issues but may hesitate in sensitive situations. Early warning signals may still be missed.</t>
  </si>
  <si>
    <t>Leaders actively encourage escalation, enabling early detection and timely resolution of risks.</t>
  </si>
  <si>
    <t>Decisions are driven primarily by short‑term pressure, increasing the likelihood of repeated problems and strategic misalignment.</t>
  </si>
  <si>
    <t>Long‑term implications are considered in some decisions, but consistency is lacking under operational pressure.</t>
  </si>
  <si>
    <t>Decisions consistently account for long‑term impact, supporting sustainable performance and risk management.</t>
  </si>
  <si>
    <t>Employees are reluctant to discuss concerns or mistakes, limiting learning and increasing unresolved risks.</t>
  </si>
  <si>
    <t>Open discussions occur in some teams but are not consistent across the organization.</t>
  </si>
  <si>
    <t>Employees freely discuss issues and dilemmas, enabling continuous learning and early risk identification.</t>
  </si>
  <si>
    <t>Employees struggle to obtain guidance, leading to uncertainty and inconsistent handling of risks.</t>
  </si>
  <si>
    <t>Guidance is available but not always timely or clear enough for effective decision‑making.</t>
  </si>
  <si>
    <t>Employees have easy access to guidance, supporting confident and consistent risk decisions.</t>
  </si>
  <si>
    <t>Employees hesitate to share opinions, limiting diverse perspectives and increasing the chance of blind spots.</t>
  </si>
  <si>
    <t>Opinions are shared selectively, and some perspectives may remain unheard.</t>
  </si>
  <si>
    <t>Employees openly share views, strengthening decision quality and risk awareness.</t>
  </si>
  <si>
    <t>Employees feel unsafe reporting dilemmas, allowing ethical and risk issues to remain unaddressed.</t>
  </si>
  <si>
    <t>Some dilemmas are reported, but hesitation remains around sensitive issues.</t>
  </si>
  <si>
    <t>Employees feel safe raising dilemmas, enabling timely guidance and resolution.</t>
  </si>
  <si>
    <t>Training gaps leave employees ill‑equipped to manage risk, increasing errors and inconsistencies.</t>
  </si>
  <si>
    <t>Training exists but may not fully address practical risk scenarios.</t>
  </si>
  <si>
    <t>Training effectively equips employees to manage risks confidently.</t>
  </si>
  <si>
    <t>High workload prevents employees from properly managing risks, leading to shortcuts and control gaps.</t>
  </si>
  <si>
    <t>Work pressure occasionally impacts risk quality but remains manageable.</t>
  </si>
  <si>
    <t>Workload and resources allow employees to consistently manage risks effectively.</t>
  </si>
  <si>
    <t>Unrealistic targets encourage risk‑taking and rule‑bypassing behavior.</t>
  </si>
  <si>
    <t>Targets are generally realistic, but pressure remains in certain situations.</t>
  </si>
  <si>
    <t>Targets support responsible behavior without compromising risk standards.</t>
  </si>
  <si>
    <t>Decisions are made with limited consideration of risk implications.</t>
  </si>
  <si>
    <t>Risk is considered but not consistently integrated into decisions.</t>
  </si>
  <si>
    <t>Risk considerations are a natural part of decision‑making.</t>
  </si>
  <si>
    <t>The organization does not effectively learn from past non‑compliance cases. Similar issues are likely to repeat due to lack of reflection and corrective action.</t>
  </si>
  <si>
    <t>Some learning takes place after non‑compliance, but insights are not consistently embedded across teams.</t>
  </si>
  <si>
    <t>Non‑compliance cases are treated as learning opportunities, leading to continuous improvement and stronger controls.</t>
  </si>
  <si>
    <t>Risk culture is not perceived as important, resulting in inconsistent behavior and weak adherence to risk standards.</t>
  </si>
  <si>
    <t>Risk culture is recognized, but its importance may vary across functions or leadership levels.</t>
  </si>
  <si>
    <t>Risk culture is clearly valued and consistently reinforced across the organization.</t>
  </si>
  <si>
    <t>Compliance is not consistently recognized or enforced, reducing the seriousness of rules and expected behavior.</t>
  </si>
  <si>
    <t>Compliance is enforced in major cases, but consistency and visibility can be improved.</t>
  </si>
  <si>
    <t>Compliance is clearly recognized and enforced fairly, reinforcing disciplined and responsible behavior.</t>
  </si>
  <si>
    <t>Employees are unclear about their risk‑related roles, leading to ownership gaps and unmanaged risks.</t>
  </si>
  <si>
    <t>Role responsibilities are generally understood, but some overlaps or gaps remain.</t>
  </si>
  <si>
    <t>Roles and responsibilities are clearly defined, supporting effective risk ownership.</t>
  </si>
  <si>
    <t>Policies and procedures are poorly understood, increasing mistakes and non‑compliance.</t>
  </si>
  <si>
    <t>Policies are understood at a high level, but practical interpretation varies.</t>
  </si>
  <si>
    <t>Employees clearly understand policies and apply them consistently in daily work.</t>
  </si>
  <si>
    <t>Employees are unsure where their decision boundaries lie, increasing inappropriate risk‑taking.</t>
  </si>
  <si>
    <t>Most employees understand boundaries, but uncertainty exists in complex situations.</t>
  </si>
  <si>
    <t>Personal risk boundaries are clear, enabling confident and responsible decision‑making.</t>
  </si>
  <si>
    <t>Training exists but could be more practical or engaging.</t>
  </si>
  <si>
    <t>Risk communication and training are effective and well understood across the organization.</t>
  </si>
  <si>
    <t>Teams lack confidence that compliance is taken seriously, leading to complacency.</t>
  </si>
  <si>
    <t>Compliance is respected within teams, though confidence varies by situation.</t>
  </si>
  <si>
    <t>Teams strongly believe compliance is valued and upheld consistently.</t>
  </si>
  <si>
    <t>Employees lack motivation to take ownership of risks, assuming responsibility lies elsewhere.</t>
  </si>
  <si>
    <t>Employees take ownership in some situations but hesitate in others.</t>
  </si>
  <si>
    <t>Strong ownership mindset drives proactive and responsible risk management.</t>
  </si>
  <si>
    <t>Employees feel disconnected, reducing engagement and commitment.</t>
  </si>
  <si>
    <t>Employees feel moderately connected, though engagement varies.</t>
  </si>
  <si>
    <t>Strong sense of belonging enhances collaboration and retention.</t>
  </si>
  <si>
    <t>Decisions are made without considering effects on colleagues or stakeholders.</t>
  </si>
  <si>
    <t>Impact on others is sometimes considered but not consistently.</t>
  </si>
  <si>
    <t>Employees actively consider the broader impact of their actions.</t>
  </si>
  <si>
    <t>Accountability for risk actions is unclear, leading to delayed responses.</t>
  </si>
  <si>
    <t>Accountability exists but is inconsistently applied.</t>
  </si>
  <si>
    <t>Clear accountability ensures timely and effective risk responses.</t>
  </si>
  <si>
    <t>Employees hesitate to hold colleagues accountable, allowing poor behaviors to persist.</t>
  </si>
  <si>
    <t>Peer accountability occurs but is situational.</t>
  </si>
  <si>
    <t>Constructive peer accountability strengthens team discipline.</t>
  </si>
  <si>
    <t>Accountability issues remain unresolved, increasing recurring problems.</t>
  </si>
  <si>
    <t>Most issues are resolved, though some delays occur.</t>
  </si>
  <si>
    <t>Issues are addressed promptly, reinforcing trust and control.</t>
  </si>
  <si>
    <t>Employees feel unsafe reporting non‑compliance, hiding critical issues.</t>
  </si>
  <si>
    <t>Some reporting occurs, but fear remains in sensitive cases.</t>
  </si>
  <si>
    <t>Employees confidently report non‑compliance without fear.</t>
  </si>
  <si>
    <t>Rules are applied inconsistently, eroding trust and fairness.</t>
  </si>
  <si>
    <t>Enforcement is generally fair but occasionally inconsistent.</t>
  </si>
  <si>
    <t>Consistent enforcement reinforces ethical and expected behavior.</t>
  </si>
  <si>
    <t>Employees do not feel personally responsible for managing risks beyond basic compliance. Risk‑related decisions are often delayed or pushed to others, leading to accountability gaps and unresolved issues.</t>
  </si>
  <si>
    <t>Employees take ownership of risk in familiar situations, but confidence and initiative reduce in complex or high‑pressure scenarios. This can result in inconsistent risk handling across teams.</t>
  </si>
  <si>
    <t>Employees feel empowered and confident to take ownership of risk‑related decisions within their role. This drives proactive behavior, faster decision‑making, and stronger accountability across the organization.</t>
  </si>
  <si>
    <t>Leaders openly emphasize the importance of doing things the right way, even under time pressure</t>
  </si>
  <si>
    <t>All the seniors encourage employees to identify, escalate and report all the concerns in a timely manner</t>
  </si>
  <si>
    <t>Differences of opinion are respected during discussions about judgments or decisions</t>
  </si>
  <si>
    <t>I can openly raise concerns without fear of negative consequences</t>
  </si>
  <si>
    <t>Colleagues respond constructively when mistakes or concerns are raised management.</t>
  </si>
  <si>
    <t>I feel comfortable escalating issues to Risk Management / Ethics &amp; Independence / DPP when needed</t>
  </si>
  <si>
    <t>I have received enough training to handle job‑related challenges effectively.</t>
  </si>
  <si>
    <t>I have observed changes implemented as a result of past issues or incidents.</t>
  </si>
  <si>
    <t>Ways of handling work challenges are followed consistently across the organization.</t>
  </si>
  <si>
    <t>Good behaviors related to quality and ethics are recognized and appreciated.</t>
  </si>
  <si>
    <t>I feel confident and supported to make important decisions within my role.</t>
  </si>
  <si>
    <t>I understand the purpose of my roles and responsibilities</t>
  </si>
  <si>
    <t xml:space="preserve">I understand the consequences of not following the firm policies </t>
  </si>
  <si>
    <t>The guidance and training I receive are clear and help me make good decisions.</t>
  </si>
  <si>
    <t>I understand what is expected of me and it is clearly available to me in form of a policy</t>
  </si>
  <si>
    <t>People in my team feel motivated to handle challenges responsibly.</t>
  </si>
  <si>
    <t>Feedback from team members is considered when improving ways of working.</t>
  </si>
  <si>
    <t>I feel involved in decisions that affect how work is carried out.</t>
  </si>
  <si>
    <t>I feel responsible for speaking up if I observe behavior that does not align with my organizations values</t>
  </si>
  <si>
    <t>I feel comfortable to report when someone is non-compliant with regard to policies, procedures or guidelines</t>
  </si>
  <si>
    <t>How key decisions are made within my team is transparent</t>
  </si>
  <si>
    <t>Expectations are applied consistently across team members.</t>
  </si>
  <si>
    <t>Managers have a good understanding of what is happening within the team.</t>
  </si>
  <si>
    <t>Compliance Confidence in team</t>
  </si>
  <si>
    <t>I believe that my leaders and senior managers consistently act as positive role models, also when they are under time pressure or facing difficult trade‑offs.</t>
  </si>
  <si>
    <t>Transparency in Decision‑Making</t>
  </si>
  <si>
    <t>Leadership Awareness in the team</t>
  </si>
  <si>
    <t>Fairness &amp; Equity of Expectations</t>
  </si>
  <si>
    <t>Decision‑making processes are unclear or opaque, making it difficult for team members to understand how and why decisions are taken. This reduces trust, limits buy‑in, and increases resistance to implementation.</t>
  </si>
  <si>
    <t>Some decisions are explained, but transparency is inconsistent across situations or teams. While intent is visible, employees may still feel partially excluded from the decision‑making process.</t>
  </si>
  <si>
    <t>Decision‑making is clear and transparent. Employees understand the rationale behind decisions, which strengthens trust, alignment, and effective execution.</t>
  </si>
  <si>
    <t>Expectations appear uneven or biased, leading employees to feel that standards differ based on role, seniority, or personal relationships. This reduces morale and increases disengagement.</t>
  </si>
  <si>
    <t>Expectations are generally applied fairly, but inconsistencies arise in certain situations. Employees may question fairness during periods of pressure or change.</t>
  </si>
  <si>
    <t>Expectations are applied fairly and consistently across all team members. This reinforces trust, motivation, and a sense of equity within the team.</t>
  </si>
  <si>
    <t>Managers are disconnected from day‑to‑day realities, increasing the risk that issues remain unnoticed until they escalate. This weakens timely intervention and decision quality.</t>
  </si>
  <si>
    <t>Managers have partial visibility, but insight may be limited to certain activities or individuals. Some emerging risks may still go undetected.</t>
  </si>
  <si>
    <t>Managers are well‑informed and aware of team activities, enabling early identification of issues and informed decision‑making.</t>
  </si>
  <si>
    <t>Grand Total</t>
  </si>
  <si>
    <t>Dimension x Functions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</si>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</sst>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theme="3" tint="0.79998168889431442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theme="4" tint="0.59999389629810485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  <xf numFmtId="0" fontId="3" fillId="0" borderId="0" xfId="0" applyFont="1"/>
    <xf numFmtId="0" fontId="0" fillId="0" borderId="0" xfId="0" applyAlignment="1">
      <alignment vertical="center"/>
    </xf>
    <xf numFmtId="2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1" xfId="0" applyNumberFormat="1" applyFill="1" applyBorder="1"/>
    <xf numFmtId="49" fontId="0" fillId="3" borderId="2" xfId="0" applyNumberFormat="1" applyFill="1" applyBorder="1"/>
    <xf numFmtId="0" fontId="2" fillId="4" borderId="0" xfId="0" applyFont="1" applyFill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8" fillId="7" borderId="5" xfId="0" applyFont="1" applyFill="1" applyBorder="1"/>
    <xf numFmtId="0" fontId="0" fillId="3" borderId="6" xfId="0" applyFill="1" applyBorder="1"/>
    <xf numFmtId="0" fontId="0" fillId="2" borderId="6" xfId="0" applyFill="1" applyBorder="1"/>
    <xf numFmtId="0" fontId="0" fillId="2" borderId="8" xfId="0" applyFill="1" applyBorder="1"/>
    <xf numFmtId="0" fontId="2" fillId="0" borderId="0" xfId="0" applyFont="1"/>
    <xf numFmtId="0" fontId="9" fillId="0" borderId="0" xfId="0" applyFont="1"/>
    <xf numFmtId="0" fontId="1" fillId="0" borderId="9" xfId="0" applyFont="1" applyBorder="1" applyAlignment="1">
      <alignment horizontal="center" vertical="top"/>
    </xf>
    <xf numFmtId="0" fontId="11" fillId="8" borderId="0" xfId="0" applyFont="1" applyFill="1"/>
    <xf numFmtId="0" fontId="12" fillId="9" borderId="0" xfId="0" applyFont="1" applyFill="1"/>
    <xf numFmtId="0" fontId="0" fillId="9" borderId="0" xfId="0" applyFill="1"/>
    <xf numFmtId="0" fontId="0" fillId="8" borderId="0" xfId="0" applyFill="1"/>
    <xf numFmtId="9" fontId="0" fillId="0" borderId="0" xfId="1" applyFont="1" applyAlignment="1">
      <alignment vertical="center"/>
    </xf>
    <xf numFmtId="9" fontId="0" fillId="0" borderId="0" xfId="1" applyFont="1"/>
    <xf numFmtId="9" fontId="11" fillId="8" borderId="0" xfId="1" applyFont="1" applyFill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0" fillId="10" borderId="0" xfId="0" applyFill="1"/>
    <xf numFmtId="0" fontId="0" fillId="11" borderId="0" xfId="0" applyFill="1"/>
    <xf numFmtId="0" fontId="8" fillId="7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14" fillId="0" borderId="0" xfId="0" applyFont="1"/>
    <xf numFmtId="0" fontId="0" fillId="12" borderId="7" xfId="0" applyFill="1" applyBorder="1"/>
    <xf numFmtId="0" fontId="0" fillId="3" borderId="12" xfId="0" applyFill="1" applyBorder="1"/>
    <xf numFmtId="0" fontId="0" fillId="3" borderId="8" xfId="0" applyFill="1" applyBorder="1"/>
    <xf numFmtId="0" fontId="8" fillId="7" borderId="0" xfId="0" applyFont="1" applyFill="1"/>
    <xf numFmtId="0" fontId="8" fillId="7" borderId="13" xfId="0" applyFont="1" applyFill="1" applyBorder="1" applyAlignment="1">
      <alignment vertical="center"/>
    </xf>
    <xf numFmtId="0" fontId="0" fillId="3" borderId="14" xfId="0" applyFill="1" applyBorder="1"/>
    <xf numFmtId="0" fontId="0" fillId="3" borderId="15" xfId="0" applyFill="1" applyBorder="1"/>
    <xf numFmtId="0" fontId="0" fillId="2" borderId="12" xfId="0" applyFill="1" applyBorder="1"/>
    <xf numFmtId="0" fontId="0" fillId="15" borderId="0" xfId="0" applyFill="1"/>
    <xf numFmtId="0" fontId="0" fillId="16" borderId="0" xfId="0" applyFill="1"/>
    <xf numFmtId="49" fontId="0" fillId="0" borderId="0" xfId="0" applyNumberFormat="1"/>
    <xf numFmtId="49" fontId="0" fillId="11" borderId="0" xfId="0" applyNumberFormat="1" applyFill="1"/>
    <xf numFmtId="0" fontId="0" fillId="17" borderId="0" xfId="0" applyFill="1"/>
    <xf numFmtId="0" fontId="0" fillId="18" borderId="1" xfId="0" applyFill="1" applyBorder="1"/>
    <xf numFmtId="0" fontId="0" fillId="19" borderId="1" xfId="0" applyFill="1" applyBorder="1"/>
    <xf numFmtId="0" fontId="0" fillId="2" borderId="16" xfId="0" applyFill="1" applyBorder="1"/>
    <xf numFmtId="0" fontId="0" fillId="2" borderId="7" xfId="0" applyFill="1" applyBorder="1"/>
    <xf numFmtId="0" fontId="0" fillId="2" borderId="16" xfId="0" applyFill="1" applyBorder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88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59135669682233"/>
          <c:y val="0.25789034370060354"/>
          <c:w val="0.37194027815353214"/>
          <c:h val="0.6024185190845623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per Soft Control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Chart'!$B$33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Chart'!$B$34:$B$41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F-4435-9625-770FAD3AAB3F}"/>
            </c:ext>
          </c:extLst>
        </c:ser>
        <c:ser>
          <c:idx val="1"/>
          <c:order val="1"/>
          <c:tx>
            <c:strRef>
              <c:f>'Radar Chart'!$C$33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Chart'!$C$34:$C$41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F-4435-9625-770FAD3AAB3F}"/>
            </c:ext>
          </c:extLst>
        </c:ser>
        <c:ser>
          <c:idx val="2"/>
          <c:order val="2"/>
          <c:tx>
            <c:strRef>
              <c:f>'Radar Chart'!$D$33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Chart'!$D$34:$D$41</c:f>
              <c:numCache>
                <c:formatCode>General</c:formatCode>
                <c:ptCount val="8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F-4435-9625-770FAD3AAB3F}"/>
            </c:ext>
          </c:extLst>
        </c:ser>
        <c:ser>
          <c:idx val="3"/>
          <c:order val="3"/>
          <c:tx>
            <c:v>Score</c:v>
          </c:tx>
          <c:spPr>
            <a:noFill/>
            <a:ln w="25400">
              <a:solidFill>
                <a:schemeClr val="tx2">
                  <a:lumMod val="50000"/>
                  <a:alpha val="44000"/>
                </a:schemeClr>
              </a:solidFill>
            </a:ln>
            <a:effectLst/>
          </c:spPr>
          <c:val>
            <c:numRef>
              <c:f>'Radar Chart'!$E$34:$E$41</c:f>
              <c:numCache>
                <c:formatCode>General</c:formatCode>
                <c:ptCount val="8"/>
                <c:pt idx="0">
                  <c:v>75</c:v>
                </c:pt>
                <c:pt idx="1">
                  <c:v>78</c:v>
                </c:pt>
                <c:pt idx="2">
                  <c:v>72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74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1F-4435-9625-770FAD3A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88783"/>
        <c:axId val="583487343"/>
      </c:radarChart>
      <c:catAx>
        <c:axId val="58348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7343"/>
        <c:crosses val="autoZero"/>
        <c:auto val="1"/>
        <c:lblAlgn val="ctr"/>
        <c:lblOffset val="100"/>
        <c:noMultiLvlLbl val="0"/>
      </c:catAx>
      <c:valAx>
        <c:axId val="5834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694102680762325"/>
          <c:y val="0.20661419585212779"/>
          <c:w val="0.45206241050142154"/>
          <c:h val="0.65515196754006388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tx1"/>
              </a:solidFill>
              <a:ln w="317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C-44B6-B3CF-9BD87DB3183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5C-44B6-B3CF-9BD87DB31835}"/>
              </c:ext>
            </c:extLst>
          </c:dPt>
          <c:val>
            <c:numRef>
              <c:f>Culture_Risk_Index!$H$2:$H$3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445C-44B6-B3CF-9BD87DB31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0">
              <a:solidFill>
                <a:schemeClr val="lt1"/>
              </a:solidFill>
            </a:ln>
          </c:spPr>
          <c:dPt>
            <c:idx val="0"/>
            <c:bubble3D val="0"/>
            <c:spPr>
              <a:noFill/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9D-491D-BBFD-5AC20C209F78}"/>
              </c:ext>
            </c:extLst>
          </c:dPt>
          <c:dPt>
            <c:idx val="1"/>
            <c:bubble3D val="0"/>
            <c:spPr>
              <a:solidFill>
                <a:schemeClr val="tx1">
                  <a:alpha val="90000"/>
                </a:schemeClr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9D-491D-BBFD-5AC20C209F78}"/>
              </c:ext>
            </c:extLst>
          </c:dPt>
          <c:dPt>
            <c:idx val="2"/>
            <c:bubble3D val="0"/>
            <c:spPr>
              <a:noFill/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9D-491D-BBFD-5AC20C209F78}"/>
              </c:ext>
            </c:extLst>
          </c:dPt>
          <c:val>
            <c:numRef>
              <c:f>Culture_Risk_Index!$B$56:$B$58</c:f>
              <c:numCache>
                <c:formatCode>General</c:formatCode>
                <c:ptCount val="3"/>
                <c:pt idx="0">
                  <c:v>133.875</c:v>
                </c:pt>
                <c:pt idx="1">
                  <c:v>1</c:v>
                </c:pt>
                <c:pt idx="2">
                  <c:v>225.125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91D-BBFD-5AC20C209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Ris</a:t>
            </a:r>
            <a:r>
              <a:rPr lang="en-US" sz="1600" b="1" baseline="0">
                <a:solidFill>
                  <a:schemeClr val="tx1"/>
                </a:solidFill>
              </a:rPr>
              <a:t>k Meter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9.550689187161171E-2"/>
          <c:y val="0.122844030493392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458614573728431"/>
          <c:y val="0.19452921772991197"/>
          <c:w val="0.41016002235252402"/>
          <c:h val="0.6742889978298148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5-4CD4-817F-BB6B27903D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5-4CD4-817F-BB6B27903DB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35-4CD4-817F-BB6B27903DB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35-4CD4-817F-BB6B27903DB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335-4CD4-817F-BB6B27903DB8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335-4CD4-817F-BB6B27903DB8}"/>
              </c:ext>
            </c:extLst>
          </c:dPt>
          <c:cat>
            <c:strRef>
              <c:f>Culture_Risk_Index!$A$34:$A$39</c:f>
              <c:strCache>
                <c:ptCount val="6"/>
                <c:pt idx="0">
                  <c:v>High Risk</c:v>
                </c:pt>
                <c:pt idx="1">
                  <c:v>Med Risk</c:v>
                </c:pt>
                <c:pt idx="2">
                  <c:v>Low Risk</c:v>
                </c:pt>
                <c:pt idx="3">
                  <c:v>Hidden</c:v>
                </c:pt>
                <c:pt idx="4">
                  <c:v>hidden</c:v>
                </c:pt>
                <c:pt idx="5">
                  <c:v>hidden</c:v>
                </c:pt>
              </c:strCache>
            </c:strRef>
          </c:cat>
          <c:val>
            <c:numRef>
              <c:f>Culture_Risk_Index!$B$34:$B$39</c:f>
              <c:numCache>
                <c:formatCode>General</c:formatCode>
                <c:ptCount val="6"/>
                <c:pt idx="0">
                  <c:v>1.8</c:v>
                </c:pt>
                <c:pt idx="1">
                  <c:v>0.6</c:v>
                </c:pt>
                <c:pt idx="2">
                  <c:v>0.6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35-4CD4-817F-BB6B2790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Scores per Soft Controls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Culture_Risk_Index!$B$72</c:f>
              <c:strCache>
                <c:ptCount val="1"/>
                <c:pt idx="0">
                  <c:v>Score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Culture_Risk_Index!$A$73:$A$80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Culture_Risk_Index!$B$73:$B$80</c:f>
              <c:numCache>
                <c:formatCode>General</c:formatCode>
                <c:ptCount val="8"/>
                <c:pt idx="0">
                  <c:v>75</c:v>
                </c:pt>
                <c:pt idx="1">
                  <c:v>78</c:v>
                </c:pt>
                <c:pt idx="2">
                  <c:v>72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74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1-4431-A2B5-CA25FDC585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9471647"/>
        <c:axId val="719482207"/>
      </c:barChart>
      <c:catAx>
        <c:axId val="71947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2207"/>
        <c:crosses val="autoZero"/>
        <c:auto val="1"/>
        <c:lblAlgn val="ctr"/>
        <c:lblOffset val="100"/>
        <c:noMultiLvlLbl val="0"/>
      </c:catAx>
      <c:valAx>
        <c:axId val="71948220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7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per Soft Control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Chart'!$B$33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Chart'!$B$34:$B$41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E3A-A877-E23AECD408FD}"/>
            </c:ext>
          </c:extLst>
        </c:ser>
        <c:ser>
          <c:idx val="1"/>
          <c:order val="1"/>
          <c:tx>
            <c:strRef>
              <c:f>'Radar Chart'!$C$33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Chart'!$C$34:$C$41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A-4E3A-A877-E23AECD408FD}"/>
            </c:ext>
          </c:extLst>
        </c:ser>
        <c:ser>
          <c:idx val="2"/>
          <c:order val="2"/>
          <c:tx>
            <c:strRef>
              <c:f>'Radar Chart'!$D$33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Chart'!$D$34:$D$41</c:f>
              <c:numCache>
                <c:formatCode>General</c:formatCode>
                <c:ptCount val="8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A-4E3A-A877-E23AECD408FD}"/>
            </c:ext>
          </c:extLst>
        </c:ser>
        <c:ser>
          <c:idx val="3"/>
          <c:order val="3"/>
          <c:tx>
            <c:v>Score</c:v>
          </c:tx>
          <c:spPr>
            <a:noFill/>
            <a:ln w="25400">
              <a:solidFill>
                <a:schemeClr val="tx2">
                  <a:lumMod val="50000"/>
                </a:schemeClr>
              </a:solidFill>
            </a:ln>
            <a:effectLst/>
          </c:spPr>
          <c:val>
            <c:numRef>
              <c:f>'Radar Chart'!$E$34:$E$41</c:f>
              <c:numCache>
                <c:formatCode>General</c:formatCode>
                <c:ptCount val="8"/>
                <c:pt idx="0">
                  <c:v>75</c:v>
                </c:pt>
                <c:pt idx="1">
                  <c:v>78</c:v>
                </c:pt>
                <c:pt idx="2">
                  <c:v>72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74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CA-4E3A-A877-E23AECD4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88783"/>
        <c:axId val="583487343"/>
      </c:radarChart>
      <c:catAx>
        <c:axId val="58348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7343"/>
        <c:crosses val="autoZero"/>
        <c:auto val="1"/>
        <c:lblAlgn val="ctr"/>
        <c:lblOffset val="100"/>
        <c:noMultiLvlLbl val="0"/>
      </c:catAx>
      <c:valAx>
        <c:axId val="5834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514242</xdr:colOff>
      <xdr:row>5</xdr:row>
      <xdr:rowOff>239128</xdr:rowOff>
    </xdr:from>
    <xdr:to>
      <xdr:col>12</xdr:col>
      <xdr:colOff>190137</xdr:colOff>
      <xdr:row>19</xdr:row>
      <xdr:rowOff>131376</xdr:rowOff>
    </xdr:to>
    <xdr:graphicFrame macro="">
      <xdr:nvGraphicFramePr>
        <xdr:cNvPr id="4" name="NeedleChart">
          <a:extLst>
            <a:ext uri="{FF2B5EF4-FFF2-40B4-BE49-F238E27FC236}">
              <a16:creationId xmlns:a16="http://schemas.microsoft.com/office/drawing/2014/main" id="{27C8D17B-5EAF-4CDD-3693-02D301BF0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70369</xdr:colOff>
      <xdr:row>7</xdr:row>
      <xdr:rowOff>9765</xdr:rowOff>
    </xdr:from>
    <xdr:to>
      <xdr:col>5</xdr:col>
      <xdr:colOff>29328</xdr:colOff>
      <xdr:row>21</xdr:row>
      <xdr:rowOff>118904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9608E-9403-4811-AA5A-25ACE806C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133047</xdr:colOff>
      <xdr:row>27</xdr:row>
      <xdr:rowOff>48381</xdr:rowOff>
    </xdr:from>
    <xdr:to>
      <xdr:col>9</xdr:col>
      <xdr:colOff>574523</xdr:colOff>
      <xdr:row>41</xdr:row>
      <xdr:rowOff>107063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25BC4-0921-0CFD-EA47-1446766A5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330200</xdr:colOff>
      <xdr:row>9</xdr:row>
      <xdr:rowOff>51831</xdr:rowOff>
    </xdr:from>
    <xdr:to>
      <xdr:col>12</xdr:col>
      <xdr:colOff>282215</xdr:colOff>
      <xdr:row>18</xdr:row>
      <xdr:rowOff>121681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D6B691-A4C1-E451-6E20-54C216E4C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196198</xdr:colOff>
      <xdr:row>6</xdr:row>
      <xdr:rowOff>37281</xdr:rowOff>
    </xdr:from>
    <xdr:to>
      <xdr:col>13</xdr:col>
      <xdr:colOff>386716</xdr:colOff>
      <xdr:row>21</xdr:row>
      <xdr:rowOff>82984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10B884-8C77-4EE8-937E-85F86D6D4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14264</xdr:colOff>
      <xdr:row>0</xdr:row>
      <xdr:rowOff>298074</xdr:rowOff>
    </xdr:from>
    <xdr:to>
      <xdr:col>10</xdr:col>
      <xdr:colOff>326473</xdr:colOff>
      <xdr:row>5</xdr:row>
      <xdr:rowOff>340633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E5E5F7-38A0-97B0-9EC4-E185598DF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412422</xdr:colOff>
      <xdr:row>12</xdr:row>
      <xdr:rowOff>98197</xdr:rowOff>
    </xdr:from>
    <xdr:to>
      <xdr:col>8</xdr:col>
      <xdr:colOff>189555</xdr:colOff>
      <xdr:row>27</xdr:row>
      <xdr:rowOff>22274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EACF1-02EB-4A13-A821-22280942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32.675119328705" createdVersion="8" refreshedVersion="8" minRefreshableVersion="3" recordCount="832" xr:uid="{C734C7F1-53A5-4223-BB5E-97277E26612C}">
  <cacheSource type="worksheet">
    <worksheetSource name="Table7"/>
  </cacheSource>
  <cacheFields count="9">
    <cacheField name="RespondentID" numFmtId="0">
      <sharedItems/>
    </cacheField>
    <cacheField name="QuestionID" numFmtId="0">
      <sharedItems/>
    </cacheField>
    <cacheField name="Response" numFmtId="0">
      <sharedItems/>
    </cacheField>
    <cacheField name="SoftControl" numFmtId="0">
      <sharedItems/>
    </cacheField>
    <cacheField name="Scores" numFmtId="0">
      <sharedItems containsSemiMixedTypes="0" containsString="0" containsNumber="1" containsInteger="1" minValue="1" maxValue="5"/>
    </cacheField>
    <cacheField name="Score_100" numFmtId="0">
      <sharedItems containsSemiMixedTypes="0" containsString="0" containsNumber="1" containsInteger="1" minValue="20" maxValue="100"/>
    </cacheField>
    <cacheField name="FavorableFlag" numFmtId="0">
      <sharedItems containsSemiMixedTypes="0" containsString="0" containsNumber="1" containsInteger="1" minValue="0" maxValue="1"/>
    </cacheField>
    <cacheField name="Dimensions" numFmtId="0">
      <sharedItems count="32">
        <s v="Leadership Example‑Setting in Risk Management "/>
        <s v="Executive Commitment to Risk Culture"/>
        <s v="Leadership Encouragement to Escalate Risks"/>
        <s v="Long-Term Decision Awareness"/>
        <s v="Openness to Discussions"/>
        <s v="Access to Guidance"/>
        <s v="Openness to Sharing Opinions"/>
        <s v="Comfort in Reporting Risk Dilemmas"/>
        <s v="Adequacy of Risk Management Training"/>
        <s v="Workload Balance &amp; Resource Sufficiency"/>
        <s v="Realistic Target Setting"/>
        <s v="Risk Insight in Decision Making"/>
        <s v="Learning Culture from Non‑Compliance Cases"/>
        <s v="Organizational View on Risk Culture"/>
        <s v="Compliance Recognition &amp; enforcement"/>
        <s v="Sense of Ownership"/>
        <s v="Clarity of Role and Responsibilities"/>
        <s v="Understanding of Risk Policies &amp; Procedures"/>
        <s v="Clarity of Personal Risk Boundaries"/>
        <s v="Effectiveness of Risk Communication &amp; Training"/>
        <s v="Compliance Confidence in team"/>
        <s v="Transparency in Decision‑Making"/>
        <s v="Fairness &amp; Equity of Expectations"/>
        <s v="Leadership Awareness in the team"/>
        <s v="Motivation for Risk Ownership"/>
        <s v="Sense of Belonging to the Organization"/>
        <s v="Consideration of Impact on Others"/>
        <s v="Accountability for Risk Actions"/>
        <s v="Peer to peer Accountability "/>
        <s v="Timely Resolution of Accountability Issues"/>
        <s v="Comfort for Reporting Non‑Compliance."/>
        <s v="Consistency of Conduct Enforcement"/>
      </sharedItems>
    </cacheField>
    <cacheField name="Function" numFmtId="0">
      <sharedItems count="6">
        <s v="HR"/>
        <s v="Finance"/>
        <s v="Operations"/>
        <s v="Audit"/>
        <s v="IT"/>
        <s v="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2">
  <r>
    <s v="R001"/>
    <s v="Q001"/>
    <s v="Strongly Agree"/>
    <s v="Role Modelling"/>
    <n v="5"/>
    <n v="100"/>
    <n v="1"/>
    <x v="0"/>
    <x v="0"/>
  </r>
  <r>
    <s v="R001"/>
    <s v="Q002"/>
    <s v="Disagree"/>
    <s v="Role Modelling"/>
    <n v="2"/>
    <n v="40"/>
    <n v="0"/>
    <x v="1"/>
    <x v="0"/>
  </r>
  <r>
    <s v="R001"/>
    <s v="Q003"/>
    <s v="Strongly Agree"/>
    <s v="Role Modelling"/>
    <n v="5"/>
    <n v="100"/>
    <n v="1"/>
    <x v="2"/>
    <x v="0"/>
  </r>
  <r>
    <s v="R001"/>
    <s v="Q004"/>
    <s v="Strongly Agree"/>
    <s v="Role Modelling"/>
    <n v="5"/>
    <n v="100"/>
    <n v="1"/>
    <x v="3"/>
    <x v="0"/>
  </r>
  <r>
    <s v="R001"/>
    <s v="Q005"/>
    <s v="Strongly Agree"/>
    <s v="Discussability"/>
    <n v="5"/>
    <n v="100"/>
    <n v="1"/>
    <x v="4"/>
    <x v="0"/>
  </r>
  <r>
    <s v="R001"/>
    <s v="Q006"/>
    <s v="Strongly Agree"/>
    <s v="Discussability"/>
    <n v="5"/>
    <n v="100"/>
    <n v="1"/>
    <x v="5"/>
    <x v="0"/>
  </r>
  <r>
    <s v="R001"/>
    <s v="Q007"/>
    <s v="Strongly Agree"/>
    <s v="Discussability"/>
    <n v="5"/>
    <n v="100"/>
    <n v="1"/>
    <x v="6"/>
    <x v="0"/>
  </r>
  <r>
    <s v="R001"/>
    <s v="Q008"/>
    <s v="Strongly Agree"/>
    <s v="Discussability"/>
    <n v="5"/>
    <n v="100"/>
    <n v="1"/>
    <x v="7"/>
    <x v="0"/>
  </r>
  <r>
    <s v="R001"/>
    <s v="Q009"/>
    <s v="Strongly Agree"/>
    <s v="Achievability"/>
    <n v="5"/>
    <n v="100"/>
    <n v="1"/>
    <x v="8"/>
    <x v="0"/>
  </r>
  <r>
    <s v="R001"/>
    <s v="Q010"/>
    <s v="Strongly Agree"/>
    <s v="Achievability"/>
    <n v="5"/>
    <n v="100"/>
    <n v="1"/>
    <x v="9"/>
    <x v="0"/>
  </r>
  <r>
    <s v="R001"/>
    <s v="Q011"/>
    <s v="Strongly Agree"/>
    <s v="Achievability"/>
    <n v="5"/>
    <n v="100"/>
    <n v="1"/>
    <x v="10"/>
    <x v="0"/>
  </r>
  <r>
    <s v="R001"/>
    <s v="Q012"/>
    <s v="Strongly Agree"/>
    <s v="Achievability"/>
    <n v="5"/>
    <n v="100"/>
    <n v="1"/>
    <x v="11"/>
    <x v="0"/>
  </r>
  <r>
    <s v="R001"/>
    <s v="Q013"/>
    <s v="Strongly Agree"/>
    <s v="Enforcement"/>
    <n v="5"/>
    <n v="100"/>
    <n v="1"/>
    <x v="12"/>
    <x v="0"/>
  </r>
  <r>
    <s v="R001"/>
    <s v="Q014"/>
    <s v="Strongly Agree"/>
    <s v="Enforcement"/>
    <n v="5"/>
    <n v="100"/>
    <n v="1"/>
    <x v="13"/>
    <x v="0"/>
  </r>
  <r>
    <s v="R001"/>
    <s v="Q015"/>
    <s v="Strongly Agree"/>
    <s v="Enforcement"/>
    <n v="5"/>
    <n v="100"/>
    <n v="1"/>
    <x v="14"/>
    <x v="0"/>
  </r>
  <r>
    <s v="R001"/>
    <s v="Q016"/>
    <s v="Strongly Agree"/>
    <s v="Enforcement"/>
    <n v="5"/>
    <n v="100"/>
    <n v="1"/>
    <x v="15"/>
    <x v="0"/>
  </r>
  <r>
    <s v="R001"/>
    <s v="Q017"/>
    <s v="Strongly Agree"/>
    <s v="Clarity"/>
    <n v="5"/>
    <n v="100"/>
    <n v="1"/>
    <x v="16"/>
    <x v="0"/>
  </r>
  <r>
    <s v="R001"/>
    <s v="Q018"/>
    <s v="Strongly Agree"/>
    <s v="Clarity"/>
    <n v="5"/>
    <n v="100"/>
    <n v="1"/>
    <x v="17"/>
    <x v="0"/>
  </r>
  <r>
    <s v="R001"/>
    <s v="Q019"/>
    <s v="Strongly Agree"/>
    <s v="Clarity"/>
    <n v="5"/>
    <n v="100"/>
    <n v="1"/>
    <x v="18"/>
    <x v="0"/>
  </r>
  <r>
    <s v="R001"/>
    <s v="Q020"/>
    <s v="Strongly Agree"/>
    <s v="Clarity"/>
    <n v="5"/>
    <n v="100"/>
    <n v="1"/>
    <x v="19"/>
    <x v="0"/>
  </r>
  <r>
    <s v="R001"/>
    <s v="Q021"/>
    <s v="Strongly Agree"/>
    <s v="Transparency"/>
    <n v="5"/>
    <n v="100"/>
    <n v="1"/>
    <x v="20"/>
    <x v="0"/>
  </r>
  <r>
    <s v="R001"/>
    <s v="Q022"/>
    <s v="Strongly Agree"/>
    <s v="Transparency"/>
    <n v="5"/>
    <n v="100"/>
    <n v="1"/>
    <x v="21"/>
    <x v="0"/>
  </r>
  <r>
    <s v="R001"/>
    <s v="Q023"/>
    <s v="Strongly Agree"/>
    <s v="Transparency"/>
    <n v="5"/>
    <n v="100"/>
    <n v="1"/>
    <x v="22"/>
    <x v="0"/>
  </r>
  <r>
    <s v="R001"/>
    <s v="Q024"/>
    <s v="Strongly Agree"/>
    <s v="Transparency"/>
    <n v="5"/>
    <n v="100"/>
    <n v="1"/>
    <x v="23"/>
    <x v="0"/>
  </r>
  <r>
    <s v="R001"/>
    <s v="Q025"/>
    <s v="Strongly Agree"/>
    <s v="Commitment"/>
    <n v="5"/>
    <n v="100"/>
    <n v="1"/>
    <x v="24"/>
    <x v="0"/>
  </r>
  <r>
    <s v="R001"/>
    <s v="Q026"/>
    <s v="Strongly Agree"/>
    <s v="Commitment"/>
    <n v="5"/>
    <n v="100"/>
    <n v="1"/>
    <x v="25"/>
    <x v="0"/>
  </r>
  <r>
    <s v="R001"/>
    <s v="Q027"/>
    <s v="Strongly Agree"/>
    <s v="Commitment"/>
    <n v="5"/>
    <n v="100"/>
    <n v="1"/>
    <x v="26"/>
    <x v="0"/>
  </r>
  <r>
    <s v="R001"/>
    <s v="Q028"/>
    <s v="Strongly Agree"/>
    <s v="Commitment"/>
    <n v="5"/>
    <n v="100"/>
    <n v="1"/>
    <x v="27"/>
    <x v="0"/>
  </r>
  <r>
    <s v="R001"/>
    <s v="Q029"/>
    <s v="Strongly Agree"/>
    <s v="Call someone to account"/>
    <n v="5"/>
    <n v="100"/>
    <n v="1"/>
    <x v="28"/>
    <x v="0"/>
  </r>
  <r>
    <s v="R001"/>
    <s v="Q030"/>
    <s v="Strongly Agree"/>
    <s v="Call someone to account"/>
    <n v="5"/>
    <n v="100"/>
    <n v="1"/>
    <x v="29"/>
    <x v="0"/>
  </r>
  <r>
    <s v="R001"/>
    <s v="Q031"/>
    <s v="Strongly Agree"/>
    <s v="Call someone to account"/>
    <n v="5"/>
    <n v="100"/>
    <n v="1"/>
    <x v="30"/>
    <x v="0"/>
  </r>
  <r>
    <s v="R001"/>
    <s v="Q032"/>
    <s v="Strongly Agree"/>
    <s v="Call someone to account"/>
    <n v="5"/>
    <n v="100"/>
    <n v="1"/>
    <x v="31"/>
    <x v="0"/>
  </r>
  <r>
    <s v="R002"/>
    <s v="Q001"/>
    <s v="Strongly Agree"/>
    <s v="Role Modelling"/>
    <n v="5"/>
    <n v="100"/>
    <n v="1"/>
    <x v="0"/>
    <x v="1"/>
  </r>
  <r>
    <s v="R002"/>
    <s v="Q002"/>
    <s v="Strongly Agree"/>
    <s v="Role Modelling"/>
    <n v="5"/>
    <n v="100"/>
    <n v="1"/>
    <x v="1"/>
    <x v="1"/>
  </r>
  <r>
    <s v="R002"/>
    <s v="Q003"/>
    <s v="Strongly Agree"/>
    <s v="Role Modelling"/>
    <n v="5"/>
    <n v="100"/>
    <n v="1"/>
    <x v="2"/>
    <x v="1"/>
  </r>
  <r>
    <s v="R002"/>
    <s v="Q004"/>
    <s v="Strongly Agree"/>
    <s v="Role Modelling"/>
    <n v="5"/>
    <n v="100"/>
    <n v="1"/>
    <x v="3"/>
    <x v="1"/>
  </r>
  <r>
    <s v="R002"/>
    <s v="Q005"/>
    <s v="Strongly Agree"/>
    <s v="Discussability"/>
    <n v="5"/>
    <n v="100"/>
    <n v="1"/>
    <x v="4"/>
    <x v="1"/>
  </r>
  <r>
    <s v="R002"/>
    <s v="Q006"/>
    <s v="Strongly Agree"/>
    <s v="Discussability"/>
    <n v="5"/>
    <n v="100"/>
    <n v="1"/>
    <x v="5"/>
    <x v="1"/>
  </r>
  <r>
    <s v="R002"/>
    <s v="Q007"/>
    <s v="Strongly Agree"/>
    <s v="Discussability"/>
    <n v="5"/>
    <n v="100"/>
    <n v="1"/>
    <x v="6"/>
    <x v="1"/>
  </r>
  <r>
    <s v="R002"/>
    <s v="Q008"/>
    <s v="Strongly Agree"/>
    <s v="Discussability"/>
    <n v="5"/>
    <n v="100"/>
    <n v="1"/>
    <x v="7"/>
    <x v="1"/>
  </r>
  <r>
    <s v="R002"/>
    <s v="Q009"/>
    <s v="Strongly Agree"/>
    <s v="Achievability"/>
    <n v="5"/>
    <n v="100"/>
    <n v="1"/>
    <x v="8"/>
    <x v="1"/>
  </r>
  <r>
    <s v="R002"/>
    <s v="Q010"/>
    <s v="Strongly Agree"/>
    <s v="Achievability"/>
    <n v="5"/>
    <n v="100"/>
    <n v="1"/>
    <x v="9"/>
    <x v="1"/>
  </r>
  <r>
    <s v="R002"/>
    <s v="Q011"/>
    <s v="Strongly Agree"/>
    <s v="Achievability"/>
    <n v="5"/>
    <n v="100"/>
    <n v="1"/>
    <x v="10"/>
    <x v="1"/>
  </r>
  <r>
    <s v="R002"/>
    <s v="Q012"/>
    <s v="Strongly Agree"/>
    <s v="Achievability"/>
    <n v="5"/>
    <n v="100"/>
    <n v="1"/>
    <x v="11"/>
    <x v="1"/>
  </r>
  <r>
    <s v="R002"/>
    <s v="Q013"/>
    <s v="Strongly Agree"/>
    <s v="Enforcement"/>
    <n v="5"/>
    <n v="100"/>
    <n v="1"/>
    <x v="12"/>
    <x v="1"/>
  </r>
  <r>
    <s v="R002"/>
    <s v="Q014"/>
    <s v="Strongly Agree"/>
    <s v="Enforcement"/>
    <n v="5"/>
    <n v="100"/>
    <n v="1"/>
    <x v="13"/>
    <x v="1"/>
  </r>
  <r>
    <s v="R002"/>
    <s v="Q015"/>
    <s v="Strongly Agree"/>
    <s v="Enforcement"/>
    <n v="5"/>
    <n v="100"/>
    <n v="1"/>
    <x v="14"/>
    <x v="1"/>
  </r>
  <r>
    <s v="R002"/>
    <s v="Q016"/>
    <s v="Strongly Agree"/>
    <s v="Enforcement"/>
    <n v="5"/>
    <n v="100"/>
    <n v="1"/>
    <x v="15"/>
    <x v="1"/>
  </r>
  <r>
    <s v="R002"/>
    <s v="Q017"/>
    <s v="Strongly Agree"/>
    <s v="Clarity"/>
    <n v="5"/>
    <n v="100"/>
    <n v="1"/>
    <x v="16"/>
    <x v="1"/>
  </r>
  <r>
    <s v="R002"/>
    <s v="Q018"/>
    <s v="Strongly Agree"/>
    <s v="Clarity"/>
    <n v="5"/>
    <n v="100"/>
    <n v="1"/>
    <x v="17"/>
    <x v="1"/>
  </r>
  <r>
    <s v="R002"/>
    <s v="Q019"/>
    <s v="Strongly Agree"/>
    <s v="Clarity"/>
    <n v="5"/>
    <n v="100"/>
    <n v="1"/>
    <x v="18"/>
    <x v="1"/>
  </r>
  <r>
    <s v="R002"/>
    <s v="Q020"/>
    <s v="Strongly Agree"/>
    <s v="Clarity"/>
    <n v="5"/>
    <n v="100"/>
    <n v="1"/>
    <x v="19"/>
    <x v="1"/>
  </r>
  <r>
    <s v="R002"/>
    <s v="Q021"/>
    <s v="Strongly Agree"/>
    <s v="Transparency"/>
    <n v="5"/>
    <n v="100"/>
    <n v="1"/>
    <x v="20"/>
    <x v="1"/>
  </r>
  <r>
    <s v="R002"/>
    <s v="Q022"/>
    <s v="Strongly Agree"/>
    <s v="Transparency"/>
    <n v="5"/>
    <n v="100"/>
    <n v="1"/>
    <x v="21"/>
    <x v="1"/>
  </r>
  <r>
    <s v="R002"/>
    <s v="Q023"/>
    <s v="Strongly Agree"/>
    <s v="Transparency"/>
    <n v="5"/>
    <n v="100"/>
    <n v="1"/>
    <x v="22"/>
    <x v="1"/>
  </r>
  <r>
    <s v="R002"/>
    <s v="Q024"/>
    <s v="Strongly Agree"/>
    <s v="Transparency"/>
    <n v="5"/>
    <n v="100"/>
    <n v="1"/>
    <x v="23"/>
    <x v="1"/>
  </r>
  <r>
    <s v="R002"/>
    <s v="Q025"/>
    <s v="Neutral"/>
    <s v="Commitment"/>
    <n v="3"/>
    <n v="60"/>
    <n v="0"/>
    <x v="24"/>
    <x v="1"/>
  </r>
  <r>
    <s v="R002"/>
    <s v="Q026"/>
    <s v="Neutral"/>
    <s v="Commitment"/>
    <n v="3"/>
    <n v="60"/>
    <n v="0"/>
    <x v="25"/>
    <x v="1"/>
  </r>
  <r>
    <s v="R002"/>
    <s v="Q027"/>
    <s v="Neutral"/>
    <s v="Commitment"/>
    <n v="3"/>
    <n v="60"/>
    <n v="0"/>
    <x v="26"/>
    <x v="1"/>
  </r>
  <r>
    <s v="R002"/>
    <s v="Q028"/>
    <s v="Neutral"/>
    <s v="Commitment"/>
    <n v="3"/>
    <n v="60"/>
    <n v="0"/>
    <x v="27"/>
    <x v="1"/>
  </r>
  <r>
    <s v="R002"/>
    <s v="Q029"/>
    <s v="Neutral"/>
    <s v="Call someone to account"/>
    <n v="3"/>
    <n v="60"/>
    <n v="0"/>
    <x v="28"/>
    <x v="1"/>
  </r>
  <r>
    <s v="R002"/>
    <s v="Q030"/>
    <s v="Neutral"/>
    <s v="Call someone to account"/>
    <n v="3"/>
    <n v="60"/>
    <n v="0"/>
    <x v="29"/>
    <x v="1"/>
  </r>
  <r>
    <s v="R002"/>
    <s v="Q031"/>
    <s v="Neutral"/>
    <s v="Call someone to account"/>
    <n v="3"/>
    <n v="60"/>
    <n v="0"/>
    <x v="30"/>
    <x v="1"/>
  </r>
  <r>
    <s v="R002"/>
    <s v="Q032"/>
    <s v="Neutral"/>
    <s v="Call someone to account"/>
    <n v="3"/>
    <n v="60"/>
    <n v="0"/>
    <x v="31"/>
    <x v="1"/>
  </r>
  <r>
    <s v="R003"/>
    <s v="Q001"/>
    <s v="Neutral"/>
    <s v="Role Modelling"/>
    <n v="3"/>
    <n v="60"/>
    <n v="0"/>
    <x v="0"/>
    <x v="0"/>
  </r>
  <r>
    <s v="R003"/>
    <s v="Q002"/>
    <s v="Neutral"/>
    <s v="Role Modelling"/>
    <n v="3"/>
    <n v="60"/>
    <n v="0"/>
    <x v="1"/>
    <x v="0"/>
  </r>
  <r>
    <s v="R003"/>
    <s v="Q003"/>
    <s v="Neutral"/>
    <s v="Role Modelling"/>
    <n v="3"/>
    <n v="60"/>
    <n v="0"/>
    <x v="2"/>
    <x v="0"/>
  </r>
  <r>
    <s v="R003"/>
    <s v="Q004"/>
    <s v="Neutral"/>
    <s v="Role Modelling"/>
    <n v="3"/>
    <n v="60"/>
    <n v="0"/>
    <x v="3"/>
    <x v="0"/>
  </r>
  <r>
    <s v="R003"/>
    <s v="Q005"/>
    <s v="Neutral"/>
    <s v="Discussability"/>
    <n v="3"/>
    <n v="60"/>
    <n v="0"/>
    <x v="4"/>
    <x v="0"/>
  </r>
  <r>
    <s v="R003"/>
    <s v="Q006"/>
    <s v="Neutral"/>
    <s v="Discussability"/>
    <n v="3"/>
    <n v="60"/>
    <n v="0"/>
    <x v="5"/>
    <x v="0"/>
  </r>
  <r>
    <s v="R003"/>
    <s v="Q007"/>
    <s v="Neutral"/>
    <s v="Discussability"/>
    <n v="3"/>
    <n v="60"/>
    <n v="0"/>
    <x v="6"/>
    <x v="0"/>
  </r>
  <r>
    <s v="R003"/>
    <s v="Q008"/>
    <s v="Neutral"/>
    <s v="Discussability"/>
    <n v="3"/>
    <n v="60"/>
    <n v="0"/>
    <x v="7"/>
    <x v="0"/>
  </r>
  <r>
    <s v="R003"/>
    <s v="Q009"/>
    <s v="Neutral"/>
    <s v="Achievability"/>
    <n v="3"/>
    <n v="60"/>
    <n v="0"/>
    <x v="8"/>
    <x v="0"/>
  </r>
  <r>
    <s v="R003"/>
    <s v="Q010"/>
    <s v="Neutral"/>
    <s v="Achievability"/>
    <n v="3"/>
    <n v="60"/>
    <n v="0"/>
    <x v="9"/>
    <x v="0"/>
  </r>
  <r>
    <s v="R003"/>
    <s v="Q011"/>
    <s v="Neutral"/>
    <s v="Achievability"/>
    <n v="3"/>
    <n v="60"/>
    <n v="0"/>
    <x v="10"/>
    <x v="0"/>
  </r>
  <r>
    <s v="R003"/>
    <s v="Q012"/>
    <s v="Neutral"/>
    <s v="Achievability"/>
    <n v="3"/>
    <n v="60"/>
    <n v="0"/>
    <x v="11"/>
    <x v="0"/>
  </r>
  <r>
    <s v="R003"/>
    <s v="Q013"/>
    <s v="Neutral"/>
    <s v="Enforcement"/>
    <n v="3"/>
    <n v="60"/>
    <n v="0"/>
    <x v="12"/>
    <x v="0"/>
  </r>
  <r>
    <s v="R003"/>
    <s v="Q014"/>
    <s v="Neutral"/>
    <s v="Enforcement"/>
    <n v="3"/>
    <n v="60"/>
    <n v="0"/>
    <x v="13"/>
    <x v="0"/>
  </r>
  <r>
    <s v="R003"/>
    <s v="Q015"/>
    <s v="Neutral"/>
    <s v="Enforcement"/>
    <n v="3"/>
    <n v="60"/>
    <n v="0"/>
    <x v="14"/>
    <x v="0"/>
  </r>
  <r>
    <s v="R003"/>
    <s v="Q016"/>
    <s v="Neutral"/>
    <s v="Enforcement"/>
    <n v="3"/>
    <n v="60"/>
    <n v="0"/>
    <x v="15"/>
    <x v="0"/>
  </r>
  <r>
    <s v="R003"/>
    <s v="Q017"/>
    <s v="Neutral"/>
    <s v="Clarity"/>
    <n v="3"/>
    <n v="60"/>
    <n v="0"/>
    <x v="16"/>
    <x v="0"/>
  </r>
  <r>
    <s v="R003"/>
    <s v="Q018"/>
    <s v="Neutral"/>
    <s v="Clarity"/>
    <n v="3"/>
    <n v="60"/>
    <n v="0"/>
    <x v="17"/>
    <x v="0"/>
  </r>
  <r>
    <s v="R003"/>
    <s v="Q019"/>
    <s v="Neutral"/>
    <s v="Clarity"/>
    <n v="3"/>
    <n v="60"/>
    <n v="0"/>
    <x v="18"/>
    <x v="0"/>
  </r>
  <r>
    <s v="R003"/>
    <s v="Q020"/>
    <s v="Neutral"/>
    <s v="Clarity"/>
    <n v="3"/>
    <n v="60"/>
    <n v="0"/>
    <x v="19"/>
    <x v="0"/>
  </r>
  <r>
    <s v="R003"/>
    <s v="Q021"/>
    <s v="Neutral"/>
    <s v="Transparency"/>
    <n v="3"/>
    <n v="60"/>
    <n v="0"/>
    <x v="20"/>
    <x v="0"/>
  </r>
  <r>
    <s v="R003"/>
    <s v="Q022"/>
    <s v="Neutral"/>
    <s v="Transparency"/>
    <n v="3"/>
    <n v="60"/>
    <n v="0"/>
    <x v="21"/>
    <x v="0"/>
  </r>
  <r>
    <s v="R003"/>
    <s v="Q023"/>
    <s v="Neutral"/>
    <s v="Transparency"/>
    <n v="3"/>
    <n v="60"/>
    <n v="0"/>
    <x v="22"/>
    <x v="0"/>
  </r>
  <r>
    <s v="R003"/>
    <s v="Q024"/>
    <s v="Neutral"/>
    <s v="Transparency"/>
    <n v="3"/>
    <n v="60"/>
    <n v="0"/>
    <x v="23"/>
    <x v="0"/>
  </r>
  <r>
    <s v="R003"/>
    <s v="Q025"/>
    <s v="Neutral"/>
    <s v="Commitment"/>
    <n v="3"/>
    <n v="60"/>
    <n v="0"/>
    <x v="24"/>
    <x v="0"/>
  </r>
  <r>
    <s v="R003"/>
    <s v="Q026"/>
    <s v="Neutral"/>
    <s v="Commitment"/>
    <n v="3"/>
    <n v="60"/>
    <n v="0"/>
    <x v="25"/>
    <x v="0"/>
  </r>
  <r>
    <s v="R003"/>
    <s v="Q027"/>
    <s v="Neutral"/>
    <s v="Commitment"/>
    <n v="3"/>
    <n v="60"/>
    <n v="0"/>
    <x v="26"/>
    <x v="0"/>
  </r>
  <r>
    <s v="R003"/>
    <s v="Q028"/>
    <s v="Neutral"/>
    <s v="Commitment"/>
    <n v="3"/>
    <n v="60"/>
    <n v="0"/>
    <x v="27"/>
    <x v="0"/>
  </r>
  <r>
    <s v="R003"/>
    <s v="Q029"/>
    <s v="Neutral"/>
    <s v="Call someone to account"/>
    <n v="3"/>
    <n v="60"/>
    <n v="0"/>
    <x v="28"/>
    <x v="0"/>
  </r>
  <r>
    <s v="R003"/>
    <s v="Q030"/>
    <s v="Neutral"/>
    <s v="Call someone to account"/>
    <n v="3"/>
    <n v="60"/>
    <n v="0"/>
    <x v="29"/>
    <x v="0"/>
  </r>
  <r>
    <s v="R003"/>
    <s v="Q031"/>
    <s v="Neutral"/>
    <s v="Call someone to account"/>
    <n v="3"/>
    <n v="60"/>
    <n v="0"/>
    <x v="30"/>
    <x v="0"/>
  </r>
  <r>
    <s v="R003"/>
    <s v="Q032"/>
    <s v="Neutral"/>
    <s v="Call someone to account"/>
    <n v="3"/>
    <n v="60"/>
    <n v="0"/>
    <x v="31"/>
    <x v="0"/>
  </r>
  <r>
    <s v="R004"/>
    <s v="Q001"/>
    <s v="Neutral"/>
    <s v="Role Modelling"/>
    <n v="3"/>
    <n v="60"/>
    <n v="0"/>
    <x v="0"/>
    <x v="2"/>
  </r>
  <r>
    <s v="R004"/>
    <s v="Q002"/>
    <s v="Neutral"/>
    <s v="Role Modelling"/>
    <n v="3"/>
    <n v="60"/>
    <n v="0"/>
    <x v="1"/>
    <x v="2"/>
  </r>
  <r>
    <s v="R004"/>
    <s v="Q003"/>
    <s v="Neutral"/>
    <s v="Role Modelling"/>
    <n v="3"/>
    <n v="60"/>
    <n v="0"/>
    <x v="2"/>
    <x v="2"/>
  </r>
  <r>
    <s v="R004"/>
    <s v="Q004"/>
    <s v="Neutral"/>
    <s v="Role Modelling"/>
    <n v="3"/>
    <n v="60"/>
    <n v="0"/>
    <x v="3"/>
    <x v="2"/>
  </r>
  <r>
    <s v="R004"/>
    <s v="Q005"/>
    <s v="Neutral"/>
    <s v="Discussability"/>
    <n v="3"/>
    <n v="60"/>
    <n v="0"/>
    <x v="4"/>
    <x v="2"/>
  </r>
  <r>
    <s v="R004"/>
    <s v="Q006"/>
    <s v="Neutral"/>
    <s v="Discussability"/>
    <n v="3"/>
    <n v="60"/>
    <n v="0"/>
    <x v="5"/>
    <x v="2"/>
  </r>
  <r>
    <s v="R004"/>
    <s v="Q007"/>
    <s v="Neutral"/>
    <s v="Discussability"/>
    <n v="3"/>
    <n v="60"/>
    <n v="0"/>
    <x v="6"/>
    <x v="2"/>
  </r>
  <r>
    <s v="R004"/>
    <s v="Q008"/>
    <s v="Neutral"/>
    <s v="Discussability"/>
    <n v="3"/>
    <n v="60"/>
    <n v="0"/>
    <x v="7"/>
    <x v="2"/>
  </r>
  <r>
    <s v="R004"/>
    <s v="Q009"/>
    <s v="Neutral"/>
    <s v="Achievability"/>
    <n v="3"/>
    <n v="60"/>
    <n v="0"/>
    <x v="8"/>
    <x v="2"/>
  </r>
  <r>
    <s v="R004"/>
    <s v="Q010"/>
    <s v="Neutral"/>
    <s v="Achievability"/>
    <n v="3"/>
    <n v="60"/>
    <n v="0"/>
    <x v="9"/>
    <x v="2"/>
  </r>
  <r>
    <s v="R004"/>
    <s v="Q011"/>
    <s v="Neutral"/>
    <s v="Achievability"/>
    <n v="3"/>
    <n v="60"/>
    <n v="0"/>
    <x v="10"/>
    <x v="2"/>
  </r>
  <r>
    <s v="R004"/>
    <s v="Q012"/>
    <s v="Neutral"/>
    <s v="Achievability"/>
    <n v="3"/>
    <n v="60"/>
    <n v="0"/>
    <x v="11"/>
    <x v="2"/>
  </r>
  <r>
    <s v="R004"/>
    <s v="Q013"/>
    <s v="Neutral"/>
    <s v="Enforcement"/>
    <n v="3"/>
    <n v="60"/>
    <n v="0"/>
    <x v="12"/>
    <x v="2"/>
  </r>
  <r>
    <s v="R004"/>
    <s v="Q014"/>
    <s v="Neutral"/>
    <s v="Enforcement"/>
    <n v="3"/>
    <n v="60"/>
    <n v="0"/>
    <x v="13"/>
    <x v="2"/>
  </r>
  <r>
    <s v="R004"/>
    <s v="Q015"/>
    <s v="Neutral"/>
    <s v="Enforcement"/>
    <n v="3"/>
    <n v="60"/>
    <n v="0"/>
    <x v="14"/>
    <x v="2"/>
  </r>
  <r>
    <s v="R004"/>
    <s v="Q016"/>
    <s v="Neutral"/>
    <s v="Enforcement"/>
    <n v="3"/>
    <n v="60"/>
    <n v="0"/>
    <x v="15"/>
    <x v="2"/>
  </r>
  <r>
    <s v="R004"/>
    <s v="Q017"/>
    <s v="Neutral"/>
    <s v="Clarity"/>
    <n v="3"/>
    <n v="60"/>
    <n v="0"/>
    <x v="16"/>
    <x v="2"/>
  </r>
  <r>
    <s v="R004"/>
    <s v="Q018"/>
    <s v="Neutral"/>
    <s v="Clarity"/>
    <n v="3"/>
    <n v="60"/>
    <n v="0"/>
    <x v="17"/>
    <x v="2"/>
  </r>
  <r>
    <s v="R004"/>
    <s v="Q019"/>
    <s v="Neutral"/>
    <s v="Clarity"/>
    <n v="3"/>
    <n v="60"/>
    <n v="0"/>
    <x v="18"/>
    <x v="2"/>
  </r>
  <r>
    <s v="R004"/>
    <s v="Q020"/>
    <s v="Neutral"/>
    <s v="Clarity"/>
    <n v="3"/>
    <n v="60"/>
    <n v="0"/>
    <x v="19"/>
    <x v="2"/>
  </r>
  <r>
    <s v="R004"/>
    <s v="Q021"/>
    <s v="Neutral"/>
    <s v="Transparency"/>
    <n v="3"/>
    <n v="60"/>
    <n v="0"/>
    <x v="20"/>
    <x v="2"/>
  </r>
  <r>
    <s v="R004"/>
    <s v="Q022"/>
    <s v="Neutral"/>
    <s v="Transparency"/>
    <n v="3"/>
    <n v="60"/>
    <n v="0"/>
    <x v="21"/>
    <x v="2"/>
  </r>
  <r>
    <s v="R004"/>
    <s v="Q023"/>
    <s v="Neutral"/>
    <s v="Transparency"/>
    <n v="3"/>
    <n v="60"/>
    <n v="0"/>
    <x v="22"/>
    <x v="2"/>
  </r>
  <r>
    <s v="R004"/>
    <s v="Q024"/>
    <s v="Neutral"/>
    <s v="Transparency"/>
    <n v="3"/>
    <n v="60"/>
    <n v="0"/>
    <x v="23"/>
    <x v="2"/>
  </r>
  <r>
    <s v="R004"/>
    <s v="Q025"/>
    <s v="Neutral"/>
    <s v="Commitment"/>
    <n v="3"/>
    <n v="60"/>
    <n v="0"/>
    <x v="24"/>
    <x v="2"/>
  </r>
  <r>
    <s v="R004"/>
    <s v="Q026"/>
    <s v="Neutral"/>
    <s v="Commitment"/>
    <n v="3"/>
    <n v="60"/>
    <n v="0"/>
    <x v="25"/>
    <x v="2"/>
  </r>
  <r>
    <s v="R004"/>
    <s v="Q027"/>
    <s v="Neutral"/>
    <s v="Commitment"/>
    <n v="3"/>
    <n v="60"/>
    <n v="0"/>
    <x v="26"/>
    <x v="2"/>
  </r>
  <r>
    <s v="R004"/>
    <s v="Q028"/>
    <s v="Neutral"/>
    <s v="Commitment"/>
    <n v="3"/>
    <n v="60"/>
    <n v="0"/>
    <x v="27"/>
    <x v="2"/>
  </r>
  <r>
    <s v="R004"/>
    <s v="Q029"/>
    <s v="Neutral"/>
    <s v="Call someone to account"/>
    <n v="3"/>
    <n v="60"/>
    <n v="0"/>
    <x v="28"/>
    <x v="2"/>
  </r>
  <r>
    <s v="R004"/>
    <s v="Q030"/>
    <s v="Neutral"/>
    <s v="Call someone to account"/>
    <n v="3"/>
    <n v="60"/>
    <n v="0"/>
    <x v="29"/>
    <x v="2"/>
  </r>
  <r>
    <s v="R004"/>
    <s v="Q031"/>
    <s v="Neutral"/>
    <s v="Call someone to account"/>
    <n v="3"/>
    <n v="60"/>
    <n v="0"/>
    <x v="30"/>
    <x v="2"/>
  </r>
  <r>
    <s v="R004"/>
    <s v="Q032"/>
    <s v="Neutral"/>
    <s v="Call someone to account"/>
    <n v="3"/>
    <n v="60"/>
    <n v="0"/>
    <x v="31"/>
    <x v="2"/>
  </r>
  <r>
    <s v="R004"/>
    <s v="Q001"/>
    <s v="Neutral"/>
    <s v="Role Modelling"/>
    <n v="3"/>
    <n v="60"/>
    <n v="0"/>
    <x v="0"/>
    <x v="2"/>
  </r>
  <r>
    <s v="R004"/>
    <s v="Q002"/>
    <s v="Neutral"/>
    <s v="Role Modelling"/>
    <n v="3"/>
    <n v="60"/>
    <n v="0"/>
    <x v="1"/>
    <x v="2"/>
  </r>
  <r>
    <s v="R004"/>
    <s v="Q003"/>
    <s v="Neutral"/>
    <s v="Role Modelling"/>
    <n v="3"/>
    <n v="60"/>
    <n v="0"/>
    <x v="2"/>
    <x v="2"/>
  </r>
  <r>
    <s v="R004"/>
    <s v="Q004"/>
    <s v="Neutral"/>
    <s v="Role Modelling"/>
    <n v="3"/>
    <n v="60"/>
    <n v="0"/>
    <x v="3"/>
    <x v="2"/>
  </r>
  <r>
    <s v="R004"/>
    <s v="Q005"/>
    <s v="Neutral"/>
    <s v="Discussability"/>
    <n v="3"/>
    <n v="60"/>
    <n v="0"/>
    <x v="4"/>
    <x v="2"/>
  </r>
  <r>
    <s v="R004"/>
    <s v="Q006"/>
    <s v="Neutral"/>
    <s v="Discussability"/>
    <n v="3"/>
    <n v="60"/>
    <n v="0"/>
    <x v="5"/>
    <x v="2"/>
  </r>
  <r>
    <s v="R004"/>
    <s v="Q007"/>
    <s v="Neutral"/>
    <s v="Discussability"/>
    <n v="3"/>
    <n v="60"/>
    <n v="0"/>
    <x v="6"/>
    <x v="2"/>
  </r>
  <r>
    <s v="R004"/>
    <s v="Q008"/>
    <s v="Neutral"/>
    <s v="Discussability"/>
    <n v="3"/>
    <n v="60"/>
    <n v="0"/>
    <x v="7"/>
    <x v="2"/>
  </r>
  <r>
    <s v="R004"/>
    <s v="Q009"/>
    <s v="Neutral"/>
    <s v="Achievability"/>
    <n v="3"/>
    <n v="60"/>
    <n v="0"/>
    <x v="8"/>
    <x v="2"/>
  </r>
  <r>
    <s v="R004"/>
    <s v="Q010"/>
    <s v="Neutral"/>
    <s v="Achievability"/>
    <n v="3"/>
    <n v="60"/>
    <n v="0"/>
    <x v="9"/>
    <x v="2"/>
  </r>
  <r>
    <s v="R004"/>
    <s v="Q011"/>
    <s v="Neutral"/>
    <s v="Achievability"/>
    <n v="3"/>
    <n v="60"/>
    <n v="0"/>
    <x v="10"/>
    <x v="2"/>
  </r>
  <r>
    <s v="R004"/>
    <s v="Q012"/>
    <s v="Neutral"/>
    <s v="Achievability"/>
    <n v="3"/>
    <n v="60"/>
    <n v="0"/>
    <x v="11"/>
    <x v="2"/>
  </r>
  <r>
    <s v="R004"/>
    <s v="Q013"/>
    <s v="Neutral"/>
    <s v="Enforcement"/>
    <n v="3"/>
    <n v="60"/>
    <n v="0"/>
    <x v="12"/>
    <x v="2"/>
  </r>
  <r>
    <s v="R004"/>
    <s v="Q014"/>
    <s v="Neutral"/>
    <s v="Enforcement"/>
    <n v="3"/>
    <n v="60"/>
    <n v="0"/>
    <x v="13"/>
    <x v="2"/>
  </r>
  <r>
    <s v="R004"/>
    <s v="Q015"/>
    <s v="Neutral"/>
    <s v="Enforcement"/>
    <n v="3"/>
    <n v="60"/>
    <n v="0"/>
    <x v="14"/>
    <x v="2"/>
  </r>
  <r>
    <s v="R004"/>
    <s v="Q016"/>
    <s v="Neutral"/>
    <s v="Enforcement"/>
    <n v="3"/>
    <n v="60"/>
    <n v="0"/>
    <x v="15"/>
    <x v="2"/>
  </r>
  <r>
    <s v="R004"/>
    <s v="Q017"/>
    <s v="Neutral"/>
    <s v="Clarity"/>
    <n v="3"/>
    <n v="60"/>
    <n v="0"/>
    <x v="16"/>
    <x v="2"/>
  </r>
  <r>
    <s v="R004"/>
    <s v="Q018"/>
    <s v="Neutral"/>
    <s v="Clarity"/>
    <n v="3"/>
    <n v="60"/>
    <n v="0"/>
    <x v="17"/>
    <x v="2"/>
  </r>
  <r>
    <s v="R004"/>
    <s v="Q019"/>
    <s v="Neutral"/>
    <s v="Clarity"/>
    <n v="3"/>
    <n v="60"/>
    <n v="0"/>
    <x v="18"/>
    <x v="2"/>
  </r>
  <r>
    <s v="R004"/>
    <s v="Q020"/>
    <s v="Neutral"/>
    <s v="Clarity"/>
    <n v="3"/>
    <n v="60"/>
    <n v="0"/>
    <x v="19"/>
    <x v="2"/>
  </r>
  <r>
    <s v="R004"/>
    <s v="Q021"/>
    <s v="Neutral"/>
    <s v="Transparency"/>
    <n v="3"/>
    <n v="60"/>
    <n v="0"/>
    <x v="20"/>
    <x v="2"/>
  </r>
  <r>
    <s v="R004"/>
    <s v="Q022"/>
    <s v="Neutral"/>
    <s v="Transparency"/>
    <n v="3"/>
    <n v="60"/>
    <n v="0"/>
    <x v="21"/>
    <x v="2"/>
  </r>
  <r>
    <s v="R004"/>
    <s v="Q023"/>
    <s v="Neutral"/>
    <s v="Transparency"/>
    <n v="3"/>
    <n v="60"/>
    <n v="0"/>
    <x v="22"/>
    <x v="2"/>
  </r>
  <r>
    <s v="R004"/>
    <s v="Q024"/>
    <s v="Neutral"/>
    <s v="Transparency"/>
    <n v="3"/>
    <n v="60"/>
    <n v="0"/>
    <x v="23"/>
    <x v="2"/>
  </r>
  <r>
    <s v="R004"/>
    <s v="Q025"/>
    <s v="Neutral"/>
    <s v="Commitment"/>
    <n v="3"/>
    <n v="60"/>
    <n v="0"/>
    <x v="24"/>
    <x v="2"/>
  </r>
  <r>
    <s v="R004"/>
    <s v="Q026"/>
    <s v="Neutral"/>
    <s v="Commitment"/>
    <n v="3"/>
    <n v="60"/>
    <n v="0"/>
    <x v="25"/>
    <x v="2"/>
  </r>
  <r>
    <s v="R004"/>
    <s v="Q027"/>
    <s v="Neutral"/>
    <s v="Commitment"/>
    <n v="3"/>
    <n v="60"/>
    <n v="0"/>
    <x v="26"/>
    <x v="2"/>
  </r>
  <r>
    <s v="R004"/>
    <s v="Q028"/>
    <s v="Neutral"/>
    <s v="Commitment"/>
    <n v="3"/>
    <n v="60"/>
    <n v="0"/>
    <x v="27"/>
    <x v="2"/>
  </r>
  <r>
    <s v="R004"/>
    <s v="Q029"/>
    <s v="Neutral"/>
    <s v="Call someone to account"/>
    <n v="3"/>
    <n v="60"/>
    <n v="0"/>
    <x v="28"/>
    <x v="2"/>
  </r>
  <r>
    <s v="R004"/>
    <s v="Q030"/>
    <s v="Neutral"/>
    <s v="Call someone to account"/>
    <n v="3"/>
    <n v="60"/>
    <n v="0"/>
    <x v="29"/>
    <x v="2"/>
  </r>
  <r>
    <s v="R004"/>
    <s v="Q031"/>
    <s v="Neutral"/>
    <s v="Call someone to account"/>
    <n v="3"/>
    <n v="60"/>
    <n v="0"/>
    <x v="30"/>
    <x v="2"/>
  </r>
  <r>
    <s v="R004"/>
    <s v="Q032"/>
    <s v="Neutral"/>
    <s v="Call someone to account"/>
    <n v="3"/>
    <n v="60"/>
    <n v="0"/>
    <x v="31"/>
    <x v="2"/>
  </r>
  <r>
    <s v="R005"/>
    <s v="Q001"/>
    <s v="Neutral"/>
    <s v="Role Modelling"/>
    <n v="3"/>
    <n v="60"/>
    <n v="0"/>
    <x v="0"/>
    <x v="2"/>
  </r>
  <r>
    <s v="R005"/>
    <s v="Q002"/>
    <s v="Neutral"/>
    <s v="Role Modelling"/>
    <n v="3"/>
    <n v="60"/>
    <n v="0"/>
    <x v="1"/>
    <x v="2"/>
  </r>
  <r>
    <s v="R005"/>
    <s v="Q003"/>
    <s v="Neutral"/>
    <s v="Role Modelling"/>
    <n v="3"/>
    <n v="60"/>
    <n v="0"/>
    <x v="2"/>
    <x v="2"/>
  </r>
  <r>
    <s v="R005"/>
    <s v="Q004"/>
    <s v="Neutral"/>
    <s v="Role Modelling"/>
    <n v="3"/>
    <n v="60"/>
    <n v="0"/>
    <x v="3"/>
    <x v="2"/>
  </r>
  <r>
    <s v="R005"/>
    <s v="Q005"/>
    <s v="Neutral"/>
    <s v="Discussability"/>
    <n v="3"/>
    <n v="60"/>
    <n v="0"/>
    <x v="4"/>
    <x v="2"/>
  </r>
  <r>
    <s v="R005"/>
    <s v="Q006"/>
    <s v="Neutral"/>
    <s v="Discussability"/>
    <n v="3"/>
    <n v="60"/>
    <n v="0"/>
    <x v="5"/>
    <x v="2"/>
  </r>
  <r>
    <s v="R005"/>
    <s v="Q007"/>
    <s v="Neutral"/>
    <s v="Discussability"/>
    <n v="3"/>
    <n v="60"/>
    <n v="0"/>
    <x v="6"/>
    <x v="2"/>
  </r>
  <r>
    <s v="R005"/>
    <s v="Q008"/>
    <s v="Neutral"/>
    <s v="Discussability"/>
    <n v="3"/>
    <n v="60"/>
    <n v="0"/>
    <x v="7"/>
    <x v="2"/>
  </r>
  <r>
    <s v="R005"/>
    <s v="Q009"/>
    <s v="Neutral"/>
    <s v="Achievability"/>
    <n v="3"/>
    <n v="60"/>
    <n v="0"/>
    <x v="8"/>
    <x v="2"/>
  </r>
  <r>
    <s v="R005"/>
    <s v="Q010"/>
    <s v="Neutral"/>
    <s v="Achievability"/>
    <n v="3"/>
    <n v="60"/>
    <n v="0"/>
    <x v="9"/>
    <x v="2"/>
  </r>
  <r>
    <s v="R005"/>
    <s v="Q011"/>
    <s v="Neutral"/>
    <s v="Achievability"/>
    <n v="3"/>
    <n v="60"/>
    <n v="0"/>
    <x v="10"/>
    <x v="2"/>
  </r>
  <r>
    <s v="R005"/>
    <s v="Q012"/>
    <s v="Neutral"/>
    <s v="Achievability"/>
    <n v="3"/>
    <n v="60"/>
    <n v="0"/>
    <x v="11"/>
    <x v="2"/>
  </r>
  <r>
    <s v="R005"/>
    <s v="Q013"/>
    <s v="Neutral"/>
    <s v="Enforcement"/>
    <n v="3"/>
    <n v="60"/>
    <n v="0"/>
    <x v="12"/>
    <x v="2"/>
  </r>
  <r>
    <s v="R005"/>
    <s v="Q014"/>
    <s v="Neutral"/>
    <s v="Enforcement"/>
    <n v="3"/>
    <n v="60"/>
    <n v="0"/>
    <x v="13"/>
    <x v="2"/>
  </r>
  <r>
    <s v="R005"/>
    <s v="Q015"/>
    <s v="Neutral"/>
    <s v="Enforcement"/>
    <n v="3"/>
    <n v="60"/>
    <n v="0"/>
    <x v="14"/>
    <x v="2"/>
  </r>
  <r>
    <s v="R005"/>
    <s v="Q016"/>
    <s v="Neutral"/>
    <s v="Enforcement"/>
    <n v="3"/>
    <n v="60"/>
    <n v="0"/>
    <x v="15"/>
    <x v="2"/>
  </r>
  <r>
    <s v="R005"/>
    <s v="Q017"/>
    <s v="Neutral"/>
    <s v="Clarity"/>
    <n v="3"/>
    <n v="60"/>
    <n v="0"/>
    <x v="16"/>
    <x v="2"/>
  </r>
  <r>
    <s v="R005"/>
    <s v="Q018"/>
    <s v="Neutral"/>
    <s v="Clarity"/>
    <n v="3"/>
    <n v="60"/>
    <n v="0"/>
    <x v="17"/>
    <x v="2"/>
  </r>
  <r>
    <s v="R005"/>
    <s v="Q019"/>
    <s v="Neutral"/>
    <s v="Clarity"/>
    <n v="3"/>
    <n v="60"/>
    <n v="0"/>
    <x v="18"/>
    <x v="2"/>
  </r>
  <r>
    <s v="R005"/>
    <s v="Q020"/>
    <s v="Agree"/>
    <s v="Clarity"/>
    <n v="4"/>
    <n v="80"/>
    <n v="1"/>
    <x v="19"/>
    <x v="2"/>
  </r>
  <r>
    <s v="R005"/>
    <s v="Q021"/>
    <s v="Agree"/>
    <s v="Transparency"/>
    <n v="4"/>
    <n v="80"/>
    <n v="1"/>
    <x v="20"/>
    <x v="2"/>
  </r>
  <r>
    <s v="R005"/>
    <s v="Q022"/>
    <s v="Agree"/>
    <s v="Transparency"/>
    <n v="4"/>
    <n v="80"/>
    <n v="1"/>
    <x v="21"/>
    <x v="2"/>
  </r>
  <r>
    <s v="R005"/>
    <s v="Q023"/>
    <s v="Agree"/>
    <s v="Transparency"/>
    <n v="4"/>
    <n v="80"/>
    <n v="1"/>
    <x v="22"/>
    <x v="2"/>
  </r>
  <r>
    <s v="R005"/>
    <s v="Q024"/>
    <s v="Agree"/>
    <s v="Transparency"/>
    <n v="4"/>
    <n v="80"/>
    <n v="1"/>
    <x v="23"/>
    <x v="2"/>
  </r>
  <r>
    <s v="R005"/>
    <s v="Q025"/>
    <s v="Agree"/>
    <s v="Commitment"/>
    <n v="4"/>
    <n v="80"/>
    <n v="1"/>
    <x v="24"/>
    <x v="2"/>
  </r>
  <r>
    <s v="R005"/>
    <s v="Q026"/>
    <s v="Agree"/>
    <s v="Commitment"/>
    <n v="4"/>
    <n v="80"/>
    <n v="1"/>
    <x v="25"/>
    <x v="2"/>
  </r>
  <r>
    <s v="R005"/>
    <s v="Q027"/>
    <s v="Agree"/>
    <s v="Commitment"/>
    <n v="4"/>
    <n v="80"/>
    <n v="1"/>
    <x v="26"/>
    <x v="2"/>
  </r>
  <r>
    <s v="R005"/>
    <s v="Q028"/>
    <s v="Agree"/>
    <s v="Commitment"/>
    <n v="4"/>
    <n v="80"/>
    <n v="1"/>
    <x v="27"/>
    <x v="2"/>
  </r>
  <r>
    <s v="R005"/>
    <s v="Q029"/>
    <s v="Agree"/>
    <s v="Call someone to account"/>
    <n v="4"/>
    <n v="80"/>
    <n v="1"/>
    <x v="28"/>
    <x v="2"/>
  </r>
  <r>
    <s v="R005"/>
    <s v="Q030"/>
    <s v="Agree"/>
    <s v="Call someone to account"/>
    <n v="4"/>
    <n v="80"/>
    <n v="1"/>
    <x v="29"/>
    <x v="2"/>
  </r>
  <r>
    <s v="R005"/>
    <s v="Q031"/>
    <s v="Agree"/>
    <s v="Call someone to account"/>
    <n v="4"/>
    <n v="80"/>
    <n v="1"/>
    <x v="30"/>
    <x v="2"/>
  </r>
  <r>
    <s v="R005"/>
    <s v="Q032"/>
    <s v="Agree"/>
    <s v="Call someone to account"/>
    <n v="4"/>
    <n v="80"/>
    <n v="1"/>
    <x v="31"/>
    <x v="2"/>
  </r>
  <r>
    <s v="R006"/>
    <s v="Q001"/>
    <s v="Agree"/>
    <s v="Role Modelling"/>
    <n v="4"/>
    <n v="80"/>
    <n v="1"/>
    <x v="0"/>
    <x v="3"/>
  </r>
  <r>
    <s v="R006"/>
    <s v="Q002"/>
    <s v="Agree"/>
    <s v="Role Modelling"/>
    <n v="4"/>
    <n v="80"/>
    <n v="1"/>
    <x v="1"/>
    <x v="3"/>
  </r>
  <r>
    <s v="R006"/>
    <s v="Q003"/>
    <s v="Agree"/>
    <s v="Role Modelling"/>
    <n v="4"/>
    <n v="80"/>
    <n v="1"/>
    <x v="2"/>
    <x v="3"/>
  </r>
  <r>
    <s v="R006"/>
    <s v="Q004"/>
    <s v="Agree"/>
    <s v="Role Modelling"/>
    <n v="4"/>
    <n v="80"/>
    <n v="1"/>
    <x v="3"/>
    <x v="3"/>
  </r>
  <r>
    <s v="R006"/>
    <s v="Q005"/>
    <s v="Agree"/>
    <s v="Discussability"/>
    <n v="4"/>
    <n v="80"/>
    <n v="1"/>
    <x v="4"/>
    <x v="3"/>
  </r>
  <r>
    <s v="R006"/>
    <s v="Q006"/>
    <s v="Agree"/>
    <s v="Discussability"/>
    <n v="4"/>
    <n v="80"/>
    <n v="1"/>
    <x v="5"/>
    <x v="3"/>
  </r>
  <r>
    <s v="R006"/>
    <s v="Q007"/>
    <s v="Agree"/>
    <s v="Discussability"/>
    <n v="4"/>
    <n v="80"/>
    <n v="1"/>
    <x v="6"/>
    <x v="3"/>
  </r>
  <r>
    <s v="R006"/>
    <s v="Q008"/>
    <s v="Agree"/>
    <s v="Discussability"/>
    <n v="4"/>
    <n v="80"/>
    <n v="1"/>
    <x v="7"/>
    <x v="3"/>
  </r>
  <r>
    <s v="R006"/>
    <s v="Q009"/>
    <s v="Agree"/>
    <s v="Achievability"/>
    <n v="4"/>
    <n v="80"/>
    <n v="1"/>
    <x v="8"/>
    <x v="3"/>
  </r>
  <r>
    <s v="R006"/>
    <s v="Q010"/>
    <s v="Neutral"/>
    <s v="Achievability"/>
    <n v="3"/>
    <n v="60"/>
    <n v="0"/>
    <x v="9"/>
    <x v="3"/>
  </r>
  <r>
    <s v="R006"/>
    <s v="Q011"/>
    <s v="Neutral"/>
    <s v="Achievability"/>
    <n v="3"/>
    <n v="60"/>
    <n v="0"/>
    <x v="10"/>
    <x v="3"/>
  </r>
  <r>
    <s v="R006"/>
    <s v="Q012"/>
    <s v="Neutral"/>
    <s v="Achievability"/>
    <n v="3"/>
    <n v="60"/>
    <n v="0"/>
    <x v="11"/>
    <x v="3"/>
  </r>
  <r>
    <s v="R006"/>
    <s v="Q013"/>
    <s v="Neutral"/>
    <s v="Enforcement"/>
    <n v="3"/>
    <n v="60"/>
    <n v="0"/>
    <x v="12"/>
    <x v="3"/>
  </r>
  <r>
    <s v="R006"/>
    <s v="Q014"/>
    <s v="Neutral"/>
    <s v="Enforcement"/>
    <n v="3"/>
    <n v="60"/>
    <n v="0"/>
    <x v="13"/>
    <x v="3"/>
  </r>
  <r>
    <s v="R006"/>
    <s v="Q015"/>
    <s v="Neutral"/>
    <s v="Enforcement"/>
    <n v="3"/>
    <n v="60"/>
    <n v="0"/>
    <x v="14"/>
    <x v="3"/>
  </r>
  <r>
    <s v="R006"/>
    <s v="Q016"/>
    <s v="Neutral"/>
    <s v="Enforcement"/>
    <n v="3"/>
    <n v="60"/>
    <n v="0"/>
    <x v="15"/>
    <x v="3"/>
  </r>
  <r>
    <s v="R006"/>
    <s v="Q017"/>
    <s v="Neutral"/>
    <s v="Clarity"/>
    <n v="3"/>
    <n v="60"/>
    <n v="0"/>
    <x v="16"/>
    <x v="3"/>
  </r>
  <r>
    <s v="R006"/>
    <s v="Q018"/>
    <s v="Neutral"/>
    <s v="Clarity"/>
    <n v="3"/>
    <n v="60"/>
    <n v="0"/>
    <x v="17"/>
    <x v="3"/>
  </r>
  <r>
    <s v="R006"/>
    <s v="Q019"/>
    <s v="Neutral"/>
    <s v="Clarity"/>
    <n v="3"/>
    <n v="60"/>
    <n v="0"/>
    <x v="18"/>
    <x v="3"/>
  </r>
  <r>
    <s v="R006"/>
    <s v="Q020"/>
    <s v="Neutral"/>
    <s v="Clarity"/>
    <n v="3"/>
    <n v="60"/>
    <n v="0"/>
    <x v="19"/>
    <x v="3"/>
  </r>
  <r>
    <s v="R006"/>
    <s v="Q021"/>
    <s v="Neutral"/>
    <s v="Transparency"/>
    <n v="3"/>
    <n v="60"/>
    <n v="0"/>
    <x v="20"/>
    <x v="3"/>
  </r>
  <r>
    <s v="R006"/>
    <s v="Q022"/>
    <s v="Neutral"/>
    <s v="Transparency"/>
    <n v="3"/>
    <n v="60"/>
    <n v="0"/>
    <x v="21"/>
    <x v="3"/>
  </r>
  <r>
    <s v="R006"/>
    <s v="Q023"/>
    <s v="Neutral"/>
    <s v="Transparency"/>
    <n v="3"/>
    <n v="60"/>
    <n v="0"/>
    <x v="22"/>
    <x v="3"/>
  </r>
  <r>
    <s v="R006"/>
    <s v="Q024"/>
    <s v="Neutral"/>
    <s v="Transparency"/>
    <n v="3"/>
    <n v="60"/>
    <n v="0"/>
    <x v="23"/>
    <x v="3"/>
  </r>
  <r>
    <s v="R006"/>
    <s v="Q025"/>
    <s v="Neutral"/>
    <s v="Commitment"/>
    <n v="3"/>
    <n v="60"/>
    <n v="0"/>
    <x v="24"/>
    <x v="3"/>
  </r>
  <r>
    <s v="R006"/>
    <s v="Q026"/>
    <s v="Neutral"/>
    <s v="Commitment"/>
    <n v="3"/>
    <n v="60"/>
    <n v="0"/>
    <x v="25"/>
    <x v="3"/>
  </r>
  <r>
    <s v="R006"/>
    <s v="Q027"/>
    <s v="Neutral"/>
    <s v="Commitment"/>
    <n v="3"/>
    <n v="60"/>
    <n v="0"/>
    <x v="26"/>
    <x v="3"/>
  </r>
  <r>
    <s v="R006"/>
    <s v="Q028"/>
    <s v="Neutral"/>
    <s v="Commitment"/>
    <n v="3"/>
    <n v="60"/>
    <n v="0"/>
    <x v="27"/>
    <x v="3"/>
  </r>
  <r>
    <s v="R006"/>
    <s v="Q029"/>
    <s v="Neutral"/>
    <s v="Call someone to account"/>
    <n v="3"/>
    <n v="60"/>
    <n v="0"/>
    <x v="28"/>
    <x v="3"/>
  </r>
  <r>
    <s v="R006"/>
    <s v="Q030"/>
    <s v="Neutral"/>
    <s v="Call someone to account"/>
    <n v="3"/>
    <n v="60"/>
    <n v="0"/>
    <x v="29"/>
    <x v="3"/>
  </r>
  <r>
    <s v="R006"/>
    <s v="Q031"/>
    <s v="Neutral"/>
    <s v="Call someone to account"/>
    <n v="3"/>
    <n v="60"/>
    <n v="0"/>
    <x v="30"/>
    <x v="3"/>
  </r>
  <r>
    <s v="R006"/>
    <s v="Q032"/>
    <s v="Neutral"/>
    <s v="Call someone to account"/>
    <n v="3"/>
    <n v="60"/>
    <n v="0"/>
    <x v="31"/>
    <x v="3"/>
  </r>
  <r>
    <s v="R007"/>
    <s v="Q001"/>
    <s v="Neutral"/>
    <s v="Role Modelling"/>
    <n v="3"/>
    <n v="60"/>
    <n v="0"/>
    <x v="0"/>
    <x v="1"/>
  </r>
  <r>
    <s v="R007"/>
    <s v="Q002"/>
    <s v="Neutral"/>
    <s v="Role Modelling"/>
    <n v="3"/>
    <n v="60"/>
    <n v="0"/>
    <x v="1"/>
    <x v="1"/>
  </r>
  <r>
    <s v="R007"/>
    <s v="Q003"/>
    <s v="Neutral"/>
    <s v="Role Modelling"/>
    <n v="3"/>
    <n v="60"/>
    <n v="0"/>
    <x v="2"/>
    <x v="1"/>
  </r>
  <r>
    <s v="R007"/>
    <s v="Q004"/>
    <s v="Neutral"/>
    <s v="Role Modelling"/>
    <n v="3"/>
    <n v="60"/>
    <n v="0"/>
    <x v="3"/>
    <x v="1"/>
  </r>
  <r>
    <s v="R007"/>
    <s v="Q005"/>
    <s v="Neutral"/>
    <s v="Discussability"/>
    <n v="3"/>
    <n v="60"/>
    <n v="0"/>
    <x v="4"/>
    <x v="1"/>
  </r>
  <r>
    <s v="R007"/>
    <s v="Q006"/>
    <s v="Neutral"/>
    <s v="Discussability"/>
    <n v="3"/>
    <n v="60"/>
    <n v="0"/>
    <x v="5"/>
    <x v="1"/>
  </r>
  <r>
    <s v="R007"/>
    <s v="Q007"/>
    <s v="Neutral"/>
    <s v="Discussability"/>
    <n v="3"/>
    <n v="60"/>
    <n v="0"/>
    <x v="6"/>
    <x v="1"/>
  </r>
  <r>
    <s v="R007"/>
    <s v="Q008"/>
    <s v="Neutral"/>
    <s v="Discussability"/>
    <n v="3"/>
    <n v="60"/>
    <n v="0"/>
    <x v="7"/>
    <x v="1"/>
  </r>
  <r>
    <s v="R007"/>
    <s v="Q009"/>
    <s v="Neutral"/>
    <s v="Achievability"/>
    <n v="3"/>
    <n v="60"/>
    <n v="0"/>
    <x v="8"/>
    <x v="1"/>
  </r>
  <r>
    <s v="R007"/>
    <s v="Q010"/>
    <s v="Neutral"/>
    <s v="Achievability"/>
    <n v="3"/>
    <n v="60"/>
    <n v="0"/>
    <x v="9"/>
    <x v="1"/>
  </r>
  <r>
    <s v="R007"/>
    <s v="Q011"/>
    <s v="Agree"/>
    <s v="Achievability"/>
    <n v="4"/>
    <n v="80"/>
    <n v="1"/>
    <x v="10"/>
    <x v="1"/>
  </r>
  <r>
    <s v="R007"/>
    <s v="Q012"/>
    <s v="Disagree"/>
    <s v="Achievability"/>
    <n v="2"/>
    <n v="40"/>
    <n v="0"/>
    <x v="11"/>
    <x v="1"/>
  </r>
  <r>
    <s v="R007"/>
    <s v="Q013"/>
    <s v="Neutral"/>
    <s v="Enforcement"/>
    <n v="3"/>
    <n v="60"/>
    <n v="0"/>
    <x v="12"/>
    <x v="1"/>
  </r>
  <r>
    <s v="R007"/>
    <s v="Q014"/>
    <s v="Strongly Agree"/>
    <s v="Enforcement"/>
    <n v="5"/>
    <n v="100"/>
    <n v="1"/>
    <x v="13"/>
    <x v="1"/>
  </r>
  <r>
    <s v="R007"/>
    <s v="Q015"/>
    <s v="Agree"/>
    <s v="Enforcement"/>
    <n v="4"/>
    <n v="80"/>
    <n v="1"/>
    <x v="14"/>
    <x v="1"/>
  </r>
  <r>
    <s v="R007"/>
    <s v="Q016"/>
    <s v="Disagree"/>
    <s v="Enforcement"/>
    <n v="2"/>
    <n v="40"/>
    <n v="0"/>
    <x v="15"/>
    <x v="1"/>
  </r>
  <r>
    <s v="R007"/>
    <s v="Q017"/>
    <s v="Neutral"/>
    <s v="Clarity"/>
    <n v="3"/>
    <n v="60"/>
    <n v="0"/>
    <x v="16"/>
    <x v="1"/>
  </r>
  <r>
    <s v="R007"/>
    <s v="Q018"/>
    <s v="Strongly Agree"/>
    <s v="Clarity"/>
    <n v="5"/>
    <n v="100"/>
    <n v="1"/>
    <x v="17"/>
    <x v="1"/>
  </r>
  <r>
    <s v="R007"/>
    <s v="Q019"/>
    <s v="Strongly Agree"/>
    <s v="Clarity"/>
    <n v="5"/>
    <n v="100"/>
    <n v="1"/>
    <x v="18"/>
    <x v="1"/>
  </r>
  <r>
    <s v="R007"/>
    <s v="Q020"/>
    <s v="Agree"/>
    <s v="Clarity"/>
    <n v="4"/>
    <n v="80"/>
    <n v="1"/>
    <x v="19"/>
    <x v="1"/>
  </r>
  <r>
    <s v="R007"/>
    <s v="Q021"/>
    <s v="Agree"/>
    <s v="Transparency"/>
    <n v="4"/>
    <n v="80"/>
    <n v="1"/>
    <x v="20"/>
    <x v="1"/>
  </r>
  <r>
    <s v="R007"/>
    <s v="Q022"/>
    <s v="Disagree"/>
    <s v="Transparency"/>
    <n v="2"/>
    <n v="40"/>
    <n v="0"/>
    <x v="21"/>
    <x v="1"/>
  </r>
  <r>
    <s v="R007"/>
    <s v="Q023"/>
    <s v="Neutral"/>
    <s v="Transparency"/>
    <n v="3"/>
    <n v="60"/>
    <n v="0"/>
    <x v="22"/>
    <x v="1"/>
  </r>
  <r>
    <s v="R007"/>
    <s v="Q024"/>
    <s v="Disagree"/>
    <s v="Transparency"/>
    <n v="2"/>
    <n v="40"/>
    <n v="0"/>
    <x v="23"/>
    <x v="1"/>
  </r>
  <r>
    <s v="R007"/>
    <s v="Q025"/>
    <s v="Agree"/>
    <s v="Commitment"/>
    <n v="4"/>
    <n v="80"/>
    <n v="1"/>
    <x v="24"/>
    <x v="1"/>
  </r>
  <r>
    <s v="R007"/>
    <s v="Q026"/>
    <s v="Disagree"/>
    <s v="Commitment"/>
    <n v="2"/>
    <n v="40"/>
    <n v="0"/>
    <x v="25"/>
    <x v="1"/>
  </r>
  <r>
    <s v="R007"/>
    <s v="Q027"/>
    <s v="Neutral"/>
    <s v="Commitment"/>
    <n v="3"/>
    <n v="60"/>
    <n v="0"/>
    <x v="26"/>
    <x v="1"/>
  </r>
  <r>
    <s v="R007"/>
    <s v="Q028"/>
    <s v="Strongly Agree"/>
    <s v="Commitment"/>
    <n v="5"/>
    <n v="100"/>
    <n v="1"/>
    <x v="27"/>
    <x v="1"/>
  </r>
  <r>
    <s v="R007"/>
    <s v="Q029"/>
    <s v="Disagree"/>
    <s v="Call someone to account"/>
    <n v="2"/>
    <n v="40"/>
    <n v="0"/>
    <x v="28"/>
    <x v="1"/>
  </r>
  <r>
    <s v="R007"/>
    <s v="Q030"/>
    <s v="Strongly Disagree"/>
    <s v="Call someone to account"/>
    <n v="1"/>
    <n v="20"/>
    <n v="0"/>
    <x v="29"/>
    <x v="1"/>
  </r>
  <r>
    <s v="R007"/>
    <s v="Q031"/>
    <s v="Disagree"/>
    <s v="Call someone to account"/>
    <n v="2"/>
    <n v="40"/>
    <n v="0"/>
    <x v="30"/>
    <x v="1"/>
  </r>
  <r>
    <s v="R007"/>
    <s v="Q032"/>
    <s v="Neutral"/>
    <s v="Call someone to account"/>
    <n v="3"/>
    <n v="60"/>
    <n v="0"/>
    <x v="31"/>
    <x v="1"/>
  </r>
  <r>
    <s v="R008"/>
    <s v="Q001"/>
    <s v="Neutral"/>
    <s v="Role Modelling"/>
    <n v="3"/>
    <n v="60"/>
    <n v="0"/>
    <x v="0"/>
    <x v="0"/>
  </r>
  <r>
    <s v="R008"/>
    <s v="Q002"/>
    <s v="Agree"/>
    <s v="Role Modelling"/>
    <n v="4"/>
    <n v="80"/>
    <n v="1"/>
    <x v="1"/>
    <x v="0"/>
  </r>
  <r>
    <s v="R008"/>
    <s v="Q003"/>
    <s v="Agree"/>
    <s v="Role Modelling"/>
    <n v="4"/>
    <n v="80"/>
    <n v="1"/>
    <x v="2"/>
    <x v="0"/>
  </r>
  <r>
    <s v="R008"/>
    <s v="Q004"/>
    <s v="Neutral"/>
    <s v="Role Modelling"/>
    <n v="3"/>
    <n v="60"/>
    <n v="0"/>
    <x v="3"/>
    <x v="0"/>
  </r>
  <r>
    <s v="R008"/>
    <s v="Q005"/>
    <s v="Neutral"/>
    <s v="Discussability"/>
    <n v="3"/>
    <n v="60"/>
    <n v="0"/>
    <x v="4"/>
    <x v="0"/>
  </r>
  <r>
    <s v="R008"/>
    <s v="Q006"/>
    <s v="Neutral"/>
    <s v="Discussability"/>
    <n v="3"/>
    <n v="60"/>
    <n v="0"/>
    <x v="5"/>
    <x v="0"/>
  </r>
  <r>
    <s v="R008"/>
    <s v="Q007"/>
    <s v="Agree"/>
    <s v="Discussability"/>
    <n v="4"/>
    <n v="80"/>
    <n v="1"/>
    <x v="6"/>
    <x v="0"/>
  </r>
  <r>
    <s v="R008"/>
    <s v="Q008"/>
    <s v="Strongly Agree"/>
    <s v="Discussability"/>
    <n v="5"/>
    <n v="100"/>
    <n v="1"/>
    <x v="7"/>
    <x v="0"/>
  </r>
  <r>
    <s v="R008"/>
    <s v="Q009"/>
    <s v="Strongly Agree"/>
    <s v="Achievability"/>
    <n v="5"/>
    <n v="100"/>
    <n v="1"/>
    <x v="8"/>
    <x v="0"/>
  </r>
  <r>
    <s v="R008"/>
    <s v="Q010"/>
    <s v="Agree"/>
    <s v="Achievability"/>
    <n v="4"/>
    <n v="80"/>
    <n v="1"/>
    <x v="9"/>
    <x v="0"/>
  </r>
  <r>
    <s v="R008"/>
    <s v="Q011"/>
    <s v="Disagree"/>
    <s v="Achievability"/>
    <n v="2"/>
    <n v="40"/>
    <n v="0"/>
    <x v="10"/>
    <x v="0"/>
  </r>
  <r>
    <s v="R008"/>
    <s v="Q012"/>
    <s v="Neutral"/>
    <s v="Achievability"/>
    <n v="3"/>
    <n v="60"/>
    <n v="0"/>
    <x v="11"/>
    <x v="0"/>
  </r>
  <r>
    <s v="R008"/>
    <s v="Q013"/>
    <s v="Disagree"/>
    <s v="Enforcement"/>
    <n v="2"/>
    <n v="40"/>
    <n v="0"/>
    <x v="12"/>
    <x v="0"/>
  </r>
  <r>
    <s v="R008"/>
    <s v="Q014"/>
    <s v="Agree"/>
    <s v="Enforcement"/>
    <n v="4"/>
    <n v="80"/>
    <n v="1"/>
    <x v="13"/>
    <x v="0"/>
  </r>
  <r>
    <s v="R008"/>
    <s v="Q015"/>
    <s v="Disagree"/>
    <s v="Enforcement"/>
    <n v="2"/>
    <n v="40"/>
    <n v="0"/>
    <x v="14"/>
    <x v="0"/>
  </r>
  <r>
    <s v="R008"/>
    <s v="Q016"/>
    <s v="Strongly Disagree"/>
    <s v="Enforcement"/>
    <n v="1"/>
    <n v="20"/>
    <n v="0"/>
    <x v="15"/>
    <x v="0"/>
  </r>
  <r>
    <s v="R008"/>
    <s v="Q017"/>
    <s v="Disagree"/>
    <s v="Clarity"/>
    <n v="2"/>
    <n v="40"/>
    <n v="0"/>
    <x v="16"/>
    <x v="0"/>
  </r>
  <r>
    <s v="R008"/>
    <s v="Q018"/>
    <s v="Neutral"/>
    <s v="Clarity"/>
    <n v="3"/>
    <n v="60"/>
    <n v="0"/>
    <x v="17"/>
    <x v="0"/>
  </r>
  <r>
    <s v="R008"/>
    <s v="Q019"/>
    <s v="Neutral"/>
    <s v="Clarity"/>
    <n v="3"/>
    <n v="60"/>
    <n v="0"/>
    <x v="18"/>
    <x v="0"/>
  </r>
  <r>
    <s v="R008"/>
    <s v="Q020"/>
    <s v="Agree"/>
    <s v="Clarity"/>
    <n v="4"/>
    <n v="80"/>
    <n v="1"/>
    <x v="19"/>
    <x v="0"/>
  </r>
  <r>
    <s v="R008"/>
    <s v="Q021"/>
    <s v="Agree"/>
    <s v="Transparency"/>
    <n v="4"/>
    <n v="80"/>
    <n v="1"/>
    <x v="20"/>
    <x v="0"/>
  </r>
  <r>
    <s v="R008"/>
    <s v="Q022"/>
    <s v="Neutral"/>
    <s v="Transparency"/>
    <n v="3"/>
    <n v="60"/>
    <n v="0"/>
    <x v="21"/>
    <x v="0"/>
  </r>
  <r>
    <s v="R008"/>
    <s v="Q023"/>
    <s v="Neutral"/>
    <s v="Transparency"/>
    <n v="3"/>
    <n v="60"/>
    <n v="0"/>
    <x v="22"/>
    <x v="0"/>
  </r>
  <r>
    <s v="R008"/>
    <s v="Q024"/>
    <s v="Neutral"/>
    <s v="Transparency"/>
    <n v="3"/>
    <n v="60"/>
    <n v="0"/>
    <x v="23"/>
    <x v="0"/>
  </r>
  <r>
    <s v="R008"/>
    <s v="Q025"/>
    <s v="Agree"/>
    <s v="Commitment"/>
    <n v="4"/>
    <n v="80"/>
    <n v="1"/>
    <x v="24"/>
    <x v="0"/>
  </r>
  <r>
    <s v="R008"/>
    <s v="Q026"/>
    <s v="Strongly Agree"/>
    <s v="Commitment"/>
    <n v="5"/>
    <n v="100"/>
    <n v="1"/>
    <x v="25"/>
    <x v="0"/>
  </r>
  <r>
    <s v="R008"/>
    <s v="Q027"/>
    <s v="Disagree"/>
    <s v="Commitment"/>
    <n v="2"/>
    <n v="40"/>
    <n v="0"/>
    <x v="26"/>
    <x v="0"/>
  </r>
  <r>
    <s v="R008"/>
    <s v="Q028"/>
    <s v="Strongly Disagree"/>
    <s v="Commitment"/>
    <n v="1"/>
    <n v="20"/>
    <n v="0"/>
    <x v="27"/>
    <x v="0"/>
  </r>
  <r>
    <s v="R008"/>
    <s v="Q029"/>
    <s v="Disagree"/>
    <s v="Call someone to account"/>
    <n v="2"/>
    <n v="40"/>
    <n v="0"/>
    <x v="28"/>
    <x v="0"/>
  </r>
  <r>
    <s v="R008"/>
    <s v="Q030"/>
    <s v="Neutral"/>
    <s v="Call someone to account"/>
    <n v="3"/>
    <n v="60"/>
    <n v="0"/>
    <x v="29"/>
    <x v="0"/>
  </r>
  <r>
    <s v="R008"/>
    <s v="Q031"/>
    <s v="Neutral"/>
    <s v="Call someone to account"/>
    <n v="3"/>
    <n v="60"/>
    <n v="0"/>
    <x v="30"/>
    <x v="0"/>
  </r>
  <r>
    <s v="R008"/>
    <s v="Q032"/>
    <s v="Agree"/>
    <s v="Call someone to account"/>
    <n v="4"/>
    <n v="80"/>
    <n v="1"/>
    <x v="31"/>
    <x v="0"/>
  </r>
  <r>
    <s v="R009"/>
    <s v="Q001"/>
    <s v="Agree"/>
    <s v="Role Modelling"/>
    <n v="4"/>
    <n v="80"/>
    <n v="1"/>
    <x v="0"/>
    <x v="3"/>
  </r>
  <r>
    <s v="R009"/>
    <s v="Q002"/>
    <s v="Neutral"/>
    <s v="Role Modelling"/>
    <n v="3"/>
    <n v="60"/>
    <n v="0"/>
    <x v="1"/>
    <x v="3"/>
  </r>
  <r>
    <s v="R009"/>
    <s v="Q003"/>
    <s v="Neutral"/>
    <s v="Role Modelling"/>
    <n v="3"/>
    <n v="60"/>
    <n v="0"/>
    <x v="2"/>
    <x v="3"/>
  </r>
  <r>
    <s v="R009"/>
    <s v="Q004"/>
    <s v="Neutral"/>
    <s v="Role Modelling"/>
    <n v="3"/>
    <n v="60"/>
    <n v="0"/>
    <x v="3"/>
    <x v="3"/>
  </r>
  <r>
    <s v="R009"/>
    <s v="Q005"/>
    <s v="Agree"/>
    <s v="Discussability"/>
    <n v="4"/>
    <n v="80"/>
    <n v="1"/>
    <x v="4"/>
    <x v="3"/>
  </r>
  <r>
    <s v="R009"/>
    <s v="Q006"/>
    <s v="Strongly Agree"/>
    <s v="Discussability"/>
    <n v="5"/>
    <n v="100"/>
    <n v="1"/>
    <x v="5"/>
    <x v="3"/>
  </r>
  <r>
    <s v="R009"/>
    <s v="Q007"/>
    <s v="Strongly Agree"/>
    <s v="Discussability"/>
    <n v="5"/>
    <n v="100"/>
    <n v="1"/>
    <x v="6"/>
    <x v="3"/>
  </r>
  <r>
    <s v="R009"/>
    <s v="Q008"/>
    <s v="Agree"/>
    <s v="Discussability"/>
    <n v="4"/>
    <n v="80"/>
    <n v="1"/>
    <x v="7"/>
    <x v="3"/>
  </r>
  <r>
    <s v="R009"/>
    <s v="Q009"/>
    <s v="Disagree"/>
    <s v="Achievability"/>
    <n v="2"/>
    <n v="40"/>
    <n v="0"/>
    <x v="8"/>
    <x v="3"/>
  </r>
  <r>
    <s v="R009"/>
    <s v="Q010"/>
    <s v="Neutral"/>
    <s v="Achievability"/>
    <n v="3"/>
    <n v="60"/>
    <n v="0"/>
    <x v="9"/>
    <x v="3"/>
  </r>
  <r>
    <s v="R009"/>
    <s v="Q011"/>
    <s v="Disagree"/>
    <s v="Achievability"/>
    <n v="2"/>
    <n v="40"/>
    <n v="0"/>
    <x v="10"/>
    <x v="3"/>
  </r>
  <r>
    <s v="R009"/>
    <s v="Q012"/>
    <s v="Agree"/>
    <s v="Achievability"/>
    <n v="4"/>
    <n v="80"/>
    <n v="1"/>
    <x v="11"/>
    <x v="3"/>
  </r>
  <r>
    <s v="R009"/>
    <s v="Q013"/>
    <s v="Disagree"/>
    <s v="Enforcement"/>
    <n v="2"/>
    <n v="40"/>
    <n v="0"/>
    <x v="12"/>
    <x v="3"/>
  </r>
  <r>
    <s v="R009"/>
    <s v="Q014"/>
    <s v="Neutral"/>
    <s v="Enforcement"/>
    <n v="3"/>
    <n v="60"/>
    <n v="0"/>
    <x v="13"/>
    <x v="3"/>
  </r>
  <r>
    <s v="R009"/>
    <s v="Q015"/>
    <s v="Strongly Agree"/>
    <s v="Enforcement"/>
    <n v="5"/>
    <n v="100"/>
    <n v="1"/>
    <x v="14"/>
    <x v="3"/>
  </r>
  <r>
    <s v="R009"/>
    <s v="Q016"/>
    <s v="Strongly Agree"/>
    <s v="Enforcement"/>
    <n v="5"/>
    <n v="100"/>
    <n v="1"/>
    <x v="15"/>
    <x v="3"/>
  </r>
  <r>
    <s v="R009"/>
    <s v="Q017"/>
    <s v="Disagree"/>
    <s v="Clarity"/>
    <n v="2"/>
    <n v="40"/>
    <n v="0"/>
    <x v="16"/>
    <x v="3"/>
  </r>
  <r>
    <s v="R009"/>
    <s v="Q018"/>
    <s v="Strongly Disagree"/>
    <s v="Clarity"/>
    <n v="1"/>
    <n v="20"/>
    <n v="0"/>
    <x v="17"/>
    <x v="3"/>
  </r>
  <r>
    <s v="R009"/>
    <s v="Q019"/>
    <s v="Disagree"/>
    <s v="Clarity"/>
    <n v="2"/>
    <n v="40"/>
    <n v="0"/>
    <x v="18"/>
    <x v="3"/>
  </r>
  <r>
    <s v="R009"/>
    <s v="Q020"/>
    <s v="Neutral"/>
    <s v="Clarity"/>
    <n v="3"/>
    <n v="60"/>
    <n v="0"/>
    <x v="19"/>
    <x v="3"/>
  </r>
  <r>
    <s v="R009"/>
    <s v="Q021"/>
    <s v="Neutral"/>
    <s v="Transparency"/>
    <n v="3"/>
    <n v="60"/>
    <n v="0"/>
    <x v="20"/>
    <x v="3"/>
  </r>
  <r>
    <s v="R009"/>
    <s v="Q022"/>
    <s v="Agree"/>
    <s v="Transparency"/>
    <n v="4"/>
    <n v="80"/>
    <n v="1"/>
    <x v="21"/>
    <x v="3"/>
  </r>
  <r>
    <s v="R009"/>
    <s v="Q023"/>
    <s v="Agree"/>
    <s v="Transparency"/>
    <n v="4"/>
    <n v="80"/>
    <n v="1"/>
    <x v="22"/>
    <x v="3"/>
  </r>
  <r>
    <s v="R009"/>
    <s v="Q024"/>
    <s v="Neutral"/>
    <s v="Transparency"/>
    <n v="3"/>
    <n v="60"/>
    <n v="0"/>
    <x v="23"/>
    <x v="3"/>
  </r>
  <r>
    <s v="R009"/>
    <s v="Q025"/>
    <s v="Neutral"/>
    <s v="Commitment"/>
    <n v="3"/>
    <n v="60"/>
    <n v="0"/>
    <x v="24"/>
    <x v="3"/>
  </r>
  <r>
    <s v="R009"/>
    <s v="Q026"/>
    <s v="Neutral"/>
    <s v="Commitment"/>
    <n v="3"/>
    <n v="60"/>
    <n v="0"/>
    <x v="25"/>
    <x v="3"/>
  </r>
  <r>
    <s v="R009"/>
    <s v="Q027"/>
    <s v="Agree"/>
    <s v="Commitment"/>
    <n v="4"/>
    <n v="80"/>
    <n v="1"/>
    <x v="26"/>
    <x v="3"/>
  </r>
  <r>
    <s v="R009"/>
    <s v="Q028"/>
    <s v="Strongly Agree"/>
    <s v="Commitment"/>
    <n v="5"/>
    <n v="100"/>
    <n v="1"/>
    <x v="27"/>
    <x v="3"/>
  </r>
  <r>
    <s v="R009"/>
    <s v="Q029"/>
    <s v="Disagree"/>
    <s v="Call someone to account"/>
    <n v="2"/>
    <n v="40"/>
    <n v="0"/>
    <x v="28"/>
    <x v="3"/>
  </r>
  <r>
    <s v="R009"/>
    <s v="Q030"/>
    <s v="Strongly Disagree"/>
    <s v="Call someone to account"/>
    <n v="1"/>
    <n v="20"/>
    <n v="0"/>
    <x v="29"/>
    <x v="3"/>
  </r>
  <r>
    <s v="R009"/>
    <s v="Q031"/>
    <s v="Disagree"/>
    <s v="Call someone to account"/>
    <n v="2"/>
    <n v="40"/>
    <n v="0"/>
    <x v="30"/>
    <x v="3"/>
  </r>
  <r>
    <s v="R009"/>
    <s v="Q032"/>
    <s v="Neutral"/>
    <s v="Call someone to account"/>
    <n v="3"/>
    <n v="60"/>
    <n v="0"/>
    <x v="31"/>
    <x v="3"/>
  </r>
  <r>
    <s v="R010"/>
    <s v="Q001"/>
    <s v="Neutral"/>
    <s v="Role Modelling"/>
    <n v="3"/>
    <n v="60"/>
    <n v="0"/>
    <x v="0"/>
    <x v="4"/>
  </r>
  <r>
    <s v="R010"/>
    <s v="Q002"/>
    <s v="Agree"/>
    <s v="Role Modelling"/>
    <n v="4"/>
    <n v="80"/>
    <n v="1"/>
    <x v="1"/>
    <x v="4"/>
  </r>
  <r>
    <s v="R010"/>
    <s v="Q003"/>
    <s v="Agree"/>
    <s v="Role Modelling"/>
    <n v="4"/>
    <n v="80"/>
    <n v="1"/>
    <x v="2"/>
    <x v="4"/>
  </r>
  <r>
    <s v="R010"/>
    <s v="Q004"/>
    <s v="Neutral"/>
    <s v="Role Modelling"/>
    <n v="3"/>
    <n v="60"/>
    <n v="0"/>
    <x v="3"/>
    <x v="4"/>
  </r>
  <r>
    <s v="R010"/>
    <s v="Q005"/>
    <s v="Neutral"/>
    <s v="Discussability"/>
    <n v="3"/>
    <n v="60"/>
    <n v="0"/>
    <x v="4"/>
    <x v="4"/>
  </r>
  <r>
    <s v="R010"/>
    <s v="Q006"/>
    <s v="Neutral"/>
    <s v="Discussability"/>
    <n v="3"/>
    <n v="60"/>
    <n v="0"/>
    <x v="5"/>
    <x v="4"/>
  </r>
  <r>
    <s v="R010"/>
    <s v="Q007"/>
    <s v="Agree"/>
    <s v="Discussability"/>
    <n v="4"/>
    <n v="80"/>
    <n v="1"/>
    <x v="6"/>
    <x v="4"/>
  </r>
  <r>
    <s v="R010"/>
    <s v="Q008"/>
    <s v="Strongly Agree"/>
    <s v="Discussability"/>
    <n v="5"/>
    <n v="100"/>
    <n v="1"/>
    <x v="7"/>
    <x v="4"/>
  </r>
  <r>
    <s v="R010"/>
    <s v="Q009"/>
    <s v="Strongly Agree"/>
    <s v="Achievability"/>
    <n v="5"/>
    <n v="100"/>
    <n v="1"/>
    <x v="8"/>
    <x v="4"/>
  </r>
  <r>
    <s v="R010"/>
    <s v="Q010"/>
    <s v="Agree"/>
    <s v="Achievability"/>
    <n v="4"/>
    <n v="80"/>
    <n v="1"/>
    <x v="9"/>
    <x v="4"/>
  </r>
  <r>
    <s v="R010"/>
    <s v="Q011"/>
    <s v="Disagree"/>
    <s v="Achievability"/>
    <n v="2"/>
    <n v="40"/>
    <n v="0"/>
    <x v="10"/>
    <x v="4"/>
  </r>
  <r>
    <s v="R010"/>
    <s v="Q012"/>
    <s v="Agree"/>
    <s v="Achievability"/>
    <n v="4"/>
    <n v="80"/>
    <n v="1"/>
    <x v="11"/>
    <x v="4"/>
  </r>
  <r>
    <s v="R010"/>
    <s v="Q013"/>
    <s v="Disagree"/>
    <s v="Enforcement"/>
    <n v="2"/>
    <n v="40"/>
    <n v="0"/>
    <x v="12"/>
    <x v="4"/>
  </r>
  <r>
    <s v="R010"/>
    <s v="Q014"/>
    <s v="Agree"/>
    <s v="Enforcement"/>
    <n v="4"/>
    <n v="80"/>
    <n v="1"/>
    <x v="13"/>
    <x v="4"/>
  </r>
  <r>
    <s v="R010"/>
    <s v="Q015"/>
    <s v="Disagree"/>
    <s v="Enforcement"/>
    <n v="2"/>
    <n v="40"/>
    <n v="0"/>
    <x v="14"/>
    <x v="4"/>
  </r>
  <r>
    <s v="R010"/>
    <s v="Q016"/>
    <s v="Neutral"/>
    <s v="Enforcement"/>
    <n v="3"/>
    <n v="60"/>
    <n v="0"/>
    <x v="15"/>
    <x v="4"/>
  </r>
  <r>
    <s v="R010"/>
    <s v="Q017"/>
    <s v="Strongly Agree"/>
    <s v="Clarity"/>
    <n v="5"/>
    <n v="100"/>
    <n v="1"/>
    <x v="16"/>
    <x v="4"/>
  </r>
  <r>
    <s v="R010"/>
    <s v="Q018"/>
    <s v="Strongly Agree"/>
    <s v="Clarity"/>
    <n v="5"/>
    <n v="100"/>
    <n v="1"/>
    <x v="17"/>
    <x v="4"/>
  </r>
  <r>
    <s v="R010"/>
    <s v="Q019"/>
    <s v="Agree"/>
    <s v="Clarity"/>
    <n v="4"/>
    <n v="80"/>
    <n v="1"/>
    <x v="18"/>
    <x v="4"/>
  </r>
  <r>
    <s v="R010"/>
    <s v="Q020"/>
    <s v="Disagree"/>
    <s v="Clarity"/>
    <n v="2"/>
    <n v="40"/>
    <n v="0"/>
    <x v="19"/>
    <x v="4"/>
  </r>
  <r>
    <s v="R010"/>
    <s v="Q021"/>
    <s v="Neutral"/>
    <s v="Transparency"/>
    <n v="3"/>
    <n v="60"/>
    <n v="0"/>
    <x v="20"/>
    <x v="4"/>
  </r>
  <r>
    <s v="R010"/>
    <s v="Q022"/>
    <s v="Strongly Agree"/>
    <s v="Transparency"/>
    <n v="5"/>
    <n v="100"/>
    <n v="1"/>
    <x v="21"/>
    <x v="4"/>
  </r>
  <r>
    <s v="R010"/>
    <s v="Q023"/>
    <s v="Agree"/>
    <s v="Transparency"/>
    <n v="4"/>
    <n v="80"/>
    <n v="1"/>
    <x v="22"/>
    <x v="4"/>
  </r>
  <r>
    <s v="R010"/>
    <s v="Q024"/>
    <s v="Disagree"/>
    <s v="Transparency"/>
    <n v="2"/>
    <n v="40"/>
    <n v="0"/>
    <x v="23"/>
    <x v="4"/>
  </r>
  <r>
    <s v="R010"/>
    <s v="Q025"/>
    <s v="Disagree"/>
    <s v="Commitment"/>
    <n v="2"/>
    <n v="40"/>
    <n v="0"/>
    <x v="24"/>
    <x v="4"/>
  </r>
  <r>
    <s v="R010"/>
    <s v="Q026"/>
    <s v="Agree"/>
    <s v="Commitment"/>
    <n v="4"/>
    <n v="80"/>
    <n v="1"/>
    <x v="25"/>
    <x v="4"/>
  </r>
  <r>
    <s v="R010"/>
    <s v="Q027"/>
    <s v="Disagree"/>
    <s v="Commitment"/>
    <n v="2"/>
    <n v="40"/>
    <n v="0"/>
    <x v="26"/>
    <x v="4"/>
  </r>
  <r>
    <s v="R010"/>
    <s v="Q028"/>
    <s v="Neutral"/>
    <s v="Commitment"/>
    <n v="3"/>
    <n v="60"/>
    <n v="0"/>
    <x v="27"/>
    <x v="4"/>
  </r>
  <r>
    <s v="R010"/>
    <s v="Q029"/>
    <s v="Strongly Agree"/>
    <s v="Call someone to account"/>
    <n v="5"/>
    <n v="100"/>
    <n v="1"/>
    <x v="28"/>
    <x v="4"/>
  </r>
  <r>
    <s v="R010"/>
    <s v="Q030"/>
    <s v="Strongly Agree"/>
    <s v="Call someone to account"/>
    <n v="5"/>
    <n v="100"/>
    <n v="1"/>
    <x v="29"/>
    <x v="4"/>
  </r>
  <r>
    <s v="R010"/>
    <s v="Q031"/>
    <s v="Agree"/>
    <s v="Call someone to account"/>
    <n v="4"/>
    <n v="80"/>
    <n v="1"/>
    <x v="30"/>
    <x v="4"/>
  </r>
  <r>
    <s v="R010"/>
    <s v="Q032"/>
    <s v="Disagree"/>
    <s v="Call someone to account"/>
    <n v="2"/>
    <n v="40"/>
    <n v="0"/>
    <x v="31"/>
    <x v="4"/>
  </r>
  <r>
    <s v="R011"/>
    <s v="Q001"/>
    <s v="Neutral"/>
    <s v="Role Modelling"/>
    <n v="3"/>
    <n v="60"/>
    <n v="0"/>
    <x v="0"/>
    <x v="5"/>
  </r>
  <r>
    <s v="R011"/>
    <s v="Q002"/>
    <s v="Strongly Agree"/>
    <s v="Role Modelling"/>
    <n v="5"/>
    <n v="100"/>
    <n v="1"/>
    <x v="1"/>
    <x v="5"/>
  </r>
  <r>
    <s v="R011"/>
    <s v="Q003"/>
    <s v="Agree"/>
    <s v="Role Modelling"/>
    <n v="4"/>
    <n v="80"/>
    <n v="1"/>
    <x v="2"/>
    <x v="5"/>
  </r>
  <r>
    <s v="R011"/>
    <s v="Q004"/>
    <s v="Disagree"/>
    <s v="Role Modelling"/>
    <n v="2"/>
    <n v="40"/>
    <n v="0"/>
    <x v="3"/>
    <x v="5"/>
  </r>
  <r>
    <s v="R011"/>
    <s v="Q005"/>
    <s v="Disagree"/>
    <s v="Discussability"/>
    <n v="2"/>
    <n v="40"/>
    <n v="0"/>
    <x v="4"/>
    <x v="5"/>
  </r>
  <r>
    <s v="R011"/>
    <s v="Q006"/>
    <s v="Disagree"/>
    <s v="Discussability"/>
    <n v="2"/>
    <n v="40"/>
    <n v="0"/>
    <x v="5"/>
    <x v="5"/>
  </r>
  <r>
    <s v="R011"/>
    <s v="Q007"/>
    <s v="Disagree"/>
    <s v="Discussability"/>
    <n v="2"/>
    <n v="40"/>
    <n v="0"/>
    <x v="6"/>
    <x v="5"/>
  </r>
  <r>
    <s v="R011"/>
    <s v="Q008"/>
    <s v="Neutral"/>
    <s v="Discussability"/>
    <n v="3"/>
    <n v="60"/>
    <n v="0"/>
    <x v="7"/>
    <x v="5"/>
  </r>
  <r>
    <s v="R011"/>
    <s v="Q009"/>
    <s v="Strongly Agree"/>
    <s v="Achievability"/>
    <n v="5"/>
    <n v="100"/>
    <n v="1"/>
    <x v="8"/>
    <x v="5"/>
  </r>
  <r>
    <s v="R011"/>
    <s v="Q010"/>
    <s v="Strongly Agree"/>
    <s v="Achievability"/>
    <n v="5"/>
    <n v="100"/>
    <n v="1"/>
    <x v="9"/>
    <x v="5"/>
  </r>
  <r>
    <s v="R011"/>
    <s v="Q011"/>
    <s v="Agree"/>
    <s v="Achievability"/>
    <n v="4"/>
    <n v="80"/>
    <n v="1"/>
    <x v="10"/>
    <x v="5"/>
  </r>
  <r>
    <s v="R011"/>
    <s v="Q012"/>
    <s v="Disagree"/>
    <s v="Achievability"/>
    <n v="2"/>
    <n v="40"/>
    <n v="0"/>
    <x v="11"/>
    <x v="5"/>
  </r>
  <r>
    <s v="R011"/>
    <s v="Q013"/>
    <s v="Neutral"/>
    <s v="Enforcement"/>
    <n v="3"/>
    <n v="60"/>
    <n v="0"/>
    <x v="12"/>
    <x v="5"/>
  </r>
  <r>
    <s v="R011"/>
    <s v="Q014"/>
    <s v="Strongly Agree"/>
    <s v="Enforcement"/>
    <n v="5"/>
    <n v="100"/>
    <n v="1"/>
    <x v="13"/>
    <x v="5"/>
  </r>
  <r>
    <s v="R011"/>
    <s v="Q015"/>
    <s v="Agree"/>
    <s v="Enforcement"/>
    <n v="4"/>
    <n v="80"/>
    <n v="1"/>
    <x v="14"/>
    <x v="5"/>
  </r>
  <r>
    <s v="R011"/>
    <s v="Q016"/>
    <s v="Disagree"/>
    <s v="Enforcement"/>
    <n v="2"/>
    <n v="40"/>
    <n v="0"/>
    <x v="15"/>
    <x v="5"/>
  </r>
  <r>
    <s v="R011"/>
    <s v="Q017"/>
    <s v="Disagree"/>
    <s v="Clarity"/>
    <n v="2"/>
    <n v="40"/>
    <n v="0"/>
    <x v="16"/>
    <x v="5"/>
  </r>
  <r>
    <s v="R011"/>
    <s v="Q018"/>
    <s v="Agree"/>
    <s v="Clarity"/>
    <n v="4"/>
    <n v="80"/>
    <n v="1"/>
    <x v="17"/>
    <x v="5"/>
  </r>
  <r>
    <s v="R011"/>
    <s v="Q019"/>
    <s v="Disagree"/>
    <s v="Clarity"/>
    <n v="2"/>
    <n v="40"/>
    <n v="0"/>
    <x v="18"/>
    <x v="5"/>
  </r>
  <r>
    <s v="R011"/>
    <s v="Q020"/>
    <s v="Neutral"/>
    <s v="Clarity"/>
    <n v="3"/>
    <n v="60"/>
    <n v="0"/>
    <x v="19"/>
    <x v="5"/>
  </r>
  <r>
    <s v="R011"/>
    <s v="Q021"/>
    <s v="Strongly Agree"/>
    <s v="Transparency"/>
    <n v="5"/>
    <n v="100"/>
    <n v="1"/>
    <x v="20"/>
    <x v="5"/>
  </r>
  <r>
    <s v="R011"/>
    <s v="Q022"/>
    <s v="Strongly Agree"/>
    <s v="Transparency"/>
    <n v="5"/>
    <n v="100"/>
    <n v="1"/>
    <x v="21"/>
    <x v="5"/>
  </r>
  <r>
    <s v="R011"/>
    <s v="Q023"/>
    <s v="Agree"/>
    <s v="Transparency"/>
    <n v="4"/>
    <n v="80"/>
    <n v="1"/>
    <x v="22"/>
    <x v="5"/>
  </r>
  <r>
    <s v="R011"/>
    <s v="Q024"/>
    <s v="Disagree"/>
    <s v="Transparency"/>
    <n v="2"/>
    <n v="40"/>
    <n v="0"/>
    <x v="23"/>
    <x v="5"/>
  </r>
  <r>
    <s v="R011"/>
    <s v="Q025"/>
    <s v="Neutral"/>
    <s v="Commitment"/>
    <n v="3"/>
    <n v="60"/>
    <n v="0"/>
    <x v="24"/>
    <x v="5"/>
  </r>
  <r>
    <s v="R011"/>
    <s v="Q026"/>
    <s v="Strongly Agree"/>
    <s v="Commitment"/>
    <n v="5"/>
    <n v="100"/>
    <n v="1"/>
    <x v="25"/>
    <x v="5"/>
  </r>
  <r>
    <s v="R011"/>
    <s v="Q027"/>
    <s v="Agree"/>
    <s v="Commitment"/>
    <n v="4"/>
    <n v="80"/>
    <n v="1"/>
    <x v="26"/>
    <x v="5"/>
  </r>
  <r>
    <s v="R011"/>
    <s v="Q028"/>
    <s v="Disagree"/>
    <s v="Commitment"/>
    <n v="2"/>
    <n v="40"/>
    <n v="0"/>
    <x v="27"/>
    <x v="5"/>
  </r>
  <r>
    <s v="R011"/>
    <s v="Q029"/>
    <s v="Disagree"/>
    <s v="Call someone to account"/>
    <n v="2"/>
    <n v="40"/>
    <n v="0"/>
    <x v="28"/>
    <x v="5"/>
  </r>
  <r>
    <s v="R011"/>
    <s v="Q030"/>
    <s v="Agree"/>
    <s v="Call someone to account"/>
    <n v="4"/>
    <n v="80"/>
    <n v="1"/>
    <x v="29"/>
    <x v="5"/>
  </r>
  <r>
    <s v="R011"/>
    <s v="Q031"/>
    <s v="Disagree"/>
    <s v="Call someone to account"/>
    <n v="2"/>
    <n v="40"/>
    <n v="0"/>
    <x v="30"/>
    <x v="5"/>
  </r>
  <r>
    <s v="R011"/>
    <s v="Q032"/>
    <s v="Neutral"/>
    <s v="Call someone to account"/>
    <n v="3"/>
    <n v="60"/>
    <n v="0"/>
    <x v="31"/>
    <x v="5"/>
  </r>
  <r>
    <s v="R012"/>
    <s v="Q001"/>
    <s v="Strongly Agree"/>
    <s v="Role Modelling"/>
    <n v="5"/>
    <n v="100"/>
    <n v="1"/>
    <x v="0"/>
    <x v="2"/>
  </r>
  <r>
    <s v="R012"/>
    <s v="Q002"/>
    <s v="Strongly Agree"/>
    <s v="Role Modelling"/>
    <n v="5"/>
    <n v="100"/>
    <n v="1"/>
    <x v="1"/>
    <x v="2"/>
  </r>
  <r>
    <s v="R012"/>
    <s v="Q003"/>
    <s v="Agree"/>
    <s v="Role Modelling"/>
    <n v="4"/>
    <n v="80"/>
    <n v="1"/>
    <x v="2"/>
    <x v="2"/>
  </r>
  <r>
    <s v="R012"/>
    <s v="Q004"/>
    <s v="Disagree"/>
    <s v="Role Modelling"/>
    <n v="2"/>
    <n v="40"/>
    <n v="0"/>
    <x v="3"/>
    <x v="2"/>
  </r>
  <r>
    <s v="R012"/>
    <s v="Q005"/>
    <s v="Neutral"/>
    <s v="Discussability"/>
    <n v="3"/>
    <n v="60"/>
    <n v="0"/>
    <x v="4"/>
    <x v="2"/>
  </r>
  <r>
    <s v="R012"/>
    <s v="Q006"/>
    <s v="Strongly Agree"/>
    <s v="Discussability"/>
    <n v="5"/>
    <n v="100"/>
    <n v="1"/>
    <x v="5"/>
    <x v="2"/>
  </r>
  <r>
    <s v="R012"/>
    <s v="Q007"/>
    <s v="Agree"/>
    <s v="Discussability"/>
    <n v="4"/>
    <n v="80"/>
    <n v="1"/>
    <x v="6"/>
    <x v="2"/>
  </r>
  <r>
    <s v="R012"/>
    <s v="Q008"/>
    <s v="Disagree"/>
    <s v="Discussability"/>
    <n v="2"/>
    <n v="40"/>
    <n v="0"/>
    <x v="7"/>
    <x v="2"/>
  </r>
  <r>
    <s v="R012"/>
    <s v="Q009"/>
    <s v="Agree"/>
    <s v="Achievability"/>
    <n v="4"/>
    <n v="80"/>
    <n v="1"/>
    <x v="8"/>
    <x v="2"/>
  </r>
  <r>
    <s v="R012"/>
    <s v="Q010"/>
    <s v="Disagree"/>
    <s v="Achievability"/>
    <n v="2"/>
    <n v="40"/>
    <n v="0"/>
    <x v="9"/>
    <x v="2"/>
  </r>
  <r>
    <s v="R012"/>
    <s v="Q011"/>
    <s v="Neutral"/>
    <s v="Achievability"/>
    <n v="3"/>
    <n v="60"/>
    <n v="0"/>
    <x v="10"/>
    <x v="2"/>
  </r>
  <r>
    <s v="R012"/>
    <s v="Q012"/>
    <s v="Strongly Agree"/>
    <s v="Achievability"/>
    <n v="5"/>
    <n v="100"/>
    <n v="1"/>
    <x v="11"/>
    <x v="2"/>
  </r>
  <r>
    <s v="R012"/>
    <s v="Q013"/>
    <s v="Strongly Agree"/>
    <s v="Enforcement"/>
    <n v="5"/>
    <n v="100"/>
    <n v="1"/>
    <x v="12"/>
    <x v="2"/>
  </r>
  <r>
    <s v="R012"/>
    <s v="Q014"/>
    <s v="Agree"/>
    <s v="Enforcement"/>
    <n v="4"/>
    <n v="80"/>
    <n v="1"/>
    <x v="13"/>
    <x v="2"/>
  </r>
  <r>
    <s v="R012"/>
    <s v="Q015"/>
    <s v="Disagree"/>
    <s v="Enforcement"/>
    <n v="2"/>
    <n v="40"/>
    <n v="0"/>
    <x v="14"/>
    <x v="2"/>
  </r>
  <r>
    <s v="R012"/>
    <s v="Q016"/>
    <s v="Neutral"/>
    <s v="Enforcement"/>
    <n v="3"/>
    <n v="60"/>
    <n v="0"/>
    <x v="15"/>
    <x v="2"/>
  </r>
  <r>
    <s v="R012"/>
    <s v="Q017"/>
    <s v="Strongly Agree"/>
    <s v="Clarity"/>
    <n v="5"/>
    <n v="100"/>
    <n v="1"/>
    <x v="16"/>
    <x v="2"/>
  </r>
  <r>
    <s v="R012"/>
    <s v="Q018"/>
    <s v="Agree"/>
    <s v="Clarity"/>
    <n v="4"/>
    <n v="80"/>
    <n v="1"/>
    <x v="17"/>
    <x v="2"/>
  </r>
  <r>
    <s v="R012"/>
    <s v="Q019"/>
    <s v="Disagree"/>
    <s v="Clarity"/>
    <n v="2"/>
    <n v="40"/>
    <n v="0"/>
    <x v="18"/>
    <x v="2"/>
  </r>
  <r>
    <s v="R012"/>
    <s v="Q020"/>
    <s v="Disagree"/>
    <s v="Clarity"/>
    <n v="2"/>
    <n v="40"/>
    <n v="0"/>
    <x v="19"/>
    <x v="2"/>
  </r>
  <r>
    <s v="R012"/>
    <s v="Q021"/>
    <s v="Agree"/>
    <s v="Transparency"/>
    <n v="4"/>
    <n v="80"/>
    <n v="1"/>
    <x v="20"/>
    <x v="2"/>
  </r>
  <r>
    <s v="R012"/>
    <s v="Q022"/>
    <s v="Disagree"/>
    <s v="Transparency"/>
    <n v="2"/>
    <n v="40"/>
    <n v="0"/>
    <x v="21"/>
    <x v="2"/>
  </r>
  <r>
    <s v="R012"/>
    <s v="Q023"/>
    <s v="Neutral"/>
    <s v="Transparency"/>
    <n v="3"/>
    <n v="60"/>
    <n v="0"/>
    <x v="22"/>
    <x v="2"/>
  </r>
  <r>
    <s v="R012"/>
    <s v="Q024"/>
    <s v="Strongly Agree"/>
    <s v="Transparency"/>
    <n v="5"/>
    <n v="100"/>
    <n v="1"/>
    <x v="23"/>
    <x v="2"/>
  </r>
  <r>
    <s v="R012"/>
    <s v="Q025"/>
    <s v="Strongly Agree"/>
    <s v="Commitment"/>
    <n v="5"/>
    <n v="100"/>
    <n v="1"/>
    <x v="24"/>
    <x v="2"/>
  </r>
  <r>
    <s v="R012"/>
    <s v="Q026"/>
    <s v="Agree"/>
    <s v="Commitment"/>
    <n v="4"/>
    <n v="80"/>
    <n v="1"/>
    <x v="25"/>
    <x v="2"/>
  </r>
  <r>
    <s v="R012"/>
    <s v="Q027"/>
    <s v="Disagree"/>
    <s v="Commitment"/>
    <n v="2"/>
    <n v="40"/>
    <n v="0"/>
    <x v="26"/>
    <x v="2"/>
  </r>
  <r>
    <s v="R012"/>
    <s v="Q028"/>
    <s v="Neutral"/>
    <s v="Commitment"/>
    <n v="3"/>
    <n v="60"/>
    <n v="0"/>
    <x v="27"/>
    <x v="2"/>
  </r>
  <r>
    <s v="R012"/>
    <s v="Q029"/>
    <s v="Strongly Agree"/>
    <s v="Call someone to account"/>
    <n v="5"/>
    <n v="100"/>
    <n v="1"/>
    <x v="28"/>
    <x v="2"/>
  </r>
  <r>
    <s v="R012"/>
    <s v="Q030"/>
    <s v="Agree"/>
    <s v="Call someone to account"/>
    <n v="4"/>
    <n v="80"/>
    <n v="1"/>
    <x v="29"/>
    <x v="2"/>
  </r>
  <r>
    <s v="R012"/>
    <s v="Q031"/>
    <s v="Disagree"/>
    <s v="Call someone to account"/>
    <n v="2"/>
    <n v="40"/>
    <n v="0"/>
    <x v="30"/>
    <x v="2"/>
  </r>
  <r>
    <s v="R012"/>
    <s v="Q032"/>
    <s v="Neutral"/>
    <s v="Call someone to account"/>
    <n v="3"/>
    <n v="60"/>
    <n v="0"/>
    <x v="31"/>
    <x v="2"/>
  </r>
  <r>
    <s v="R013"/>
    <s v="Q001"/>
    <s v="Strongly Agree"/>
    <s v="Role Modelling"/>
    <n v="5"/>
    <n v="100"/>
    <n v="1"/>
    <x v="0"/>
    <x v="1"/>
  </r>
  <r>
    <s v="R013"/>
    <s v="Q002"/>
    <s v="Strongly Agree"/>
    <s v="Role Modelling"/>
    <n v="5"/>
    <n v="100"/>
    <n v="1"/>
    <x v="1"/>
    <x v="1"/>
  </r>
  <r>
    <s v="R013"/>
    <s v="Q003"/>
    <s v="Agree"/>
    <s v="Role Modelling"/>
    <n v="4"/>
    <n v="80"/>
    <n v="1"/>
    <x v="2"/>
    <x v="1"/>
  </r>
  <r>
    <s v="R013"/>
    <s v="Q004"/>
    <s v="Disagree"/>
    <s v="Role Modelling"/>
    <n v="2"/>
    <n v="40"/>
    <n v="0"/>
    <x v="3"/>
    <x v="1"/>
  </r>
  <r>
    <s v="R013"/>
    <s v="Q005"/>
    <s v="Neutral"/>
    <s v="Discussability"/>
    <n v="3"/>
    <n v="60"/>
    <n v="0"/>
    <x v="4"/>
    <x v="1"/>
  </r>
  <r>
    <s v="R013"/>
    <s v="Q006"/>
    <s v="Strongly Agree"/>
    <s v="Discussability"/>
    <n v="5"/>
    <n v="100"/>
    <n v="1"/>
    <x v="5"/>
    <x v="1"/>
  </r>
  <r>
    <s v="R013"/>
    <s v="Q007"/>
    <s v="Agree"/>
    <s v="Discussability"/>
    <n v="4"/>
    <n v="80"/>
    <n v="1"/>
    <x v="6"/>
    <x v="1"/>
  </r>
  <r>
    <s v="R013"/>
    <s v="Q008"/>
    <s v="Disagree"/>
    <s v="Discussability"/>
    <n v="2"/>
    <n v="40"/>
    <n v="0"/>
    <x v="7"/>
    <x v="1"/>
  </r>
  <r>
    <s v="R013"/>
    <s v="Q009"/>
    <s v="Disagree"/>
    <s v="Achievability"/>
    <n v="2"/>
    <n v="40"/>
    <n v="0"/>
    <x v="8"/>
    <x v="1"/>
  </r>
  <r>
    <s v="R013"/>
    <s v="Q010"/>
    <s v="Agree"/>
    <s v="Achievability"/>
    <n v="4"/>
    <n v="80"/>
    <n v="1"/>
    <x v="9"/>
    <x v="1"/>
  </r>
  <r>
    <s v="R013"/>
    <s v="Q011"/>
    <s v="Disagree"/>
    <s v="Achievability"/>
    <n v="2"/>
    <n v="40"/>
    <n v="0"/>
    <x v="10"/>
    <x v="1"/>
  </r>
  <r>
    <s v="R013"/>
    <s v="Q012"/>
    <s v="Neutral"/>
    <s v="Achievability"/>
    <n v="3"/>
    <n v="60"/>
    <n v="0"/>
    <x v="11"/>
    <x v="1"/>
  </r>
  <r>
    <s v="R013"/>
    <s v="Q013"/>
    <s v="Strongly Agree"/>
    <s v="Enforcement"/>
    <n v="5"/>
    <n v="100"/>
    <n v="1"/>
    <x v="12"/>
    <x v="1"/>
  </r>
  <r>
    <s v="R013"/>
    <s v="Q014"/>
    <s v="Strongly Agree"/>
    <s v="Enforcement"/>
    <n v="5"/>
    <n v="100"/>
    <n v="1"/>
    <x v="13"/>
    <x v="1"/>
  </r>
  <r>
    <s v="R013"/>
    <s v="Q015"/>
    <s v="Agree"/>
    <s v="Enforcement"/>
    <n v="4"/>
    <n v="80"/>
    <n v="1"/>
    <x v="14"/>
    <x v="1"/>
  </r>
  <r>
    <s v="R013"/>
    <s v="Q016"/>
    <s v="Disagree"/>
    <s v="Enforcement"/>
    <n v="2"/>
    <n v="40"/>
    <n v="0"/>
    <x v="15"/>
    <x v="1"/>
  </r>
  <r>
    <s v="R013"/>
    <s v="Q017"/>
    <s v="Neutral"/>
    <s v="Clarity"/>
    <n v="3"/>
    <n v="60"/>
    <n v="0"/>
    <x v="16"/>
    <x v="1"/>
  </r>
  <r>
    <s v="R013"/>
    <s v="Q018"/>
    <s v="Strongly Agree"/>
    <s v="Clarity"/>
    <n v="5"/>
    <n v="100"/>
    <n v="1"/>
    <x v="17"/>
    <x v="1"/>
  </r>
  <r>
    <s v="R013"/>
    <s v="Q019"/>
    <s v="Agree"/>
    <s v="Clarity"/>
    <n v="4"/>
    <n v="80"/>
    <n v="1"/>
    <x v="18"/>
    <x v="1"/>
  </r>
  <r>
    <s v="R013"/>
    <s v="Q020"/>
    <s v="Disagree"/>
    <s v="Clarity"/>
    <n v="2"/>
    <n v="40"/>
    <n v="0"/>
    <x v="19"/>
    <x v="1"/>
  </r>
  <r>
    <s v="R013"/>
    <s v="Q021"/>
    <s v="Neutral"/>
    <s v="Transparency"/>
    <n v="3"/>
    <n v="60"/>
    <n v="0"/>
    <x v="20"/>
    <x v="1"/>
  </r>
  <r>
    <s v="R013"/>
    <s v="Q022"/>
    <s v="Strongly Agree"/>
    <s v="Transparency"/>
    <n v="5"/>
    <n v="100"/>
    <n v="1"/>
    <x v="21"/>
    <x v="1"/>
  </r>
  <r>
    <s v="R013"/>
    <s v="Q023"/>
    <s v="Strongly Agree"/>
    <s v="Transparency"/>
    <n v="5"/>
    <n v="100"/>
    <n v="1"/>
    <x v="22"/>
    <x v="1"/>
  </r>
  <r>
    <s v="R013"/>
    <s v="Q024"/>
    <s v="Agree"/>
    <s v="Transparency"/>
    <n v="4"/>
    <n v="80"/>
    <n v="1"/>
    <x v="23"/>
    <x v="1"/>
  </r>
  <r>
    <s v="R013"/>
    <s v="Q025"/>
    <s v="Disagree"/>
    <s v="Commitment"/>
    <n v="2"/>
    <n v="40"/>
    <n v="0"/>
    <x v="24"/>
    <x v="1"/>
  </r>
  <r>
    <s v="R013"/>
    <s v="Q026"/>
    <s v="Neutral"/>
    <s v="Commitment"/>
    <n v="3"/>
    <n v="60"/>
    <n v="0"/>
    <x v="25"/>
    <x v="1"/>
  </r>
  <r>
    <s v="R013"/>
    <s v="Q027"/>
    <s v="Strongly Agree"/>
    <s v="Commitment"/>
    <n v="5"/>
    <n v="100"/>
    <n v="1"/>
    <x v="26"/>
    <x v="1"/>
  </r>
  <r>
    <s v="R013"/>
    <s v="Q028"/>
    <s v="Agree"/>
    <s v="Commitment"/>
    <n v="4"/>
    <n v="80"/>
    <n v="1"/>
    <x v="27"/>
    <x v="1"/>
  </r>
  <r>
    <s v="R013"/>
    <s v="Q029"/>
    <s v="Disagree"/>
    <s v="Call someone to account"/>
    <n v="2"/>
    <n v="40"/>
    <n v="0"/>
    <x v="28"/>
    <x v="1"/>
  </r>
  <r>
    <s v="R013"/>
    <s v="Q030"/>
    <s v="Disagree"/>
    <s v="Call someone to account"/>
    <n v="2"/>
    <n v="40"/>
    <n v="0"/>
    <x v="29"/>
    <x v="1"/>
  </r>
  <r>
    <s v="R013"/>
    <s v="Q031"/>
    <s v="Agree"/>
    <s v="Call someone to account"/>
    <n v="4"/>
    <n v="80"/>
    <n v="1"/>
    <x v="30"/>
    <x v="1"/>
  </r>
  <r>
    <s v="R013"/>
    <s v="Q032"/>
    <s v="Disagree"/>
    <s v="Call someone to account"/>
    <n v="2"/>
    <n v="40"/>
    <n v="0"/>
    <x v="31"/>
    <x v="1"/>
  </r>
  <r>
    <s v="R014"/>
    <s v="Q001"/>
    <s v="Neutral"/>
    <s v="Role Modelling"/>
    <n v="3"/>
    <n v="60"/>
    <n v="0"/>
    <x v="0"/>
    <x v="4"/>
  </r>
  <r>
    <s v="R014"/>
    <s v="Q002"/>
    <s v="Strongly Agree"/>
    <s v="Role Modelling"/>
    <n v="5"/>
    <n v="100"/>
    <n v="1"/>
    <x v="1"/>
    <x v="4"/>
  </r>
  <r>
    <s v="R014"/>
    <s v="Q003"/>
    <s v="Strongly Agree"/>
    <s v="Role Modelling"/>
    <n v="5"/>
    <n v="100"/>
    <n v="1"/>
    <x v="2"/>
    <x v="4"/>
  </r>
  <r>
    <s v="R014"/>
    <s v="Q004"/>
    <s v="Agree"/>
    <s v="Role Modelling"/>
    <n v="4"/>
    <n v="80"/>
    <n v="1"/>
    <x v="3"/>
    <x v="4"/>
  </r>
  <r>
    <s v="R014"/>
    <s v="Q005"/>
    <s v="Disagree"/>
    <s v="Discussability"/>
    <n v="2"/>
    <n v="40"/>
    <n v="0"/>
    <x v="4"/>
    <x v="4"/>
  </r>
  <r>
    <s v="R014"/>
    <s v="Q006"/>
    <s v="Neutral"/>
    <s v="Discussability"/>
    <n v="3"/>
    <n v="60"/>
    <n v="0"/>
    <x v="5"/>
    <x v="4"/>
  </r>
  <r>
    <s v="R014"/>
    <s v="Q007"/>
    <s v="Strongly Agree"/>
    <s v="Discussability"/>
    <n v="5"/>
    <n v="100"/>
    <n v="1"/>
    <x v="6"/>
    <x v="4"/>
  </r>
  <r>
    <s v="R014"/>
    <s v="Q008"/>
    <s v="Agree"/>
    <s v="Discussability"/>
    <n v="4"/>
    <n v="80"/>
    <n v="1"/>
    <x v="7"/>
    <x v="4"/>
  </r>
  <r>
    <s v="R014"/>
    <s v="Q009"/>
    <s v="Disagree"/>
    <s v="Achievability"/>
    <n v="2"/>
    <n v="40"/>
    <n v="0"/>
    <x v="8"/>
    <x v="4"/>
  </r>
  <r>
    <s v="R014"/>
    <s v="Q010"/>
    <s v="Disagree"/>
    <s v="Achievability"/>
    <n v="2"/>
    <n v="40"/>
    <n v="0"/>
    <x v="9"/>
    <x v="4"/>
  </r>
  <r>
    <s v="R014"/>
    <s v="Q011"/>
    <s v="Agree"/>
    <s v="Achievability"/>
    <n v="4"/>
    <n v="80"/>
    <n v="1"/>
    <x v="10"/>
    <x v="4"/>
  </r>
  <r>
    <s v="R014"/>
    <s v="Q012"/>
    <s v="Disagree"/>
    <s v="Achievability"/>
    <n v="2"/>
    <n v="40"/>
    <n v="0"/>
    <x v="11"/>
    <x v="4"/>
  </r>
  <r>
    <s v="R014"/>
    <s v="Q013"/>
    <s v="Neutral"/>
    <s v="Enforcement"/>
    <n v="3"/>
    <n v="60"/>
    <n v="0"/>
    <x v="12"/>
    <x v="4"/>
  </r>
  <r>
    <s v="R014"/>
    <s v="Q014"/>
    <s v="Strongly Agree"/>
    <s v="Enforcement"/>
    <n v="5"/>
    <n v="100"/>
    <n v="1"/>
    <x v="13"/>
    <x v="4"/>
  </r>
  <r>
    <s v="R014"/>
    <s v="Q015"/>
    <s v="Strongly Agree"/>
    <s v="Enforcement"/>
    <n v="5"/>
    <n v="100"/>
    <n v="1"/>
    <x v="14"/>
    <x v="4"/>
  </r>
  <r>
    <s v="R014"/>
    <s v="Q016"/>
    <s v="Agree"/>
    <s v="Enforcement"/>
    <n v="4"/>
    <n v="80"/>
    <n v="1"/>
    <x v="15"/>
    <x v="4"/>
  </r>
  <r>
    <s v="R014"/>
    <s v="Q017"/>
    <s v="Disagree"/>
    <s v="Clarity"/>
    <n v="2"/>
    <n v="40"/>
    <n v="0"/>
    <x v="16"/>
    <x v="4"/>
  </r>
  <r>
    <s v="R014"/>
    <s v="Q018"/>
    <s v="Neutral"/>
    <s v="Clarity"/>
    <n v="3"/>
    <n v="60"/>
    <n v="0"/>
    <x v="17"/>
    <x v="4"/>
  </r>
  <r>
    <s v="R014"/>
    <s v="Q019"/>
    <s v="Strongly Agree"/>
    <s v="Clarity"/>
    <n v="5"/>
    <n v="100"/>
    <n v="1"/>
    <x v="18"/>
    <x v="4"/>
  </r>
  <r>
    <s v="R014"/>
    <s v="Q020"/>
    <s v="Agree"/>
    <s v="Clarity"/>
    <n v="4"/>
    <n v="80"/>
    <n v="1"/>
    <x v="19"/>
    <x v="4"/>
  </r>
  <r>
    <s v="R014"/>
    <s v="Q021"/>
    <s v="Disagree"/>
    <s v="Transparency"/>
    <n v="2"/>
    <n v="40"/>
    <n v="0"/>
    <x v="20"/>
    <x v="4"/>
  </r>
  <r>
    <s v="R014"/>
    <s v="Q022"/>
    <s v="Neutral"/>
    <s v="Transparency"/>
    <n v="3"/>
    <n v="60"/>
    <n v="0"/>
    <x v="21"/>
    <x v="4"/>
  </r>
  <r>
    <s v="R014"/>
    <s v="Q023"/>
    <s v="Strongly Agree"/>
    <s v="Transparency"/>
    <n v="5"/>
    <n v="100"/>
    <n v="1"/>
    <x v="22"/>
    <x v="4"/>
  </r>
  <r>
    <s v="R014"/>
    <s v="Q024"/>
    <s v="Strongly Agree"/>
    <s v="Transparency"/>
    <n v="5"/>
    <n v="100"/>
    <n v="1"/>
    <x v="23"/>
    <x v="4"/>
  </r>
  <r>
    <s v="R014"/>
    <s v="Q025"/>
    <s v="Agree"/>
    <s v="Commitment"/>
    <n v="4"/>
    <n v="80"/>
    <n v="1"/>
    <x v="24"/>
    <x v="4"/>
  </r>
  <r>
    <s v="R014"/>
    <s v="Q026"/>
    <s v="Agree"/>
    <s v="Commitment"/>
    <n v="4"/>
    <n v="80"/>
    <n v="1"/>
    <x v="25"/>
    <x v="4"/>
  </r>
  <r>
    <s v="R014"/>
    <s v="Q027"/>
    <s v="Disagree"/>
    <s v="Commitment"/>
    <n v="2"/>
    <n v="40"/>
    <n v="0"/>
    <x v="26"/>
    <x v="4"/>
  </r>
  <r>
    <s v="R014"/>
    <s v="Q028"/>
    <s v="Neutral"/>
    <s v="Commitment"/>
    <n v="3"/>
    <n v="60"/>
    <n v="0"/>
    <x v="27"/>
    <x v="4"/>
  </r>
  <r>
    <s v="R014"/>
    <s v="Q029"/>
    <s v="Strongly Agree"/>
    <s v="Call someone to account"/>
    <n v="5"/>
    <n v="100"/>
    <n v="1"/>
    <x v="28"/>
    <x v="4"/>
  </r>
  <r>
    <s v="R014"/>
    <s v="Q030"/>
    <s v="Neutral"/>
    <s v="Call someone to account"/>
    <n v="3"/>
    <n v="60"/>
    <n v="0"/>
    <x v="29"/>
    <x v="4"/>
  </r>
  <r>
    <s v="R014"/>
    <s v="Q031"/>
    <s v="Strongly Agree"/>
    <s v="Call someone to account"/>
    <n v="5"/>
    <n v="100"/>
    <n v="1"/>
    <x v="30"/>
    <x v="4"/>
  </r>
  <r>
    <s v="R014"/>
    <s v="Q032"/>
    <s v="Agree"/>
    <s v="Call someone to account"/>
    <n v="4"/>
    <n v="80"/>
    <n v="1"/>
    <x v="31"/>
    <x v="4"/>
  </r>
  <r>
    <s v="R015"/>
    <s v="Q001"/>
    <s v="Disagree"/>
    <s v="Role Modelling"/>
    <n v="2"/>
    <n v="40"/>
    <n v="0"/>
    <x v="0"/>
    <x v="4"/>
  </r>
  <r>
    <s v="R015"/>
    <s v="Q002"/>
    <s v="Disagree"/>
    <s v="Role Modelling"/>
    <n v="2"/>
    <n v="40"/>
    <n v="0"/>
    <x v="1"/>
    <x v="4"/>
  </r>
  <r>
    <s v="R015"/>
    <s v="Q003"/>
    <s v="Agree"/>
    <s v="Role Modelling"/>
    <n v="4"/>
    <n v="80"/>
    <n v="1"/>
    <x v="2"/>
    <x v="4"/>
  </r>
  <r>
    <s v="R015"/>
    <s v="Q004"/>
    <s v="Disagree"/>
    <s v="Role Modelling"/>
    <n v="2"/>
    <n v="40"/>
    <n v="0"/>
    <x v="3"/>
    <x v="4"/>
  </r>
  <r>
    <s v="R015"/>
    <s v="Q005"/>
    <s v="Neutral"/>
    <s v="Discussability"/>
    <n v="3"/>
    <n v="60"/>
    <n v="0"/>
    <x v="4"/>
    <x v="4"/>
  </r>
  <r>
    <s v="R015"/>
    <s v="Q006"/>
    <s v="Strongly Agree"/>
    <s v="Discussability"/>
    <n v="5"/>
    <n v="100"/>
    <n v="1"/>
    <x v="5"/>
    <x v="4"/>
  </r>
  <r>
    <s v="R015"/>
    <s v="Q007"/>
    <s v="Strongly Agree"/>
    <s v="Discussability"/>
    <n v="5"/>
    <n v="100"/>
    <n v="1"/>
    <x v="6"/>
    <x v="4"/>
  </r>
  <r>
    <s v="R015"/>
    <s v="Q008"/>
    <s v="Agree"/>
    <s v="Discussability"/>
    <n v="4"/>
    <n v="80"/>
    <n v="1"/>
    <x v="7"/>
    <x v="4"/>
  </r>
  <r>
    <s v="R015"/>
    <s v="Q009"/>
    <s v="Disagree"/>
    <s v="Achievability"/>
    <n v="2"/>
    <n v="40"/>
    <n v="0"/>
    <x v="8"/>
    <x v="4"/>
  </r>
  <r>
    <s v="R015"/>
    <s v="Q010"/>
    <s v="Neutral"/>
    <s v="Achievability"/>
    <n v="3"/>
    <n v="60"/>
    <n v="0"/>
    <x v="9"/>
    <x v="4"/>
  </r>
  <r>
    <s v="R015"/>
    <s v="Q011"/>
    <s v="Strongly Agree"/>
    <s v="Achievability"/>
    <n v="5"/>
    <n v="100"/>
    <n v="1"/>
    <x v="10"/>
    <x v="4"/>
  </r>
  <r>
    <s v="R015"/>
    <s v="Q012"/>
    <s v="Agree"/>
    <s v="Achievability"/>
    <n v="4"/>
    <n v="80"/>
    <n v="1"/>
    <x v="11"/>
    <x v="4"/>
  </r>
  <r>
    <s v="R015"/>
    <s v="Q013"/>
    <s v="Disagree"/>
    <s v="Enforcement"/>
    <n v="2"/>
    <n v="40"/>
    <n v="0"/>
    <x v="12"/>
    <x v="4"/>
  </r>
  <r>
    <s v="R015"/>
    <s v="Q014"/>
    <s v="Neutral"/>
    <s v="Enforcement"/>
    <n v="3"/>
    <n v="60"/>
    <n v="0"/>
    <x v="13"/>
    <x v="4"/>
  </r>
  <r>
    <s v="R015"/>
    <s v="Q015"/>
    <s v="Strongly Agree"/>
    <s v="Enforcement"/>
    <n v="5"/>
    <n v="100"/>
    <n v="1"/>
    <x v="14"/>
    <x v="4"/>
  </r>
  <r>
    <s v="R015"/>
    <s v="Q016"/>
    <s v="Strongly Agree"/>
    <s v="Enforcement"/>
    <n v="5"/>
    <n v="100"/>
    <n v="1"/>
    <x v="15"/>
    <x v="4"/>
  </r>
  <r>
    <s v="R015"/>
    <s v="Q017"/>
    <s v="Agree"/>
    <s v="Clarity"/>
    <n v="4"/>
    <n v="80"/>
    <n v="1"/>
    <x v="16"/>
    <x v="4"/>
  </r>
  <r>
    <s v="R015"/>
    <s v="Q018"/>
    <s v="Neutral"/>
    <s v="Clarity"/>
    <n v="3"/>
    <n v="60"/>
    <n v="0"/>
    <x v="17"/>
    <x v="4"/>
  </r>
  <r>
    <s v="R015"/>
    <s v="Q019"/>
    <s v="Strongly Agree"/>
    <s v="Clarity"/>
    <n v="5"/>
    <n v="100"/>
    <n v="1"/>
    <x v="18"/>
    <x v="4"/>
  </r>
  <r>
    <s v="R015"/>
    <s v="Q020"/>
    <s v="Agree"/>
    <s v="Clarity"/>
    <n v="4"/>
    <n v="80"/>
    <n v="1"/>
    <x v="19"/>
    <x v="4"/>
  </r>
  <r>
    <s v="R015"/>
    <s v="Q021"/>
    <s v="Disagree"/>
    <s v="Transparency"/>
    <n v="2"/>
    <n v="40"/>
    <n v="0"/>
    <x v="20"/>
    <x v="4"/>
  </r>
  <r>
    <s v="R015"/>
    <s v="Q022"/>
    <s v="Disagree"/>
    <s v="Transparency"/>
    <n v="2"/>
    <n v="40"/>
    <n v="0"/>
    <x v="21"/>
    <x v="4"/>
  </r>
  <r>
    <s v="R015"/>
    <s v="Q023"/>
    <s v="Agree"/>
    <s v="Transparency"/>
    <n v="4"/>
    <n v="80"/>
    <n v="1"/>
    <x v="22"/>
    <x v="4"/>
  </r>
  <r>
    <s v="R015"/>
    <s v="Q024"/>
    <s v="Disagree"/>
    <s v="Transparency"/>
    <n v="2"/>
    <n v="40"/>
    <n v="0"/>
    <x v="23"/>
    <x v="4"/>
  </r>
  <r>
    <s v="R015"/>
    <s v="Q025"/>
    <s v="Neutral"/>
    <s v="Commitment"/>
    <n v="3"/>
    <n v="60"/>
    <n v="0"/>
    <x v="24"/>
    <x v="4"/>
  </r>
  <r>
    <s v="R015"/>
    <s v="Q026"/>
    <s v="Strongly Agree"/>
    <s v="Commitment"/>
    <n v="5"/>
    <n v="100"/>
    <n v="1"/>
    <x v="25"/>
    <x v="4"/>
  </r>
  <r>
    <s v="R015"/>
    <s v="Q027"/>
    <s v="Strongly Agree"/>
    <s v="Commitment"/>
    <n v="5"/>
    <n v="100"/>
    <n v="1"/>
    <x v="26"/>
    <x v="4"/>
  </r>
  <r>
    <s v="R015"/>
    <s v="Q028"/>
    <s v="Agree"/>
    <s v="Commitment"/>
    <n v="4"/>
    <n v="80"/>
    <n v="1"/>
    <x v="27"/>
    <x v="4"/>
  </r>
  <r>
    <s v="R015"/>
    <s v="Q029"/>
    <s v="Disagree"/>
    <s v="Call someone to account"/>
    <n v="2"/>
    <n v="40"/>
    <n v="0"/>
    <x v="28"/>
    <x v="4"/>
  </r>
  <r>
    <s v="R015"/>
    <s v="Q030"/>
    <s v="Neutral"/>
    <s v="Call someone to account"/>
    <n v="3"/>
    <n v="60"/>
    <n v="0"/>
    <x v="29"/>
    <x v="4"/>
  </r>
  <r>
    <s v="R015"/>
    <s v="Q031"/>
    <s v="Strongly Agree"/>
    <s v="Call someone to account"/>
    <n v="5"/>
    <n v="100"/>
    <n v="1"/>
    <x v="30"/>
    <x v="4"/>
  </r>
  <r>
    <s v="R015"/>
    <s v="Q032"/>
    <s v="Agree"/>
    <s v="Call someone to account"/>
    <n v="4"/>
    <n v="80"/>
    <n v="1"/>
    <x v="31"/>
    <x v="4"/>
  </r>
  <r>
    <s v="R016"/>
    <s v="Q001"/>
    <s v="Disagree"/>
    <s v="Role Modelling"/>
    <n v="2"/>
    <n v="40"/>
    <n v="0"/>
    <x v="0"/>
    <x v="2"/>
  </r>
  <r>
    <s v="R016"/>
    <s v="Q002"/>
    <s v="Neutral"/>
    <s v="Role Modelling"/>
    <n v="3"/>
    <n v="60"/>
    <n v="0"/>
    <x v="1"/>
    <x v="2"/>
  </r>
  <r>
    <s v="R016"/>
    <s v="Q003"/>
    <s v="Strongly Agree"/>
    <s v="Role Modelling"/>
    <n v="5"/>
    <n v="100"/>
    <n v="1"/>
    <x v="2"/>
    <x v="2"/>
  </r>
  <r>
    <s v="R016"/>
    <s v="Q004"/>
    <s v="Strongly Agree"/>
    <s v="Role Modelling"/>
    <n v="5"/>
    <n v="100"/>
    <n v="1"/>
    <x v="3"/>
    <x v="2"/>
  </r>
  <r>
    <s v="R016"/>
    <s v="Q005"/>
    <s v="Agree"/>
    <s v="Discussability"/>
    <n v="4"/>
    <n v="80"/>
    <n v="1"/>
    <x v="4"/>
    <x v="2"/>
  </r>
  <r>
    <s v="R016"/>
    <s v="Q006"/>
    <s v="Neutral"/>
    <s v="Discussability"/>
    <n v="3"/>
    <n v="60"/>
    <n v="0"/>
    <x v="5"/>
    <x v="2"/>
  </r>
  <r>
    <s v="R016"/>
    <s v="Q007"/>
    <s v="Strongly Agree"/>
    <s v="Discussability"/>
    <n v="5"/>
    <n v="100"/>
    <n v="1"/>
    <x v="6"/>
    <x v="2"/>
  </r>
  <r>
    <s v="R016"/>
    <s v="Q008"/>
    <s v="Agree"/>
    <s v="Discussability"/>
    <n v="4"/>
    <n v="80"/>
    <n v="1"/>
    <x v="7"/>
    <x v="2"/>
  </r>
  <r>
    <s v="R016"/>
    <s v="Q009"/>
    <s v="Disagree"/>
    <s v="Achievability"/>
    <n v="2"/>
    <n v="40"/>
    <n v="0"/>
    <x v="8"/>
    <x v="2"/>
  </r>
  <r>
    <s v="R016"/>
    <s v="Q010"/>
    <s v="Disagree"/>
    <s v="Achievability"/>
    <n v="2"/>
    <n v="40"/>
    <n v="0"/>
    <x v="9"/>
    <x v="2"/>
  </r>
  <r>
    <s v="R016"/>
    <s v="Q011"/>
    <s v="Agree"/>
    <s v="Achievability"/>
    <n v="4"/>
    <n v="80"/>
    <n v="1"/>
    <x v="10"/>
    <x v="2"/>
  </r>
  <r>
    <s v="R016"/>
    <s v="Q012"/>
    <s v="Disagree"/>
    <s v="Achievability"/>
    <n v="2"/>
    <n v="40"/>
    <n v="0"/>
    <x v="11"/>
    <x v="2"/>
  </r>
  <r>
    <s v="R016"/>
    <s v="Q013"/>
    <s v="Neutral"/>
    <s v="Enforcement"/>
    <n v="3"/>
    <n v="60"/>
    <n v="0"/>
    <x v="12"/>
    <x v="2"/>
  </r>
  <r>
    <s v="R016"/>
    <s v="Q014"/>
    <s v="Strongly Agree"/>
    <s v="Enforcement"/>
    <n v="5"/>
    <n v="100"/>
    <n v="1"/>
    <x v="13"/>
    <x v="2"/>
  </r>
  <r>
    <s v="R016"/>
    <s v="Q015"/>
    <s v="Strongly Agree"/>
    <s v="Enforcement"/>
    <n v="5"/>
    <n v="100"/>
    <n v="1"/>
    <x v="14"/>
    <x v="2"/>
  </r>
  <r>
    <s v="R016"/>
    <s v="Q016"/>
    <s v="Agree"/>
    <s v="Enforcement"/>
    <n v="4"/>
    <n v="80"/>
    <n v="1"/>
    <x v="15"/>
    <x v="2"/>
  </r>
  <r>
    <s v="R016"/>
    <s v="Q017"/>
    <s v="Disagree"/>
    <s v="Clarity"/>
    <n v="2"/>
    <n v="40"/>
    <n v="0"/>
    <x v="16"/>
    <x v="2"/>
  </r>
  <r>
    <s v="R016"/>
    <s v="Q018"/>
    <s v="Neutral"/>
    <s v="Clarity"/>
    <n v="3"/>
    <n v="60"/>
    <n v="0"/>
    <x v="17"/>
    <x v="2"/>
  </r>
  <r>
    <s v="R016"/>
    <s v="Q019"/>
    <s v="Strongly Agree"/>
    <s v="Clarity"/>
    <n v="5"/>
    <n v="100"/>
    <n v="1"/>
    <x v="18"/>
    <x v="2"/>
  </r>
  <r>
    <s v="R016"/>
    <s v="Q020"/>
    <s v="Agree"/>
    <s v="Clarity"/>
    <n v="4"/>
    <n v="80"/>
    <n v="1"/>
    <x v="19"/>
    <x v="2"/>
  </r>
  <r>
    <s v="R016"/>
    <s v="Q021"/>
    <s v="Disagree"/>
    <s v="Transparency"/>
    <n v="2"/>
    <n v="40"/>
    <n v="0"/>
    <x v="20"/>
    <x v="2"/>
  </r>
  <r>
    <s v="R016"/>
    <s v="Q022"/>
    <s v="Neutral"/>
    <s v="Transparency"/>
    <n v="3"/>
    <n v="60"/>
    <n v="0"/>
    <x v="21"/>
    <x v="2"/>
  </r>
  <r>
    <s v="R016"/>
    <s v="Q023"/>
    <s v="Strongly Agree"/>
    <s v="Transparency"/>
    <n v="5"/>
    <n v="100"/>
    <n v="1"/>
    <x v="22"/>
    <x v="2"/>
  </r>
  <r>
    <s v="R016"/>
    <s v="Q024"/>
    <s v="Strongly Agree"/>
    <s v="Transparency"/>
    <n v="5"/>
    <n v="100"/>
    <n v="1"/>
    <x v="23"/>
    <x v="2"/>
  </r>
  <r>
    <s v="R016"/>
    <s v="Q025"/>
    <s v="Agree"/>
    <s v="Commitment"/>
    <n v="4"/>
    <n v="80"/>
    <n v="1"/>
    <x v="24"/>
    <x v="2"/>
  </r>
  <r>
    <s v="R016"/>
    <s v="Q026"/>
    <s v="Neutral"/>
    <s v="Commitment"/>
    <n v="3"/>
    <n v="60"/>
    <n v="0"/>
    <x v="25"/>
    <x v="2"/>
  </r>
  <r>
    <s v="R016"/>
    <s v="Q027"/>
    <s v="Strongly Agree"/>
    <s v="Commitment"/>
    <n v="5"/>
    <n v="100"/>
    <n v="1"/>
    <x v="26"/>
    <x v="2"/>
  </r>
  <r>
    <s v="R016"/>
    <s v="Q028"/>
    <s v="Agree"/>
    <s v="Commitment"/>
    <n v="4"/>
    <n v="80"/>
    <n v="1"/>
    <x v="27"/>
    <x v="2"/>
  </r>
  <r>
    <s v="R016"/>
    <s v="Q029"/>
    <s v="Disagree"/>
    <s v="Call someone to account"/>
    <n v="2"/>
    <n v="40"/>
    <n v="0"/>
    <x v="28"/>
    <x v="2"/>
  </r>
  <r>
    <s v="R016"/>
    <s v="Q030"/>
    <s v="Disagree"/>
    <s v="Call someone to account"/>
    <n v="2"/>
    <n v="40"/>
    <n v="0"/>
    <x v="29"/>
    <x v="2"/>
  </r>
  <r>
    <s v="R016"/>
    <s v="Q031"/>
    <s v="Agree"/>
    <s v="Call someone to account"/>
    <n v="4"/>
    <n v="80"/>
    <n v="1"/>
    <x v="30"/>
    <x v="2"/>
  </r>
  <r>
    <s v="R016"/>
    <s v="Q032"/>
    <s v="Disagree"/>
    <s v="Call someone to account"/>
    <n v="2"/>
    <n v="40"/>
    <n v="0"/>
    <x v="31"/>
    <x v="2"/>
  </r>
  <r>
    <s v="R017"/>
    <s v="Q001"/>
    <s v="Neutral"/>
    <s v="Role Modelling"/>
    <n v="3"/>
    <n v="60"/>
    <n v="0"/>
    <x v="0"/>
    <x v="0"/>
  </r>
  <r>
    <s v="R017"/>
    <s v="Q002"/>
    <s v="Strongly Agree"/>
    <s v="Role Modelling"/>
    <n v="5"/>
    <n v="100"/>
    <n v="1"/>
    <x v="1"/>
    <x v="0"/>
  </r>
  <r>
    <s v="R017"/>
    <s v="Q003"/>
    <s v="Strongly Agree"/>
    <s v="Role Modelling"/>
    <n v="5"/>
    <n v="100"/>
    <n v="1"/>
    <x v="2"/>
    <x v="0"/>
  </r>
  <r>
    <s v="R017"/>
    <s v="Q004"/>
    <s v="Agree"/>
    <s v="Role Modelling"/>
    <n v="4"/>
    <n v="80"/>
    <n v="1"/>
    <x v="3"/>
    <x v="0"/>
  </r>
  <r>
    <s v="R017"/>
    <s v="Q005"/>
    <s v="Disagree"/>
    <s v="Discussability"/>
    <n v="2"/>
    <n v="40"/>
    <n v="0"/>
    <x v="4"/>
    <x v="0"/>
  </r>
  <r>
    <s v="R017"/>
    <s v="Q006"/>
    <s v="Neutral"/>
    <s v="Discussability"/>
    <n v="3"/>
    <n v="60"/>
    <n v="0"/>
    <x v="5"/>
    <x v="0"/>
  </r>
  <r>
    <s v="R017"/>
    <s v="Q007"/>
    <s v="Strongly Agree"/>
    <s v="Discussability"/>
    <n v="5"/>
    <n v="100"/>
    <n v="1"/>
    <x v="6"/>
    <x v="0"/>
  </r>
  <r>
    <s v="R017"/>
    <s v="Q008"/>
    <s v="Agree"/>
    <s v="Discussability"/>
    <n v="4"/>
    <n v="80"/>
    <n v="1"/>
    <x v="7"/>
    <x v="0"/>
  </r>
  <r>
    <s v="R017"/>
    <s v="Q009"/>
    <s v="Disagree"/>
    <s v="Achievability"/>
    <n v="2"/>
    <n v="40"/>
    <n v="0"/>
    <x v="8"/>
    <x v="0"/>
  </r>
  <r>
    <s v="R017"/>
    <s v="Q010"/>
    <s v="Neutral"/>
    <s v="Achievability"/>
    <n v="3"/>
    <n v="60"/>
    <n v="0"/>
    <x v="9"/>
    <x v="0"/>
  </r>
  <r>
    <s v="R017"/>
    <s v="Q011"/>
    <s v="Strongly Agree"/>
    <s v="Achievability"/>
    <n v="5"/>
    <n v="100"/>
    <n v="1"/>
    <x v="10"/>
    <x v="0"/>
  </r>
  <r>
    <s v="R017"/>
    <s v="Q012"/>
    <s v="Strongly Agree"/>
    <s v="Achievability"/>
    <n v="5"/>
    <n v="100"/>
    <n v="1"/>
    <x v="11"/>
    <x v="0"/>
  </r>
  <r>
    <s v="R017"/>
    <s v="Q013"/>
    <s v="Strongly Agree"/>
    <s v="Enforcement"/>
    <n v="5"/>
    <n v="100"/>
    <n v="1"/>
    <x v="12"/>
    <x v="0"/>
  </r>
  <r>
    <s v="R017"/>
    <s v="Q014"/>
    <s v="Strongly Agree"/>
    <s v="Enforcement"/>
    <n v="5"/>
    <n v="100"/>
    <n v="1"/>
    <x v="13"/>
    <x v="0"/>
  </r>
  <r>
    <s v="R017"/>
    <s v="Q015"/>
    <s v="Strongly Agree"/>
    <s v="Enforcement"/>
    <n v="5"/>
    <n v="100"/>
    <n v="1"/>
    <x v="14"/>
    <x v="0"/>
  </r>
  <r>
    <s v="R017"/>
    <s v="Q016"/>
    <s v="Strongly Agree"/>
    <s v="Enforcement"/>
    <n v="5"/>
    <n v="100"/>
    <n v="1"/>
    <x v="15"/>
    <x v="0"/>
  </r>
  <r>
    <s v="R017"/>
    <s v="Q017"/>
    <s v="Strongly Agree"/>
    <s v="Clarity"/>
    <n v="5"/>
    <n v="100"/>
    <n v="1"/>
    <x v="16"/>
    <x v="0"/>
  </r>
  <r>
    <s v="R017"/>
    <s v="Q018"/>
    <s v="Strongly Agree"/>
    <s v="Clarity"/>
    <n v="5"/>
    <n v="100"/>
    <n v="1"/>
    <x v="17"/>
    <x v="0"/>
  </r>
  <r>
    <s v="R017"/>
    <s v="Q019"/>
    <s v="Strongly Agree"/>
    <s v="Clarity"/>
    <n v="5"/>
    <n v="100"/>
    <n v="1"/>
    <x v="18"/>
    <x v="0"/>
  </r>
  <r>
    <s v="R017"/>
    <s v="Q020"/>
    <s v="Strongly Agree"/>
    <s v="Clarity"/>
    <n v="5"/>
    <n v="100"/>
    <n v="1"/>
    <x v="19"/>
    <x v="0"/>
  </r>
  <r>
    <s v="R017"/>
    <s v="Q021"/>
    <s v="Strongly Agree"/>
    <s v="Transparency"/>
    <n v="5"/>
    <n v="100"/>
    <n v="1"/>
    <x v="20"/>
    <x v="0"/>
  </r>
  <r>
    <s v="R017"/>
    <s v="Q022"/>
    <s v="Agree"/>
    <s v="Transparency"/>
    <n v="4"/>
    <n v="80"/>
    <n v="1"/>
    <x v="21"/>
    <x v="0"/>
  </r>
  <r>
    <s v="R017"/>
    <s v="Q023"/>
    <s v="Agree"/>
    <s v="Transparency"/>
    <n v="4"/>
    <n v="80"/>
    <n v="1"/>
    <x v="22"/>
    <x v="0"/>
  </r>
  <r>
    <s v="R017"/>
    <s v="Q024"/>
    <s v="Agree"/>
    <s v="Transparency"/>
    <n v="4"/>
    <n v="80"/>
    <n v="1"/>
    <x v="23"/>
    <x v="0"/>
  </r>
  <r>
    <s v="R017"/>
    <s v="Q025"/>
    <s v="Agree"/>
    <s v="Commitment"/>
    <n v="4"/>
    <n v="80"/>
    <n v="1"/>
    <x v="24"/>
    <x v="0"/>
  </r>
  <r>
    <s v="R017"/>
    <s v="Q026"/>
    <s v="Agree"/>
    <s v="Commitment"/>
    <n v="4"/>
    <n v="80"/>
    <n v="1"/>
    <x v="25"/>
    <x v="0"/>
  </r>
  <r>
    <s v="R017"/>
    <s v="Q027"/>
    <s v="Agree"/>
    <s v="Commitment"/>
    <n v="4"/>
    <n v="80"/>
    <n v="1"/>
    <x v="26"/>
    <x v="0"/>
  </r>
  <r>
    <s v="R017"/>
    <s v="Q028"/>
    <s v="Agree"/>
    <s v="Commitment"/>
    <n v="4"/>
    <n v="80"/>
    <n v="1"/>
    <x v="27"/>
    <x v="0"/>
  </r>
  <r>
    <s v="R017"/>
    <s v="Q029"/>
    <s v="Agree"/>
    <s v="Call someone to account"/>
    <n v="4"/>
    <n v="80"/>
    <n v="1"/>
    <x v="28"/>
    <x v="0"/>
  </r>
  <r>
    <s v="R017"/>
    <s v="Q030"/>
    <s v="Neutral"/>
    <s v="Call someone to account"/>
    <n v="3"/>
    <n v="60"/>
    <n v="0"/>
    <x v="29"/>
    <x v="0"/>
  </r>
  <r>
    <s v="R017"/>
    <s v="Q031"/>
    <s v="Strongly Agree"/>
    <s v="Call someone to account"/>
    <n v="5"/>
    <n v="100"/>
    <n v="1"/>
    <x v="30"/>
    <x v="0"/>
  </r>
  <r>
    <s v="R017"/>
    <s v="Q032"/>
    <s v="Strongly Agree"/>
    <s v="Call someone to account"/>
    <n v="5"/>
    <n v="100"/>
    <n v="1"/>
    <x v="31"/>
    <x v="0"/>
  </r>
  <r>
    <s v="R018"/>
    <s v="Q001"/>
    <s v="Agree"/>
    <s v="Role Modelling"/>
    <n v="4"/>
    <n v="80"/>
    <n v="1"/>
    <x v="0"/>
    <x v="3"/>
  </r>
  <r>
    <s v="R018"/>
    <s v="Q002"/>
    <s v="Agree"/>
    <s v="Role Modelling"/>
    <n v="4"/>
    <n v="80"/>
    <n v="1"/>
    <x v="1"/>
    <x v="3"/>
  </r>
  <r>
    <s v="R018"/>
    <s v="Q003"/>
    <s v="Strongly Agree"/>
    <s v="Role Modelling"/>
    <n v="5"/>
    <n v="100"/>
    <n v="1"/>
    <x v="2"/>
    <x v="3"/>
  </r>
  <r>
    <s v="R018"/>
    <s v="Q004"/>
    <s v="Strongly Agree"/>
    <s v="Role Modelling"/>
    <n v="5"/>
    <n v="100"/>
    <n v="1"/>
    <x v="3"/>
    <x v="3"/>
  </r>
  <r>
    <s v="R018"/>
    <s v="Q005"/>
    <s v="Strongly Agree"/>
    <s v="Discussability"/>
    <n v="5"/>
    <n v="100"/>
    <n v="1"/>
    <x v="4"/>
    <x v="3"/>
  </r>
  <r>
    <s v="R018"/>
    <s v="Q006"/>
    <s v="Strongly Agree"/>
    <s v="Discussability"/>
    <n v="5"/>
    <n v="100"/>
    <n v="1"/>
    <x v="5"/>
    <x v="3"/>
  </r>
  <r>
    <s v="R018"/>
    <s v="Q007"/>
    <s v="Strongly Agree"/>
    <s v="Discussability"/>
    <n v="5"/>
    <n v="100"/>
    <n v="1"/>
    <x v="6"/>
    <x v="3"/>
  </r>
  <r>
    <s v="R018"/>
    <s v="Q008"/>
    <s v="Strongly Agree"/>
    <s v="Discussability"/>
    <n v="5"/>
    <n v="100"/>
    <n v="1"/>
    <x v="7"/>
    <x v="3"/>
  </r>
  <r>
    <s v="R018"/>
    <s v="Q009"/>
    <s v="Strongly Agree"/>
    <s v="Achievability"/>
    <n v="5"/>
    <n v="100"/>
    <n v="1"/>
    <x v="8"/>
    <x v="3"/>
  </r>
  <r>
    <s v="R018"/>
    <s v="Q010"/>
    <s v="Agree"/>
    <s v="Achievability"/>
    <n v="4"/>
    <n v="80"/>
    <n v="1"/>
    <x v="9"/>
    <x v="3"/>
  </r>
  <r>
    <s v="R018"/>
    <s v="Q011"/>
    <s v="Agree"/>
    <s v="Achievability"/>
    <n v="4"/>
    <n v="80"/>
    <n v="1"/>
    <x v="10"/>
    <x v="3"/>
  </r>
  <r>
    <s v="R018"/>
    <s v="Q012"/>
    <s v="Agree"/>
    <s v="Achievability"/>
    <n v="4"/>
    <n v="80"/>
    <n v="1"/>
    <x v="11"/>
    <x v="3"/>
  </r>
  <r>
    <s v="R018"/>
    <s v="Q013"/>
    <s v="Strongly Agree"/>
    <s v="Enforcement"/>
    <n v="5"/>
    <n v="100"/>
    <n v="1"/>
    <x v="12"/>
    <x v="3"/>
  </r>
  <r>
    <s v="R018"/>
    <s v="Q014"/>
    <s v="Agree"/>
    <s v="Enforcement"/>
    <n v="4"/>
    <n v="80"/>
    <n v="1"/>
    <x v="13"/>
    <x v="3"/>
  </r>
  <r>
    <s v="R018"/>
    <s v="Q015"/>
    <s v="Agree"/>
    <s v="Enforcement"/>
    <n v="4"/>
    <n v="80"/>
    <n v="1"/>
    <x v="14"/>
    <x v="3"/>
  </r>
  <r>
    <s v="R018"/>
    <s v="Q016"/>
    <s v="Agree"/>
    <s v="Enforcement"/>
    <n v="4"/>
    <n v="80"/>
    <n v="1"/>
    <x v="15"/>
    <x v="3"/>
  </r>
  <r>
    <s v="R018"/>
    <s v="Q017"/>
    <s v="Agree"/>
    <s v="Clarity"/>
    <n v="4"/>
    <n v="80"/>
    <n v="1"/>
    <x v="16"/>
    <x v="3"/>
  </r>
  <r>
    <s v="R018"/>
    <s v="Q018"/>
    <s v="Agree"/>
    <s v="Clarity"/>
    <n v="4"/>
    <n v="80"/>
    <n v="1"/>
    <x v="17"/>
    <x v="3"/>
  </r>
  <r>
    <s v="R018"/>
    <s v="Q019"/>
    <s v="Agree"/>
    <s v="Clarity"/>
    <n v="4"/>
    <n v="80"/>
    <n v="1"/>
    <x v="18"/>
    <x v="3"/>
  </r>
  <r>
    <s v="R018"/>
    <s v="Q020"/>
    <s v="Agree"/>
    <s v="Clarity"/>
    <n v="4"/>
    <n v="80"/>
    <n v="1"/>
    <x v="19"/>
    <x v="3"/>
  </r>
  <r>
    <s v="R018"/>
    <s v="Q021"/>
    <s v="Agree"/>
    <s v="Transparency"/>
    <n v="4"/>
    <n v="80"/>
    <n v="1"/>
    <x v="20"/>
    <x v="3"/>
  </r>
  <r>
    <s v="R018"/>
    <s v="Q022"/>
    <s v="Neutral"/>
    <s v="Transparency"/>
    <n v="3"/>
    <n v="60"/>
    <n v="0"/>
    <x v="21"/>
    <x v="3"/>
  </r>
  <r>
    <s v="R018"/>
    <s v="Q023"/>
    <s v="Strongly Agree"/>
    <s v="Transparency"/>
    <n v="5"/>
    <n v="100"/>
    <n v="1"/>
    <x v="22"/>
    <x v="3"/>
  </r>
  <r>
    <s v="R018"/>
    <s v="Q024"/>
    <s v="Strongly Agree"/>
    <s v="Transparency"/>
    <n v="5"/>
    <n v="100"/>
    <n v="1"/>
    <x v="23"/>
    <x v="3"/>
  </r>
  <r>
    <s v="R018"/>
    <s v="Q025"/>
    <s v="Agree"/>
    <s v="Commitment"/>
    <n v="4"/>
    <n v="80"/>
    <n v="1"/>
    <x v="24"/>
    <x v="3"/>
  </r>
  <r>
    <s v="R018"/>
    <s v="Q026"/>
    <s v="Agree"/>
    <s v="Commitment"/>
    <n v="4"/>
    <n v="80"/>
    <n v="1"/>
    <x v="25"/>
    <x v="3"/>
  </r>
  <r>
    <s v="R018"/>
    <s v="Q027"/>
    <s v="Strongly Agree"/>
    <s v="Commitment"/>
    <n v="5"/>
    <n v="100"/>
    <n v="1"/>
    <x v="26"/>
    <x v="3"/>
  </r>
  <r>
    <s v="R018"/>
    <s v="Q028"/>
    <s v="Strongly Agree"/>
    <s v="Commitment"/>
    <n v="5"/>
    <n v="100"/>
    <n v="1"/>
    <x v="27"/>
    <x v="3"/>
  </r>
  <r>
    <s v="R018"/>
    <s v="Q029"/>
    <s v="Strongly Agree"/>
    <s v="Call someone to account"/>
    <n v="5"/>
    <n v="100"/>
    <n v="1"/>
    <x v="28"/>
    <x v="3"/>
  </r>
  <r>
    <s v="R018"/>
    <s v="Q030"/>
    <s v="Strongly Agree"/>
    <s v="Call someone to account"/>
    <n v="5"/>
    <n v="100"/>
    <n v="1"/>
    <x v="29"/>
    <x v="3"/>
  </r>
  <r>
    <s v="R018"/>
    <s v="Q031"/>
    <s v="Strongly Agree"/>
    <s v="Call someone to account"/>
    <n v="5"/>
    <n v="100"/>
    <n v="1"/>
    <x v="30"/>
    <x v="3"/>
  </r>
  <r>
    <s v="R018"/>
    <s v="Q032"/>
    <s v="Strongly Agree"/>
    <s v="Call someone to account"/>
    <n v="5"/>
    <n v="100"/>
    <n v="1"/>
    <x v="31"/>
    <x v="3"/>
  </r>
  <r>
    <s v="R019"/>
    <s v="Q001"/>
    <s v="Strongly Agree"/>
    <s v="Role Modelling"/>
    <n v="5"/>
    <n v="100"/>
    <n v="1"/>
    <x v="0"/>
    <x v="4"/>
  </r>
  <r>
    <s v="R019"/>
    <s v="Q002"/>
    <s v="Agree"/>
    <s v="Role Modelling"/>
    <n v="4"/>
    <n v="80"/>
    <n v="1"/>
    <x v="1"/>
    <x v="4"/>
  </r>
  <r>
    <s v="R019"/>
    <s v="Q003"/>
    <s v="Agree"/>
    <s v="Role Modelling"/>
    <n v="4"/>
    <n v="80"/>
    <n v="1"/>
    <x v="2"/>
    <x v="4"/>
  </r>
  <r>
    <s v="R019"/>
    <s v="Q004"/>
    <s v="Agree"/>
    <s v="Role Modelling"/>
    <n v="4"/>
    <n v="80"/>
    <n v="1"/>
    <x v="3"/>
    <x v="4"/>
  </r>
  <r>
    <s v="R019"/>
    <s v="Q005"/>
    <s v="Agree"/>
    <s v="Discussability"/>
    <n v="4"/>
    <n v="80"/>
    <n v="1"/>
    <x v="4"/>
    <x v="4"/>
  </r>
  <r>
    <s v="R019"/>
    <s v="Q006"/>
    <s v="Agree"/>
    <s v="Discussability"/>
    <n v="4"/>
    <n v="80"/>
    <n v="1"/>
    <x v="5"/>
    <x v="4"/>
  </r>
  <r>
    <s v="R019"/>
    <s v="Q007"/>
    <s v="Agree"/>
    <s v="Discussability"/>
    <n v="4"/>
    <n v="80"/>
    <n v="1"/>
    <x v="6"/>
    <x v="4"/>
  </r>
  <r>
    <s v="R019"/>
    <s v="Q008"/>
    <s v="Agree"/>
    <s v="Discussability"/>
    <n v="4"/>
    <n v="80"/>
    <n v="1"/>
    <x v="7"/>
    <x v="4"/>
  </r>
  <r>
    <s v="R019"/>
    <s v="Q009"/>
    <s v="Agree"/>
    <s v="Achievability"/>
    <n v="4"/>
    <n v="80"/>
    <n v="1"/>
    <x v="8"/>
    <x v="4"/>
  </r>
  <r>
    <s v="R019"/>
    <s v="Q010"/>
    <s v="Neutral"/>
    <s v="Achievability"/>
    <n v="3"/>
    <n v="60"/>
    <n v="0"/>
    <x v="9"/>
    <x v="4"/>
  </r>
  <r>
    <s v="R019"/>
    <s v="Q011"/>
    <s v="Strongly Agree"/>
    <s v="Achievability"/>
    <n v="5"/>
    <n v="100"/>
    <n v="1"/>
    <x v="10"/>
    <x v="4"/>
  </r>
  <r>
    <s v="R019"/>
    <s v="Q012"/>
    <s v="Strongly Agree"/>
    <s v="Achievability"/>
    <n v="5"/>
    <n v="100"/>
    <n v="1"/>
    <x v="11"/>
    <x v="4"/>
  </r>
  <r>
    <s v="R019"/>
    <s v="Q013"/>
    <s v="Agree"/>
    <s v="Enforcement"/>
    <n v="4"/>
    <n v="80"/>
    <n v="1"/>
    <x v="12"/>
    <x v="4"/>
  </r>
  <r>
    <s v="R019"/>
    <s v="Q014"/>
    <s v="Agree"/>
    <s v="Enforcement"/>
    <n v="4"/>
    <n v="80"/>
    <n v="1"/>
    <x v="13"/>
    <x v="4"/>
  </r>
  <r>
    <s v="R019"/>
    <s v="Q015"/>
    <s v="Strongly Agree"/>
    <s v="Enforcement"/>
    <n v="5"/>
    <n v="100"/>
    <n v="1"/>
    <x v="14"/>
    <x v="4"/>
  </r>
  <r>
    <s v="R019"/>
    <s v="Q016"/>
    <s v="Strongly Agree"/>
    <s v="Enforcement"/>
    <n v="5"/>
    <n v="100"/>
    <n v="1"/>
    <x v="15"/>
    <x v="4"/>
  </r>
  <r>
    <s v="R019"/>
    <s v="Q017"/>
    <s v="Strongly Agree"/>
    <s v="Clarity"/>
    <n v="5"/>
    <n v="100"/>
    <n v="1"/>
    <x v="16"/>
    <x v="4"/>
  </r>
  <r>
    <s v="R019"/>
    <s v="Q018"/>
    <s v="Strongly Agree"/>
    <s v="Clarity"/>
    <n v="5"/>
    <n v="100"/>
    <n v="1"/>
    <x v="17"/>
    <x v="4"/>
  </r>
  <r>
    <s v="R019"/>
    <s v="Q019"/>
    <s v="Strongly Agree"/>
    <s v="Clarity"/>
    <n v="5"/>
    <n v="100"/>
    <n v="1"/>
    <x v="18"/>
    <x v="4"/>
  </r>
  <r>
    <s v="R019"/>
    <s v="Q020"/>
    <s v="Strongly Agree"/>
    <s v="Clarity"/>
    <n v="5"/>
    <n v="100"/>
    <n v="1"/>
    <x v="19"/>
    <x v="4"/>
  </r>
  <r>
    <s v="R019"/>
    <s v="Q021"/>
    <s v="Strongly Agree"/>
    <s v="Transparency"/>
    <n v="5"/>
    <n v="100"/>
    <n v="1"/>
    <x v="20"/>
    <x v="4"/>
  </r>
  <r>
    <s v="R019"/>
    <s v="Q022"/>
    <s v="Agree"/>
    <s v="Transparency"/>
    <n v="4"/>
    <n v="80"/>
    <n v="1"/>
    <x v="21"/>
    <x v="4"/>
  </r>
  <r>
    <s v="R019"/>
    <s v="Q023"/>
    <s v="Agree"/>
    <s v="Transparency"/>
    <n v="4"/>
    <n v="80"/>
    <n v="1"/>
    <x v="22"/>
    <x v="4"/>
  </r>
  <r>
    <s v="R019"/>
    <s v="Q024"/>
    <s v="Agree"/>
    <s v="Transparency"/>
    <n v="4"/>
    <n v="80"/>
    <n v="1"/>
    <x v="23"/>
    <x v="4"/>
  </r>
  <r>
    <s v="R019"/>
    <s v="Q025"/>
    <s v="Agree"/>
    <s v="Commitment"/>
    <n v="4"/>
    <n v="80"/>
    <n v="1"/>
    <x v="24"/>
    <x v="4"/>
  </r>
  <r>
    <s v="R019"/>
    <s v="Q026"/>
    <s v="Agree"/>
    <s v="Commitment"/>
    <n v="4"/>
    <n v="80"/>
    <n v="1"/>
    <x v="25"/>
    <x v="4"/>
  </r>
  <r>
    <s v="R019"/>
    <s v="Q027"/>
    <s v="Agree"/>
    <s v="Commitment"/>
    <n v="4"/>
    <n v="80"/>
    <n v="1"/>
    <x v="26"/>
    <x v="4"/>
  </r>
  <r>
    <s v="R019"/>
    <s v="Q028"/>
    <s v="Agree"/>
    <s v="Commitment"/>
    <n v="4"/>
    <n v="80"/>
    <n v="1"/>
    <x v="27"/>
    <x v="4"/>
  </r>
  <r>
    <s v="R019"/>
    <s v="Q029"/>
    <s v="Agree"/>
    <s v="Call someone to account"/>
    <n v="4"/>
    <n v="80"/>
    <n v="1"/>
    <x v="28"/>
    <x v="4"/>
  </r>
  <r>
    <s v="R019"/>
    <s v="Q030"/>
    <s v="Neutral"/>
    <s v="Call someone to account"/>
    <n v="3"/>
    <n v="60"/>
    <n v="0"/>
    <x v="29"/>
    <x v="4"/>
  </r>
  <r>
    <s v="R019"/>
    <s v="Q031"/>
    <s v="Strongly Agree"/>
    <s v="Call someone to account"/>
    <n v="5"/>
    <n v="100"/>
    <n v="1"/>
    <x v="30"/>
    <x v="4"/>
  </r>
  <r>
    <s v="R019"/>
    <s v="Q032"/>
    <s v="Strongly Agree"/>
    <s v="Call someone to account"/>
    <n v="5"/>
    <n v="100"/>
    <n v="1"/>
    <x v="31"/>
    <x v="4"/>
  </r>
  <r>
    <s v="R020"/>
    <s v="Q001"/>
    <s v="Agree"/>
    <s v="Role Modelling"/>
    <n v="4"/>
    <n v="80"/>
    <n v="1"/>
    <x v="0"/>
    <x v="3"/>
  </r>
  <r>
    <s v="R020"/>
    <s v="Q002"/>
    <s v="Agree"/>
    <s v="Role Modelling"/>
    <n v="4"/>
    <n v="80"/>
    <n v="1"/>
    <x v="1"/>
    <x v="3"/>
  </r>
  <r>
    <s v="R020"/>
    <s v="Q003"/>
    <s v="Strongly Agree"/>
    <s v="Role Modelling"/>
    <n v="5"/>
    <n v="100"/>
    <n v="1"/>
    <x v="2"/>
    <x v="3"/>
  </r>
  <r>
    <s v="R020"/>
    <s v="Q004"/>
    <s v="Strongly Agree"/>
    <s v="Role Modelling"/>
    <n v="5"/>
    <n v="100"/>
    <n v="1"/>
    <x v="3"/>
    <x v="3"/>
  </r>
  <r>
    <s v="R020"/>
    <s v="Q005"/>
    <s v="Strongly Agree"/>
    <s v="Discussability"/>
    <n v="5"/>
    <n v="100"/>
    <n v="1"/>
    <x v="4"/>
    <x v="3"/>
  </r>
  <r>
    <s v="R020"/>
    <s v="Q006"/>
    <s v="Strongly Agree"/>
    <s v="Discussability"/>
    <n v="5"/>
    <n v="100"/>
    <n v="1"/>
    <x v="5"/>
    <x v="3"/>
  </r>
  <r>
    <s v="R020"/>
    <s v="Q007"/>
    <s v="Strongly Agree"/>
    <s v="Discussability"/>
    <n v="5"/>
    <n v="100"/>
    <n v="1"/>
    <x v="6"/>
    <x v="3"/>
  </r>
  <r>
    <s v="R020"/>
    <s v="Q008"/>
    <s v="Strongly Agree"/>
    <s v="Discussability"/>
    <n v="5"/>
    <n v="100"/>
    <n v="1"/>
    <x v="7"/>
    <x v="3"/>
  </r>
  <r>
    <s v="R020"/>
    <s v="Q009"/>
    <s v="Strongly Agree"/>
    <s v="Achievability"/>
    <n v="5"/>
    <n v="100"/>
    <n v="1"/>
    <x v="8"/>
    <x v="3"/>
  </r>
  <r>
    <s v="R020"/>
    <s v="Q010"/>
    <s v="Agree"/>
    <s v="Achievability"/>
    <n v="4"/>
    <n v="80"/>
    <n v="1"/>
    <x v="9"/>
    <x v="3"/>
  </r>
  <r>
    <s v="R020"/>
    <s v="Q011"/>
    <s v="Agree"/>
    <s v="Achievability"/>
    <n v="4"/>
    <n v="80"/>
    <n v="1"/>
    <x v="10"/>
    <x v="3"/>
  </r>
  <r>
    <s v="R020"/>
    <s v="Q012"/>
    <s v="Agree"/>
    <s v="Achievability"/>
    <n v="4"/>
    <n v="80"/>
    <n v="1"/>
    <x v="11"/>
    <x v="3"/>
  </r>
  <r>
    <s v="R020"/>
    <s v="Q013"/>
    <s v="Agree"/>
    <s v="Enforcement"/>
    <n v="4"/>
    <n v="80"/>
    <n v="1"/>
    <x v="12"/>
    <x v="3"/>
  </r>
  <r>
    <s v="R020"/>
    <s v="Q014"/>
    <s v="Agree"/>
    <s v="Enforcement"/>
    <n v="4"/>
    <n v="80"/>
    <n v="1"/>
    <x v="13"/>
    <x v="3"/>
  </r>
  <r>
    <s v="R020"/>
    <s v="Q015"/>
    <s v="Agree"/>
    <s v="Enforcement"/>
    <n v="4"/>
    <n v="80"/>
    <n v="1"/>
    <x v="14"/>
    <x v="3"/>
  </r>
  <r>
    <s v="R020"/>
    <s v="Q016"/>
    <s v="Agree"/>
    <s v="Enforcement"/>
    <n v="4"/>
    <n v="80"/>
    <n v="1"/>
    <x v="15"/>
    <x v="3"/>
  </r>
  <r>
    <s v="R020"/>
    <s v="Q017"/>
    <s v="Agree"/>
    <s v="Clarity"/>
    <n v="4"/>
    <n v="80"/>
    <n v="1"/>
    <x v="16"/>
    <x v="3"/>
  </r>
  <r>
    <s v="R020"/>
    <s v="Q018"/>
    <s v="Neutral"/>
    <s v="Clarity"/>
    <n v="3"/>
    <n v="60"/>
    <n v="0"/>
    <x v="17"/>
    <x v="3"/>
  </r>
  <r>
    <s v="R020"/>
    <s v="Q019"/>
    <s v="Strongly Agree"/>
    <s v="Clarity"/>
    <n v="5"/>
    <n v="100"/>
    <n v="1"/>
    <x v="18"/>
    <x v="3"/>
  </r>
  <r>
    <s v="R020"/>
    <s v="Q020"/>
    <s v="Strongly Agree"/>
    <s v="Clarity"/>
    <n v="5"/>
    <n v="100"/>
    <n v="1"/>
    <x v="19"/>
    <x v="3"/>
  </r>
  <r>
    <s v="R020"/>
    <s v="Q021"/>
    <s v="Agree"/>
    <s v="Transparency"/>
    <n v="4"/>
    <n v="80"/>
    <n v="1"/>
    <x v="20"/>
    <x v="3"/>
  </r>
  <r>
    <s v="R020"/>
    <s v="Q022"/>
    <s v="Agree"/>
    <s v="Transparency"/>
    <n v="4"/>
    <n v="80"/>
    <n v="1"/>
    <x v="21"/>
    <x v="3"/>
  </r>
  <r>
    <s v="R020"/>
    <s v="Q023"/>
    <s v="Strongly Agree"/>
    <s v="Transparency"/>
    <n v="5"/>
    <n v="100"/>
    <n v="1"/>
    <x v="22"/>
    <x v="3"/>
  </r>
  <r>
    <s v="R020"/>
    <s v="Q024"/>
    <s v="Strongly Agree"/>
    <s v="Transparency"/>
    <n v="5"/>
    <n v="100"/>
    <n v="1"/>
    <x v="23"/>
    <x v="3"/>
  </r>
  <r>
    <s v="R020"/>
    <s v="Q025"/>
    <s v="Strongly Agree"/>
    <s v="Commitment"/>
    <n v="5"/>
    <n v="100"/>
    <n v="1"/>
    <x v="24"/>
    <x v="3"/>
  </r>
  <r>
    <s v="R020"/>
    <s v="Q026"/>
    <s v="Strongly Agree"/>
    <s v="Commitment"/>
    <n v="5"/>
    <n v="100"/>
    <n v="1"/>
    <x v="25"/>
    <x v="3"/>
  </r>
  <r>
    <s v="R020"/>
    <s v="Q027"/>
    <s v="Strongly Agree"/>
    <s v="Commitment"/>
    <n v="5"/>
    <n v="100"/>
    <n v="1"/>
    <x v="26"/>
    <x v="3"/>
  </r>
  <r>
    <s v="R020"/>
    <s v="Q028"/>
    <s v="Strongly Agree"/>
    <s v="Commitment"/>
    <n v="5"/>
    <n v="100"/>
    <n v="1"/>
    <x v="27"/>
    <x v="3"/>
  </r>
  <r>
    <s v="R020"/>
    <s v="Q029"/>
    <s v="Strongly Agree"/>
    <s v="Call someone to account"/>
    <n v="5"/>
    <n v="100"/>
    <n v="1"/>
    <x v="28"/>
    <x v="3"/>
  </r>
  <r>
    <s v="R020"/>
    <s v="Q030"/>
    <s v="Agree"/>
    <s v="Call someone to account"/>
    <n v="4"/>
    <n v="80"/>
    <n v="1"/>
    <x v="29"/>
    <x v="3"/>
  </r>
  <r>
    <s v="R020"/>
    <s v="Q031"/>
    <s v="Agree"/>
    <s v="Call someone to account"/>
    <n v="4"/>
    <n v="80"/>
    <n v="1"/>
    <x v="30"/>
    <x v="3"/>
  </r>
  <r>
    <s v="R020"/>
    <s v="Q032"/>
    <s v="Agree"/>
    <s v="Call someone to account"/>
    <n v="4"/>
    <n v="80"/>
    <n v="1"/>
    <x v="31"/>
    <x v="3"/>
  </r>
  <r>
    <s v="R021"/>
    <s v="Q001"/>
    <s v="Agree"/>
    <s v="Role Modelling"/>
    <n v="4"/>
    <n v="80"/>
    <n v="1"/>
    <x v="0"/>
    <x v="5"/>
  </r>
  <r>
    <s v="R021"/>
    <s v="Q002"/>
    <s v="Agree"/>
    <s v="Role Modelling"/>
    <n v="4"/>
    <n v="80"/>
    <n v="1"/>
    <x v="1"/>
    <x v="5"/>
  </r>
  <r>
    <s v="R021"/>
    <s v="Q003"/>
    <s v="Agree"/>
    <s v="Role Modelling"/>
    <n v="4"/>
    <n v="80"/>
    <n v="1"/>
    <x v="2"/>
    <x v="5"/>
  </r>
  <r>
    <s v="R021"/>
    <s v="Q004"/>
    <s v="Agree"/>
    <s v="Role Modelling"/>
    <n v="4"/>
    <n v="80"/>
    <n v="1"/>
    <x v="3"/>
    <x v="5"/>
  </r>
  <r>
    <s v="R021"/>
    <s v="Q005"/>
    <s v="Agree"/>
    <s v="Discussability"/>
    <n v="4"/>
    <n v="80"/>
    <n v="1"/>
    <x v="4"/>
    <x v="5"/>
  </r>
  <r>
    <s v="R021"/>
    <s v="Q006"/>
    <s v="Neutral"/>
    <s v="Discussability"/>
    <n v="3"/>
    <n v="60"/>
    <n v="0"/>
    <x v="5"/>
    <x v="5"/>
  </r>
  <r>
    <s v="R021"/>
    <s v="Q007"/>
    <s v="Strongly Agree"/>
    <s v="Discussability"/>
    <n v="5"/>
    <n v="100"/>
    <n v="1"/>
    <x v="6"/>
    <x v="5"/>
  </r>
  <r>
    <s v="R021"/>
    <s v="Q008"/>
    <s v="Strongly Agree"/>
    <s v="Discussability"/>
    <n v="5"/>
    <n v="100"/>
    <n v="1"/>
    <x v="7"/>
    <x v="5"/>
  </r>
  <r>
    <s v="R021"/>
    <s v="Q009"/>
    <s v="Agree"/>
    <s v="Achievability"/>
    <n v="4"/>
    <n v="80"/>
    <n v="1"/>
    <x v="8"/>
    <x v="5"/>
  </r>
  <r>
    <s v="R021"/>
    <s v="Q010"/>
    <s v="Agree"/>
    <s v="Achievability"/>
    <n v="4"/>
    <n v="80"/>
    <n v="1"/>
    <x v="9"/>
    <x v="5"/>
  </r>
  <r>
    <s v="R021"/>
    <s v="Q011"/>
    <s v="Strongly Agree"/>
    <s v="Achievability"/>
    <n v="5"/>
    <n v="100"/>
    <n v="1"/>
    <x v="10"/>
    <x v="5"/>
  </r>
  <r>
    <s v="R021"/>
    <s v="Q012"/>
    <s v="Strongly Agree"/>
    <s v="Achievability"/>
    <n v="5"/>
    <n v="100"/>
    <n v="1"/>
    <x v="11"/>
    <x v="5"/>
  </r>
  <r>
    <s v="R021"/>
    <s v="Q013"/>
    <s v="Strongly Agree"/>
    <s v="Enforcement"/>
    <n v="5"/>
    <n v="100"/>
    <n v="1"/>
    <x v="12"/>
    <x v="5"/>
  </r>
  <r>
    <s v="R021"/>
    <s v="Q014"/>
    <s v="Strongly Agree"/>
    <s v="Enforcement"/>
    <n v="5"/>
    <n v="100"/>
    <n v="1"/>
    <x v="13"/>
    <x v="5"/>
  </r>
  <r>
    <s v="R021"/>
    <s v="Q015"/>
    <s v="Strongly Agree"/>
    <s v="Enforcement"/>
    <n v="5"/>
    <n v="100"/>
    <n v="1"/>
    <x v="14"/>
    <x v="5"/>
  </r>
  <r>
    <s v="R021"/>
    <s v="Q016"/>
    <s v="Agree"/>
    <s v="Enforcement"/>
    <n v="4"/>
    <n v="80"/>
    <n v="1"/>
    <x v="15"/>
    <x v="5"/>
  </r>
  <r>
    <s v="R021"/>
    <s v="Q017"/>
    <s v="Disagree"/>
    <s v="Clarity"/>
    <n v="2"/>
    <n v="40"/>
    <n v="0"/>
    <x v="16"/>
    <x v="5"/>
  </r>
  <r>
    <s v="R021"/>
    <s v="Q018"/>
    <s v="Neutral"/>
    <s v="Clarity"/>
    <n v="3"/>
    <n v="60"/>
    <n v="0"/>
    <x v="17"/>
    <x v="5"/>
  </r>
  <r>
    <s v="R021"/>
    <s v="Q019"/>
    <s v="Strongly Agree"/>
    <s v="Clarity"/>
    <n v="5"/>
    <n v="100"/>
    <n v="1"/>
    <x v="18"/>
    <x v="5"/>
  </r>
  <r>
    <s v="R021"/>
    <s v="Q020"/>
    <s v="Agree"/>
    <s v="Clarity"/>
    <n v="4"/>
    <n v="80"/>
    <n v="1"/>
    <x v="19"/>
    <x v="5"/>
  </r>
  <r>
    <s v="R021"/>
    <s v="Q021"/>
    <s v="Disagree"/>
    <s v="Transparency"/>
    <n v="2"/>
    <n v="40"/>
    <n v="0"/>
    <x v="20"/>
    <x v="5"/>
  </r>
  <r>
    <s v="R021"/>
    <s v="Q022"/>
    <s v="Neutral"/>
    <s v="Transparency"/>
    <n v="3"/>
    <n v="60"/>
    <n v="0"/>
    <x v="21"/>
    <x v="5"/>
  </r>
  <r>
    <s v="R021"/>
    <s v="Q023"/>
    <s v="Strongly Agree"/>
    <s v="Transparency"/>
    <n v="5"/>
    <n v="100"/>
    <n v="1"/>
    <x v="22"/>
    <x v="5"/>
  </r>
  <r>
    <s v="R021"/>
    <s v="Q024"/>
    <s v="Strongly Agree"/>
    <s v="Transparency"/>
    <n v="5"/>
    <n v="100"/>
    <n v="1"/>
    <x v="23"/>
    <x v="5"/>
  </r>
  <r>
    <s v="R021"/>
    <s v="Q025"/>
    <s v="Agree"/>
    <s v="Commitment"/>
    <n v="4"/>
    <n v="80"/>
    <n v="1"/>
    <x v="24"/>
    <x v="5"/>
  </r>
  <r>
    <s v="R021"/>
    <s v="Q026"/>
    <s v="Agree"/>
    <s v="Commitment"/>
    <n v="4"/>
    <n v="80"/>
    <n v="1"/>
    <x v="25"/>
    <x v="5"/>
  </r>
  <r>
    <s v="R021"/>
    <s v="Q027"/>
    <s v="Agree"/>
    <s v="Commitment"/>
    <n v="4"/>
    <n v="80"/>
    <n v="1"/>
    <x v="26"/>
    <x v="5"/>
  </r>
  <r>
    <s v="R021"/>
    <s v="Q028"/>
    <s v="Agree"/>
    <s v="Commitment"/>
    <n v="4"/>
    <n v="80"/>
    <n v="1"/>
    <x v="27"/>
    <x v="5"/>
  </r>
  <r>
    <s v="R021"/>
    <s v="Q029"/>
    <s v="Agree"/>
    <s v="Call someone to account"/>
    <n v="4"/>
    <n v="80"/>
    <n v="1"/>
    <x v="28"/>
    <x v="5"/>
  </r>
  <r>
    <s v="R021"/>
    <s v="Q030"/>
    <s v="Strongly Agree"/>
    <s v="Call someone to account"/>
    <n v="5"/>
    <n v="100"/>
    <n v="1"/>
    <x v="29"/>
    <x v="5"/>
  </r>
  <r>
    <s v="R021"/>
    <s v="Q031"/>
    <s v="Agree"/>
    <s v="Call someone to account"/>
    <n v="4"/>
    <n v="80"/>
    <n v="1"/>
    <x v="30"/>
    <x v="5"/>
  </r>
  <r>
    <s v="R021"/>
    <s v="Q032"/>
    <s v="Agree"/>
    <s v="Call someone to account"/>
    <n v="4"/>
    <n v="80"/>
    <n v="1"/>
    <x v="31"/>
    <x v="5"/>
  </r>
  <r>
    <s v="R022"/>
    <s v="Q001"/>
    <s v="Agree"/>
    <s v="Role Modelling"/>
    <n v="4"/>
    <n v="80"/>
    <n v="1"/>
    <x v="0"/>
    <x v="4"/>
  </r>
  <r>
    <s v="R022"/>
    <s v="Q002"/>
    <s v="Agree"/>
    <s v="Role Modelling"/>
    <n v="4"/>
    <n v="80"/>
    <n v="1"/>
    <x v="1"/>
    <x v="4"/>
  </r>
  <r>
    <s v="R022"/>
    <s v="Q003"/>
    <s v="Agree"/>
    <s v="Role Modelling"/>
    <n v="4"/>
    <n v="80"/>
    <n v="1"/>
    <x v="2"/>
    <x v="4"/>
  </r>
  <r>
    <s v="R022"/>
    <s v="Q004"/>
    <s v="Agree"/>
    <s v="Role Modelling"/>
    <n v="4"/>
    <n v="80"/>
    <n v="1"/>
    <x v="3"/>
    <x v="4"/>
  </r>
  <r>
    <s v="R022"/>
    <s v="Q005"/>
    <s v="Agree"/>
    <s v="Discussability"/>
    <n v="4"/>
    <n v="80"/>
    <n v="1"/>
    <x v="4"/>
    <x v="4"/>
  </r>
  <r>
    <s v="R022"/>
    <s v="Q006"/>
    <s v="Agree"/>
    <s v="Discussability"/>
    <n v="4"/>
    <n v="80"/>
    <n v="1"/>
    <x v="5"/>
    <x v="4"/>
  </r>
  <r>
    <s v="R022"/>
    <s v="Q007"/>
    <s v="Neutral"/>
    <s v="Discussability"/>
    <n v="3"/>
    <n v="60"/>
    <n v="0"/>
    <x v="6"/>
    <x v="4"/>
  </r>
  <r>
    <s v="R022"/>
    <s v="Q008"/>
    <s v="Strongly Agree"/>
    <s v="Discussability"/>
    <n v="5"/>
    <n v="100"/>
    <n v="1"/>
    <x v="7"/>
    <x v="4"/>
  </r>
  <r>
    <s v="R022"/>
    <s v="Q009"/>
    <s v="Strongly Agree"/>
    <s v="Achievability"/>
    <n v="5"/>
    <n v="100"/>
    <n v="1"/>
    <x v="8"/>
    <x v="4"/>
  </r>
  <r>
    <s v="R022"/>
    <s v="Q010"/>
    <s v="Agree"/>
    <s v="Achievability"/>
    <n v="4"/>
    <n v="80"/>
    <n v="1"/>
    <x v="9"/>
    <x v="4"/>
  </r>
  <r>
    <s v="R022"/>
    <s v="Q011"/>
    <s v="Agree"/>
    <s v="Achievability"/>
    <n v="4"/>
    <n v="80"/>
    <n v="1"/>
    <x v="10"/>
    <x v="4"/>
  </r>
  <r>
    <s v="R022"/>
    <s v="Q012"/>
    <s v="Disagree"/>
    <s v="Achievability"/>
    <n v="2"/>
    <n v="40"/>
    <n v="0"/>
    <x v="11"/>
    <x v="4"/>
  </r>
  <r>
    <s v="R022"/>
    <s v="Q013"/>
    <s v="Neutral"/>
    <s v="Enforcement"/>
    <n v="3"/>
    <n v="60"/>
    <n v="0"/>
    <x v="12"/>
    <x v="4"/>
  </r>
  <r>
    <s v="R022"/>
    <s v="Q014"/>
    <s v="Strongly Agree"/>
    <s v="Enforcement"/>
    <n v="5"/>
    <n v="100"/>
    <n v="1"/>
    <x v="13"/>
    <x v="4"/>
  </r>
  <r>
    <s v="R022"/>
    <s v="Q015"/>
    <s v="Agree"/>
    <s v="Enforcement"/>
    <n v="4"/>
    <n v="80"/>
    <n v="1"/>
    <x v="14"/>
    <x v="4"/>
  </r>
  <r>
    <s v="R022"/>
    <s v="Q016"/>
    <s v="Disagree"/>
    <s v="Enforcement"/>
    <n v="2"/>
    <n v="40"/>
    <n v="0"/>
    <x v="15"/>
    <x v="4"/>
  </r>
  <r>
    <s v="R022"/>
    <s v="Q017"/>
    <s v="Neutral"/>
    <s v="Clarity"/>
    <n v="3"/>
    <n v="60"/>
    <n v="0"/>
    <x v="16"/>
    <x v="4"/>
  </r>
  <r>
    <s v="R022"/>
    <s v="Q018"/>
    <s v="Strongly Agree"/>
    <s v="Clarity"/>
    <n v="5"/>
    <n v="100"/>
    <n v="1"/>
    <x v="17"/>
    <x v="4"/>
  </r>
  <r>
    <s v="R022"/>
    <s v="Q019"/>
    <s v="Strongly Agree"/>
    <s v="Clarity"/>
    <n v="5"/>
    <n v="100"/>
    <n v="1"/>
    <x v="18"/>
    <x v="4"/>
  </r>
  <r>
    <s v="R022"/>
    <s v="Q020"/>
    <s v="Agree"/>
    <s v="Clarity"/>
    <n v="4"/>
    <n v="80"/>
    <n v="1"/>
    <x v="19"/>
    <x v="4"/>
  </r>
  <r>
    <s v="R022"/>
    <s v="Q021"/>
    <s v="Disagree"/>
    <s v="Transparency"/>
    <n v="2"/>
    <n v="40"/>
    <n v="0"/>
    <x v="20"/>
    <x v="4"/>
  </r>
  <r>
    <s v="R022"/>
    <s v="Q022"/>
    <s v="Neutral"/>
    <s v="Transparency"/>
    <n v="3"/>
    <n v="60"/>
    <n v="0"/>
    <x v="21"/>
    <x v="4"/>
  </r>
  <r>
    <s v="R022"/>
    <s v="Q023"/>
    <s v="Strongly Agree"/>
    <s v="Transparency"/>
    <n v="5"/>
    <n v="100"/>
    <n v="1"/>
    <x v="22"/>
    <x v="4"/>
  </r>
  <r>
    <s v="R022"/>
    <s v="Q024"/>
    <s v="Agree"/>
    <s v="Transparency"/>
    <n v="4"/>
    <n v="80"/>
    <n v="1"/>
    <x v="23"/>
    <x v="4"/>
  </r>
  <r>
    <s v="R022"/>
    <s v="Q025"/>
    <s v="Disagree"/>
    <s v="Commitment"/>
    <n v="2"/>
    <n v="40"/>
    <n v="0"/>
    <x v="24"/>
    <x v="4"/>
  </r>
  <r>
    <s v="R022"/>
    <s v="Q026"/>
    <s v="Neutral"/>
    <s v="Commitment"/>
    <n v="3"/>
    <n v="60"/>
    <n v="0"/>
    <x v="25"/>
    <x v="4"/>
  </r>
  <r>
    <s v="R022"/>
    <s v="Q027"/>
    <s v="Strongly Agree"/>
    <s v="Commitment"/>
    <n v="5"/>
    <n v="100"/>
    <n v="1"/>
    <x v="26"/>
    <x v="4"/>
  </r>
  <r>
    <s v="R022"/>
    <s v="Q028"/>
    <s v="Strongly Agree"/>
    <s v="Commitment"/>
    <n v="5"/>
    <n v="100"/>
    <n v="1"/>
    <x v="27"/>
    <x v="4"/>
  </r>
  <r>
    <s v="R022"/>
    <s v="Q029"/>
    <s v="Agree"/>
    <s v="Call someone to account"/>
    <n v="4"/>
    <n v="80"/>
    <n v="1"/>
    <x v="28"/>
    <x v="4"/>
  </r>
  <r>
    <s v="R022"/>
    <s v="Q030"/>
    <s v="Agree"/>
    <s v="Call someone to account"/>
    <n v="4"/>
    <n v="80"/>
    <n v="1"/>
    <x v="29"/>
    <x v="4"/>
  </r>
  <r>
    <s v="R022"/>
    <s v="Q031"/>
    <s v="Agree"/>
    <s v="Call someone to account"/>
    <n v="4"/>
    <n v="80"/>
    <n v="1"/>
    <x v="30"/>
    <x v="4"/>
  </r>
  <r>
    <s v="R022"/>
    <s v="Q032"/>
    <s v="Agree"/>
    <s v="Call someone to account"/>
    <n v="4"/>
    <n v="80"/>
    <n v="1"/>
    <x v="31"/>
    <x v="4"/>
  </r>
  <r>
    <s v="R023"/>
    <s v="Q001"/>
    <s v="Neutral"/>
    <s v="Role Modelling"/>
    <n v="3"/>
    <n v="60"/>
    <n v="0"/>
    <x v="0"/>
    <x v="5"/>
  </r>
  <r>
    <s v="R023"/>
    <s v="Q002"/>
    <s v="Strongly Agree"/>
    <s v="Role Modelling"/>
    <n v="5"/>
    <n v="100"/>
    <n v="1"/>
    <x v="1"/>
    <x v="5"/>
  </r>
  <r>
    <s v="R023"/>
    <s v="Q003"/>
    <s v="Strongly Agree"/>
    <s v="Role Modelling"/>
    <n v="5"/>
    <n v="100"/>
    <n v="1"/>
    <x v="2"/>
    <x v="5"/>
  </r>
  <r>
    <s v="R023"/>
    <s v="Q004"/>
    <s v="Agree"/>
    <s v="Role Modelling"/>
    <n v="4"/>
    <n v="80"/>
    <n v="1"/>
    <x v="3"/>
    <x v="5"/>
  </r>
  <r>
    <s v="R023"/>
    <s v="Q005"/>
    <s v="Agree"/>
    <s v="Discussability"/>
    <n v="4"/>
    <n v="80"/>
    <n v="1"/>
    <x v="4"/>
    <x v="5"/>
  </r>
  <r>
    <s v="R023"/>
    <s v="Q006"/>
    <s v="Strongly Agree"/>
    <s v="Discussability"/>
    <n v="5"/>
    <n v="100"/>
    <n v="1"/>
    <x v="5"/>
    <x v="5"/>
  </r>
  <r>
    <s v="R023"/>
    <s v="Q007"/>
    <s v="Strongly Agree"/>
    <s v="Discussability"/>
    <n v="5"/>
    <n v="100"/>
    <n v="1"/>
    <x v="6"/>
    <x v="5"/>
  </r>
  <r>
    <s v="R023"/>
    <s v="Q008"/>
    <s v="Strongly Agree"/>
    <s v="Discussability"/>
    <n v="5"/>
    <n v="100"/>
    <n v="1"/>
    <x v="7"/>
    <x v="5"/>
  </r>
  <r>
    <s v="R023"/>
    <s v="Q009"/>
    <s v="Strongly Agree"/>
    <s v="Achievability"/>
    <n v="5"/>
    <n v="100"/>
    <n v="1"/>
    <x v="8"/>
    <x v="5"/>
  </r>
  <r>
    <s v="R023"/>
    <s v="Q010"/>
    <s v="Strongly Agree"/>
    <s v="Achievability"/>
    <n v="5"/>
    <n v="100"/>
    <n v="1"/>
    <x v="9"/>
    <x v="5"/>
  </r>
  <r>
    <s v="R023"/>
    <s v="Q011"/>
    <s v="Agree"/>
    <s v="Achievability"/>
    <n v="4"/>
    <n v="80"/>
    <n v="1"/>
    <x v="10"/>
    <x v="5"/>
  </r>
  <r>
    <s v="R023"/>
    <s v="Q012"/>
    <s v="Disagree"/>
    <s v="Achievability"/>
    <n v="2"/>
    <n v="40"/>
    <n v="0"/>
    <x v="11"/>
    <x v="5"/>
  </r>
  <r>
    <s v="R023"/>
    <s v="Q013"/>
    <s v="Neutral"/>
    <s v="Enforcement"/>
    <n v="3"/>
    <n v="60"/>
    <n v="0"/>
    <x v="12"/>
    <x v="5"/>
  </r>
  <r>
    <s v="R023"/>
    <s v="Q014"/>
    <s v="Strongly Agree"/>
    <s v="Enforcement"/>
    <n v="5"/>
    <n v="100"/>
    <n v="1"/>
    <x v="13"/>
    <x v="5"/>
  </r>
  <r>
    <s v="R023"/>
    <s v="Q015"/>
    <s v="Agree"/>
    <s v="Enforcement"/>
    <n v="4"/>
    <n v="80"/>
    <n v="1"/>
    <x v="14"/>
    <x v="5"/>
  </r>
  <r>
    <s v="R023"/>
    <s v="Q016"/>
    <s v="Disagree"/>
    <s v="Enforcement"/>
    <n v="2"/>
    <n v="40"/>
    <n v="0"/>
    <x v="15"/>
    <x v="5"/>
  </r>
  <r>
    <s v="R023"/>
    <s v="Q017"/>
    <s v="Neutral"/>
    <s v="Clarity"/>
    <n v="3"/>
    <n v="60"/>
    <n v="0"/>
    <x v="16"/>
    <x v="5"/>
  </r>
  <r>
    <s v="R023"/>
    <s v="Q018"/>
    <s v="Strongly Agree"/>
    <s v="Clarity"/>
    <n v="5"/>
    <n v="100"/>
    <n v="1"/>
    <x v="17"/>
    <x v="5"/>
  </r>
  <r>
    <s v="R023"/>
    <s v="Q019"/>
    <s v="Strongly Agree"/>
    <s v="Clarity"/>
    <n v="5"/>
    <n v="100"/>
    <n v="1"/>
    <x v="18"/>
    <x v="5"/>
  </r>
  <r>
    <s v="R023"/>
    <s v="Q020"/>
    <s v="Agree"/>
    <s v="Clarity"/>
    <n v="4"/>
    <n v="80"/>
    <n v="1"/>
    <x v="19"/>
    <x v="5"/>
  </r>
  <r>
    <s v="R023"/>
    <s v="Q021"/>
    <s v="Agree"/>
    <s v="Transparency"/>
    <n v="4"/>
    <n v="80"/>
    <n v="1"/>
    <x v="20"/>
    <x v="5"/>
  </r>
  <r>
    <s v="R023"/>
    <s v="Q022"/>
    <s v="Agree"/>
    <s v="Transparency"/>
    <n v="4"/>
    <n v="80"/>
    <n v="1"/>
    <x v="21"/>
    <x v="5"/>
  </r>
  <r>
    <s v="R023"/>
    <s v="Q023"/>
    <s v="Neutral"/>
    <s v="Transparency"/>
    <n v="3"/>
    <n v="60"/>
    <n v="0"/>
    <x v="22"/>
    <x v="5"/>
  </r>
  <r>
    <s v="R023"/>
    <s v="Q024"/>
    <s v="Strongly Agree"/>
    <s v="Transparency"/>
    <n v="5"/>
    <n v="100"/>
    <n v="1"/>
    <x v="23"/>
    <x v="5"/>
  </r>
  <r>
    <s v="R023"/>
    <s v="Q025"/>
    <s v="Strongly Agree"/>
    <s v="Commitment"/>
    <n v="5"/>
    <n v="100"/>
    <n v="1"/>
    <x v="24"/>
    <x v="5"/>
  </r>
  <r>
    <s v="R023"/>
    <s v="Q026"/>
    <s v="Agree"/>
    <s v="Commitment"/>
    <n v="4"/>
    <n v="80"/>
    <n v="1"/>
    <x v="25"/>
    <x v="5"/>
  </r>
  <r>
    <s v="R023"/>
    <s v="Q027"/>
    <s v="Agree"/>
    <s v="Commitment"/>
    <n v="4"/>
    <n v="80"/>
    <n v="1"/>
    <x v="26"/>
    <x v="5"/>
  </r>
  <r>
    <s v="R023"/>
    <s v="Q028"/>
    <s v="Agree"/>
    <s v="Commitment"/>
    <n v="4"/>
    <n v="80"/>
    <n v="1"/>
    <x v="27"/>
    <x v="5"/>
  </r>
  <r>
    <s v="R023"/>
    <s v="Q029"/>
    <s v="Disagree"/>
    <s v="Call someone to account"/>
    <n v="2"/>
    <n v="40"/>
    <n v="0"/>
    <x v="28"/>
    <x v="5"/>
  </r>
  <r>
    <s v="R023"/>
    <s v="Q030"/>
    <s v="Neutral"/>
    <s v="Call someone to account"/>
    <n v="3"/>
    <n v="60"/>
    <n v="0"/>
    <x v="29"/>
    <x v="5"/>
  </r>
  <r>
    <s v="R023"/>
    <s v="Q031"/>
    <s v="Strongly Agree"/>
    <s v="Call someone to account"/>
    <n v="5"/>
    <n v="100"/>
    <n v="1"/>
    <x v="30"/>
    <x v="5"/>
  </r>
  <r>
    <s v="R023"/>
    <s v="Q032"/>
    <s v="Agree"/>
    <s v="Call someone to account"/>
    <n v="4"/>
    <n v="80"/>
    <n v="1"/>
    <x v="31"/>
    <x v="5"/>
  </r>
  <r>
    <s v="R024"/>
    <s v="Q001"/>
    <s v="Disagree"/>
    <s v="Role Modelling"/>
    <n v="2"/>
    <n v="40"/>
    <n v="0"/>
    <x v="0"/>
    <x v="5"/>
  </r>
  <r>
    <s v="R024"/>
    <s v="Q002"/>
    <s v="Neutral"/>
    <s v="Role Modelling"/>
    <n v="3"/>
    <n v="60"/>
    <n v="0"/>
    <x v="1"/>
    <x v="5"/>
  </r>
  <r>
    <s v="R024"/>
    <s v="Q003"/>
    <s v="Strongly Agree"/>
    <s v="Role Modelling"/>
    <n v="5"/>
    <n v="100"/>
    <n v="1"/>
    <x v="2"/>
    <x v="5"/>
  </r>
  <r>
    <s v="R024"/>
    <s v="Q004"/>
    <s v="Strongly Agree"/>
    <s v="Role Modelling"/>
    <n v="5"/>
    <n v="100"/>
    <n v="1"/>
    <x v="3"/>
    <x v="5"/>
  </r>
  <r>
    <s v="R024"/>
    <s v="Q005"/>
    <s v="Agree"/>
    <s v="Discussability"/>
    <n v="4"/>
    <n v="80"/>
    <n v="1"/>
    <x v="4"/>
    <x v="5"/>
  </r>
  <r>
    <s v="R024"/>
    <s v="Q006"/>
    <s v="Strongly Agree"/>
    <s v="Discussability"/>
    <n v="5"/>
    <n v="100"/>
    <n v="1"/>
    <x v="5"/>
    <x v="5"/>
  </r>
  <r>
    <s v="R024"/>
    <s v="Q007"/>
    <s v="Agree"/>
    <s v="Discussability"/>
    <n v="4"/>
    <n v="80"/>
    <n v="1"/>
    <x v="6"/>
    <x v="5"/>
  </r>
  <r>
    <s v="R024"/>
    <s v="Q008"/>
    <s v="Agree"/>
    <s v="Discussability"/>
    <n v="4"/>
    <n v="80"/>
    <n v="1"/>
    <x v="7"/>
    <x v="5"/>
  </r>
  <r>
    <s v="R024"/>
    <s v="Q009"/>
    <s v="Agree"/>
    <s v="Achievability"/>
    <n v="4"/>
    <n v="80"/>
    <n v="1"/>
    <x v="8"/>
    <x v="5"/>
  </r>
  <r>
    <s v="R024"/>
    <s v="Q010"/>
    <s v="Agree"/>
    <s v="Achievability"/>
    <n v="4"/>
    <n v="80"/>
    <n v="1"/>
    <x v="9"/>
    <x v="5"/>
  </r>
  <r>
    <s v="R024"/>
    <s v="Q011"/>
    <s v="Agree"/>
    <s v="Achievability"/>
    <n v="4"/>
    <n v="80"/>
    <n v="1"/>
    <x v="10"/>
    <x v="5"/>
  </r>
  <r>
    <s v="R024"/>
    <s v="Q012"/>
    <s v="Agree"/>
    <s v="Achievability"/>
    <n v="4"/>
    <n v="80"/>
    <n v="1"/>
    <x v="11"/>
    <x v="5"/>
  </r>
  <r>
    <s v="R024"/>
    <s v="Q013"/>
    <s v="Agree"/>
    <s v="Enforcement"/>
    <n v="4"/>
    <n v="80"/>
    <n v="1"/>
    <x v="12"/>
    <x v="5"/>
  </r>
  <r>
    <s v="R024"/>
    <s v="Q014"/>
    <s v="Agree"/>
    <s v="Enforcement"/>
    <n v="4"/>
    <n v="80"/>
    <n v="1"/>
    <x v="13"/>
    <x v="5"/>
  </r>
  <r>
    <s v="R024"/>
    <s v="Q015"/>
    <s v="Neutral"/>
    <s v="Enforcement"/>
    <n v="3"/>
    <n v="60"/>
    <n v="0"/>
    <x v="14"/>
    <x v="5"/>
  </r>
  <r>
    <s v="R024"/>
    <s v="Q016"/>
    <s v="Strongly Agree"/>
    <s v="Enforcement"/>
    <n v="5"/>
    <n v="100"/>
    <n v="1"/>
    <x v="15"/>
    <x v="5"/>
  </r>
  <r>
    <s v="R024"/>
    <s v="Q017"/>
    <s v="Strongly Agree"/>
    <s v="Clarity"/>
    <n v="5"/>
    <n v="100"/>
    <n v="1"/>
    <x v="16"/>
    <x v="5"/>
  </r>
  <r>
    <s v="R024"/>
    <s v="Q018"/>
    <s v="Agree"/>
    <s v="Clarity"/>
    <n v="4"/>
    <n v="80"/>
    <n v="1"/>
    <x v="17"/>
    <x v="5"/>
  </r>
  <r>
    <s v="R024"/>
    <s v="Q019"/>
    <s v="Agree"/>
    <s v="Clarity"/>
    <n v="4"/>
    <n v="80"/>
    <n v="1"/>
    <x v="18"/>
    <x v="5"/>
  </r>
  <r>
    <s v="R024"/>
    <s v="Q020"/>
    <s v="Strongly Agree"/>
    <s v="Clarity"/>
    <n v="5"/>
    <n v="100"/>
    <n v="1"/>
    <x v="19"/>
    <x v="5"/>
  </r>
  <r>
    <s v="R024"/>
    <s v="Q021"/>
    <s v="Strongly Agree"/>
    <s v="Transparency"/>
    <n v="5"/>
    <n v="100"/>
    <n v="1"/>
    <x v="20"/>
    <x v="5"/>
  </r>
  <r>
    <s v="R024"/>
    <s v="Q022"/>
    <s v="Strongly Agree"/>
    <s v="Transparency"/>
    <n v="5"/>
    <n v="100"/>
    <n v="1"/>
    <x v="21"/>
    <x v="5"/>
  </r>
  <r>
    <s v="R024"/>
    <s v="Q023"/>
    <s v="Agree"/>
    <s v="Transparency"/>
    <n v="4"/>
    <n v="80"/>
    <n v="1"/>
    <x v="22"/>
    <x v="5"/>
  </r>
  <r>
    <s v="R024"/>
    <s v="Q024"/>
    <s v="Disagree"/>
    <s v="Transparency"/>
    <n v="2"/>
    <n v="40"/>
    <n v="0"/>
    <x v="23"/>
    <x v="5"/>
  </r>
  <r>
    <s v="R024"/>
    <s v="Q025"/>
    <s v="Neutral"/>
    <s v="Commitment"/>
    <n v="3"/>
    <n v="60"/>
    <n v="0"/>
    <x v="24"/>
    <x v="5"/>
  </r>
  <r>
    <s v="R024"/>
    <s v="Q026"/>
    <s v="Strongly Agree"/>
    <s v="Commitment"/>
    <n v="5"/>
    <n v="100"/>
    <n v="1"/>
    <x v="25"/>
    <x v="5"/>
  </r>
  <r>
    <s v="R024"/>
    <s v="Q027"/>
    <s v="Agree"/>
    <s v="Commitment"/>
    <n v="4"/>
    <n v="80"/>
    <n v="1"/>
    <x v="26"/>
    <x v="5"/>
  </r>
  <r>
    <s v="R024"/>
    <s v="Q028"/>
    <s v="Disagree"/>
    <s v="Commitment"/>
    <n v="2"/>
    <n v="40"/>
    <n v="0"/>
    <x v="27"/>
    <x v="5"/>
  </r>
  <r>
    <s v="R024"/>
    <s v="Q029"/>
    <s v="Neutral"/>
    <s v="Call someone to account"/>
    <n v="3"/>
    <n v="60"/>
    <n v="0"/>
    <x v="28"/>
    <x v="5"/>
  </r>
  <r>
    <s v="R024"/>
    <s v="Q030"/>
    <s v="Strongly Agree"/>
    <s v="Call someone to account"/>
    <n v="5"/>
    <n v="100"/>
    <n v="1"/>
    <x v="29"/>
    <x v="5"/>
  </r>
  <r>
    <s v="R024"/>
    <s v="Q031"/>
    <s v="Strongly Agree"/>
    <s v="Call someone to account"/>
    <n v="5"/>
    <n v="100"/>
    <n v="1"/>
    <x v="30"/>
    <x v="5"/>
  </r>
  <r>
    <s v="R024"/>
    <s v="Q032"/>
    <s v="Agree"/>
    <s v="Call someone to account"/>
    <n v="4"/>
    <n v="80"/>
    <n v="1"/>
    <x v="31"/>
    <x v="5"/>
  </r>
  <r>
    <s v="R025"/>
    <s v="Q001"/>
    <s v="Agree"/>
    <s v="Role Modelling"/>
    <n v="4"/>
    <n v="80"/>
    <n v="1"/>
    <x v="0"/>
    <x v="1"/>
  </r>
  <r>
    <s v="R025"/>
    <s v="Q002"/>
    <s v="Agree"/>
    <s v="Role Modelling"/>
    <n v="4"/>
    <n v="80"/>
    <n v="1"/>
    <x v="1"/>
    <x v="1"/>
  </r>
  <r>
    <s v="R025"/>
    <s v="Q003"/>
    <s v="Neutral"/>
    <s v="Role Modelling"/>
    <n v="3"/>
    <n v="60"/>
    <n v="0"/>
    <x v="2"/>
    <x v="1"/>
  </r>
  <r>
    <s v="R025"/>
    <s v="Q004"/>
    <s v="Strongly Agree"/>
    <s v="Role Modelling"/>
    <n v="5"/>
    <n v="100"/>
    <n v="1"/>
    <x v="3"/>
    <x v="1"/>
  </r>
  <r>
    <s v="R025"/>
    <s v="Q005"/>
    <s v="Strongly Agree"/>
    <s v="Discussability"/>
    <n v="5"/>
    <n v="100"/>
    <n v="1"/>
    <x v="4"/>
    <x v="1"/>
  </r>
  <r>
    <s v="R025"/>
    <s v="Q006"/>
    <s v="Agree"/>
    <s v="Discussability"/>
    <n v="4"/>
    <n v="80"/>
    <n v="1"/>
    <x v="5"/>
    <x v="1"/>
  </r>
  <r>
    <s v="R025"/>
    <s v="Q007"/>
    <s v="Agree"/>
    <s v="Discussability"/>
    <n v="4"/>
    <n v="80"/>
    <n v="1"/>
    <x v="6"/>
    <x v="1"/>
  </r>
  <r>
    <s v="R025"/>
    <s v="Q008"/>
    <s v="Strongly Agree"/>
    <s v="Discussability"/>
    <n v="5"/>
    <n v="100"/>
    <n v="1"/>
    <x v="7"/>
    <x v="1"/>
  </r>
  <r>
    <s v="R025"/>
    <s v="Q009"/>
    <s v="Strongly Agree"/>
    <s v="Achievability"/>
    <n v="5"/>
    <n v="100"/>
    <n v="1"/>
    <x v="8"/>
    <x v="1"/>
  </r>
  <r>
    <s v="R025"/>
    <s v="Q010"/>
    <s v="Strongly Agree"/>
    <s v="Achievability"/>
    <n v="5"/>
    <n v="100"/>
    <n v="1"/>
    <x v="9"/>
    <x v="1"/>
  </r>
  <r>
    <s v="R025"/>
    <s v="Q011"/>
    <s v="Agree"/>
    <s v="Achievability"/>
    <n v="4"/>
    <n v="80"/>
    <n v="1"/>
    <x v="10"/>
    <x v="1"/>
  </r>
  <r>
    <s v="R025"/>
    <s v="Q012"/>
    <s v="Disagree"/>
    <s v="Achievability"/>
    <n v="2"/>
    <n v="40"/>
    <n v="0"/>
    <x v="11"/>
    <x v="1"/>
  </r>
  <r>
    <s v="R025"/>
    <s v="Q013"/>
    <s v="Neutral"/>
    <s v="Enforcement"/>
    <n v="3"/>
    <n v="60"/>
    <n v="0"/>
    <x v="12"/>
    <x v="1"/>
  </r>
  <r>
    <s v="R025"/>
    <s v="Q014"/>
    <s v="Strongly Agree"/>
    <s v="Enforcement"/>
    <n v="5"/>
    <n v="100"/>
    <n v="1"/>
    <x v="13"/>
    <x v="1"/>
  </r>
  <r>
    <s v="R025"/>
    <s v="Q015"/>
    <s v="Agree"/>
    <s v="Enforcement"/>
    <n v="4"/>
    <n v="80"/>
    <n v="1"/>
    <x v="14"/>
    <x v="1"/>
  </r>
  <r>
    <s v="R025"/>
    <s v="Q016"/>
    <s v="Disagree"/>
    <s v="Enforcement"/>
    <n v="2"/>
    <n v="40"/>
    <n v="0"/>
    <x v="15"/>
    <x v="1"/>
  </r>
  <r>
    <s v="R025"/>
    <s v="Q017"/>
    <s v="Neutral"/>
    <s v="Clarity"/>
    <n v="3"/>
    <n v="60"/>
    <n v="0"/>
    <x v="16"/>
    <x v="1"/>
  </r>
  <r>
    <s v="R025"/>
    <s v="Q018"/>
    <s v="Agree"/>
    <s v="Clarity"/>
    <n v="4"/>
    <n v="80"/>
    <n v="1"/>
    <x v="17"/>
    <x v="1"/>
  </r>
  <r>
    <s v="R025"/>
    <s v="Q019"/>
    <s v="Agree"/>
    <s v="Clarity"/>
    <n v="4"/>
    <n v="80"/>
    <n v="1"/>
    <x v="18"/>
    <x v="1"/>
  </r>
  <r>
    <s v="R025"/>
    <s v="Q020"/>
    <s v="Neutral"/>
    <s v="Clarity"/>
    <n v="3"/>
    <n v="60"/>
    <n v="0"/>
    <x v="19"/>
    <x v="1"/>
  </r>
  <r>
    <s v="R025"/>
    <s v="Q021"/>
    <s v="Strongly Agree"/>
    <s v="Transparency"/>
    <n v="5"/>
    <n v="100"/>
    <n v="1"/>
    <x v="20"/>
    <x v="1"/>
  </r>
  <r>
    <s v="R025"/>
    <s v="Q022"/>
    <s v="Strongly Agree"/>
    <s v="Transparency"/>
    <n v="5"/>
    <n v="100"/>
    <n v="1"/>
    <x v="21"/>
    <x v="1"/>
  </r>
  <r>
    <s v="R025"/>
    <s v="Q023"/>
    <s v="Agree"/>
    <s v="Transparency"/>
    <n v="4"/>
    <n v="80"/>
    <n v="1"/>
    <x v="22"/>
    <x v="1"/>
  </r>
  <r>
    <s v="R025"/>
    <s v="Q024"/>
    <s v="Agree"/>
    <s v="Transparency"/>
    <n v="4"/>
    <n v="80"/>
    <n v="1"/>
    <x v="23"/>
    <x v="1"/>
  </r>
  <r>
    <s v="R025"/>
    <s v="Q025"/>
    <s v="Strongly Agree"/>
    <s v="Commitment"/>
    <n v="5"/>
    <n v="100"/>
    <n v="1"/>
    <x v="24"/>
    <x v="1"/>
  </r>
  <r>
    <s v="R025"/>
    <s v="Q026"/>
    <s v="Strongly Agree"/>
    <s v="Commitment"/>
    <n v="5"/>
    <n v="100"/>
    <n v="1"/>
    <x v="25"/>
    <x v="1"/>
  </r>
  <r>
    <s v="R025"/>
    <s v="Q027"/>
    <s v="Strongly Agree"/>
    <s v="Commitment"/>
    <n v="5"/>
    <n v="100"/>
    <n v="1"/>
    <x v="26"/>
    <x v="1"/>
  </r>
  <r>
    <s v="R025"/>
    <s v="Q028"/>
    <s v="Agree"/>
    <s v="Commitment"/>
    <n v="4"/>
    <n v="80"/>
    <n v="1"/>
    <x v="27"/>
    <x v="1"/>
  </r>
  <r>
    <s v="R025"/>
    <s v="Q029"/>
    <s v="Disagree"/>
    <s v="Call someone to account"/>
    <n v="2"/>
    <n v="40"/>
    <n v="0"/>
    <x v="28"/>
    <x v="1"/>
  </r>
  <r>
    <s v="R025"/>
    <s v="Q030"/>
    <s v="Neutral"/>
    <s v="Call someone to account"/>
    <n v="3"/>
    <n v="60"/>
    <n v="0"/>
    <x v="29"/>
    <x v="1"/>
  </r>
  <r>
    <s v="R025"/>
    <s v="Q031"/>
    <s v="Strongly Agree"/>
    <s v="Call someone to account"/>
    <n v="5"/>
    <n v="100"/>
    <n v="1"/>
    <x v="30"/>
    <x v="1"/>
  </r>
  <r>
    <s v="R025"/>
    <s v="Q032"/>
    <s v="Agree"/>
    <s v="Call someone to account"/>
    <n v="4"/>
    <n v="80"/>
    <n v="1"/>
    <x v="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8A80C-B326-4666-8216-ABDF80356C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mension" colHeaderCaption="Functions">
  <location ref="A3:H37" firstHeaderRow="1" firstDataRow="2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3">
        <item x="5"/>
        <item x="27"/>
        <item x="8"/>
        <item x="18"/>
        <item x="16"/>
        <item x="30"/>
        <item x="7"/>
        <item x="20"/>
        <item x="14"/>
        <item x="26"/>
        <item x="31"/>
        <item x="19"/>
        <item x="1"/>
        <item x="22"/>
        <item x="23"/>
        <item x="2"/>
        <item x="0"/>
        <item x="12"/>
        <item x="3"/>
        <item x="24"/>
        <item x="4"/>
        <item x="6"/>
        <item x="13"/>
        <item x="28"/>
        <item x="10"/>
        <item x="11"/>
        <item x="25"/>
        <item x="15"/>
        <item x="29"/>
        <item x="21"/>
        <item x="17"/>
        <item x="9"/>
        <item t="default"/>
      </items>
    </pivotField>
    <pivotField axis="axisCol" showAll="0">
      <items count="7">
        <item x="3"/>
        <item x="1"/>
        <item x="0"/>
        <item x="4"/>
        <item x="2"/>
        <item x="5"/>
        <item t="default"/>
      </items>
    </pivotField>
  </pivotFields>
  <rowFields count="1">
    <field x="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Dimension x Functions" fld="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857CD1-29C5-412A-99D6-D0B7E3A14BE6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7" name="RespondentID" tableColumnId="7"/>
      <queryTableField id="1" name="QuestionID" tableColumnId="1"/>
      <queryTableField id="2" name="Question Text" tableColumnId="2"/>
      <queryTableField id="3" name="Response (user selects)" tableColumnId="3"/>
      <queryTableField id="4" name="Score_5" tableColumnId="4"/>
      <queryTableField id="5" name="Score_100" tableColumnId="5"/>
      <queryTableField id="6" name="SoftControl" tableColumnId="6"/>
      <queryTableField id="8" name="Response" tableColumnId="8"/>
      <queryTableField id="9" name="Scores" tableColumnId="9"/>
      <queryTableField id="10" name="FavorableFlag" tableColumnId="10"/>
      <queryTableField id="13" name="Dimensions" tableColumnId="12"/>
      <queryTableField id="12" dataBound="0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Questions" displayName="tblQuestions" ref="A1:F35">
  <autoFilter ref="A1:F35" xr:uid="{00000000-0009-0000-0100-000004000000}"/>
  <tableColumns count="6">
    <tableColumn id="1" xr3:uid="{00000000-0010-0000-0300-000001000000}" name="QuestionID"/>
    <tableColumn id="2" xr3:uid="{00000000-0010-0000-0300-000002000000}" name="QuestionText"/>
    <tableColumn id="3" xr3:uid="{00000000-0010-0000-0300-000003000000}" name="SoftControl"/>
    <tableColumn id="5" xr3:uid="{00000000-0010-0000-0300-000005000000}" name="Response"/>
    <tableColumn id="6" xr3:uid="{00000000-0010-0000-0300-000006000000}" name="Score Scale" dataDxfId="87">
      <calculatedColumnFormula>IF(tblQuestions[[#This Row],[Response]]="","",VALUE(CHOOSE(MATCH(tblQuestions[[#This Row],[Response]],{"Strongly Agree","Agree","Neutral","Disagree","Strongly Disagree"},0),5,4,3,2,1)))</calculatedColumnFormula>
    </tableColumn>
    <tableColumn id="4" xr3:uid="{8557DE92-EE41-48C4-8D4C-282EFEC5FFA6}" name="Score_100" dataDxfId="86">
      <calculatedColumnFormula>IF(tblQuestions[[#This Row],[Score Scale]]="","",tblQuestions[[#This Row],[Score Scale]]*20)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E202E1-0E25-44FB-B8E1-15CE95099812}" name="Table8" displayName="Table8" ref="A1:J36" totalsRowShown="0">
  <autoFilter ref="A1:J36" xr:uid="{07E202E1-0E25-44FB-B8E1-15CE95099812}"/>
  <tableColumns count="10">
    <tableColumn id="1" xr3:uid="{A7CE1FCE-C47C-4BEA-9B50-B6B67CB572FA}" name="QuestionID" dataDxfId="85"/>
    <tableColumn id="2" xr3:uid="{FBD52A1C-25D3-403B-ABFE-5238C6F534B8}" name="QuestionText" dataDxfId="84"/>
    <tableColumn id="3" xr3:uid="{773F6C55-890C-42C7-B905-125B55DAA19F}" name="SoftControl"/>
    <tableColumn id="4" xr3:uid="{D4C4D6DD-1EC2-47AE-90AD-094AF32F1694}" name="Dimensions" dataDxfId="83"/>
    <tableColumn id="7" xr3:uid="{D8C45546-2B83-4525-AD8B-7F08BFD0F9CA}" name="What it means to your organization" dataDxfId="82"/>
    <tableColumn id="6" xr3:uid="{4F6975E3-B5D9-496C-A5D9-7C637562C603}" name="Business Impact" dataDxfId="81"/>
    <tableColumn id="11" xr3:uid="{46C71245-8CFA-45B6-B2C9-0ED9B5A41569}" name="High Risk Statements" dataDxfId="80"/>
    <tableColumn id="10" xr3:uid="{12F82FC4-E717-4D55-86FA-290E8E0ED246}" name="Med Risk Statements" dataDxfId="79"/>
    <tableColumn id="9" xr3:uid="{63EF26AD-BCA4-423C-98D4-6EC061277808}" name="Low Risk Statements" dataDxfId="78"/>
    <tableColumn id="5" xr3:uid="{409E55C6-4283-453A-86EE-84D451AF8967}" name="Flagged" dataDxfId="7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93D592-316A-4860-956B-9BE646D9C70F}" name="Table7" displayName="Table7" ref="A1:I833" totalsRowShown="0" headerRowDxfId="76">
  <autoFilter ref="A1:I833" xr:uid="{3593D592-316A-4860-956B-9BE646D9C70F}"/>
  <tableColumns count="9">
    <tableColumn id="1" xr3:uid="{29086598-154E-4A9F-A5EE-50839D6C518D}" name="RespondentID"/>
    <tableColumn id="2" xr3:uid="{CEB0C6A9-CAEA-4A40-B4FB-88B781910FCB}" name="QuestionID"/>
    <tableColumn id="3" xr3:uid="{BFC35D49-73B6-4B90-B74D-33B9A36624F3}" name="Response"/>
    <tableColumn id="4" xr3:uid="{915A5BF4-3E5C-4E79-A244-4F4A378A96EE}" name="SoftControl" dataDxfId="75">
      <calculatedColumnFormula>VLOOKUP(Table7[[#This Row],[QuestionID]], FinalQuestions!$A:$C, 3, FALSE)</calculatedColumnFormula>
    </tableColumn>
    <tableColumn id="5" xr3:uid="{F1806AF6-39F3-42FE-9270-D88B9066EB86}" name="Scores" dataDxfId="74">
      <calculatedColumnFormula>IF(Table7[[#This Row],[Response]]="","",CHOOSE(MATCH(Table7[[#This Row],[Response]],{"Strongly Agree","Agree","Neutral","Disagree","Strongly Disagree","Not Applicable"},0),5,4,3,2,1,""))</calculatedColumnFormula>
    </tableColumn>
    <tableColumn id="6" xr3:uid="{4E80D920-7FB7-41D0-B523-83EBAA69143E}" name="Score_100" dataDxfId="73">
      <calculatedColumnFormula>Table7[[#This Row],[Scores]] * 20</calculatedColumnFormula>
    </tableColumn>
    <tableColumn id="7" xr3:uid="{761D57DD-CAC1-4DA2-B464-15E608955B61}" name="FavorableFlag" dataDxfId="72">
      <calculatedColumnFormula>IF(OR(Table7[[#This Row],[Response]]="Strongly Agree",Table7[[#This Row],[Response]]="Agree"),1,0)</calculatedColumnFormula>
    </tableColumn>
    <tableColumn id="8" xr3:uid="{B14DB55A-C061-432A-8ABC-E631C140D0EA}" name="Dimensions" dataDxfId="71">
      <calculatedColumnFormula>_xlfn.XLOOKUP(Table7[[#This Row],[QuestionID]], FinalQuestions!$A:$A, FinalQuestions!$D:$D,"")</calculatedColumnFormula>
    </tableColumn>
    <tableColumn id="11" xr3:uid="{8DE9C44C-CBC1-43F6-93ED-AE1B2217804F}" name="Function" dataDxfId="7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BE9FC3B-0B80-4A43-82BE-C50591C03DA5}" name="Table17" displayName="Table17" ref="A26:B28" totalsRowShown="0">
  <autoFilter ref="A26:B28" xr:uid="{DBE9FC3B-0B80-4A43-82BE-C50591C03DA5}"/>
  <tableColumns count="2">
    <tableColumn id="1" xr3:uid="{295463B2-92AF-40AA-81D5-2C914AAE458F}" name="KPI"/>
    <tableColumn id="2" xr3:uid="{E90C54B6-4350-45B9-8C1C-74E38CD40A31}" name="Value">
      <calculatedColumnFormula>INDEX($A$10:$A$16, MATCH(MIN($B$10:$B$16), $B$10:$B$16, 0)) &amp; " (" &amp; MIN($B$10:$B$16) &amp; ")"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5D8D7-E6D5-4906-94B5-7A1469EA393D}" name="Table1" displayName="Table1" ref="A1:B6" totalsRowShown="0" headerRowDxfId="69" dataDxfId="68">
  <autoFilter ref="A1:B6" xr:uid="{81A5D8D7-E6D5-4906-94B5-7A1469EA393D}"/>
  <tableColumns count="2">
    <tableColumn id="1" xr3:uid="{0FC7D137-DE61-4BC1-A5D4-9272A02BD637}" name="Metric" dataDxfId="67"/>
    <tableColumn id="2" xr3:uid="{1C115AC8-7146-4AC8-89EA-FEB391AF7A9C}" name="Value" dataDxfId="6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99AA60-8D5A-4650-9395-F19E870C9C96}" name="Table5" displayName="Table5" ref="A55:B58" totalsRowShown="0">
  <autoFilter ref="A55:B58" xr:uid="{9999AA60-8D5A-4650-9395-F19E870C9C96}"/>
  <tableColumns count="2">
    <tableColumn id="1" xr3:uid="{16524329-AFEE-4D2D-B6AC-B83847E2B96E}" name="Column1"/>
    <tableColumn id="2" xr3:uid="{EFFA1728-1BD2-4485-9637-232CF3538D19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8F1B88-DDB7-4115-BA67-F6713A80B807}" name="Table6" displayName="Table6" ref="A72:B80" totalsRowShown="0" tableBorderDxfId="65">
  <autoFilter ref="A72:B80" xr:uid="{898F1B88-DDB7-4115-BA67-F6713A80B807}"/>
  <tableColumns count="2">
    <tableColumn id="1" xr3:uid="{E9FCA38A-39DF-468A-BC78-1434D765F37D}" name="SoftControl" dataDxfId="64"/>
    <tableColumn id="2" xr3:uid="{33743DEC-B021-43ED-A73F-CA21889770D7}" name="Score ">
      <calculatedColumnFormula>IFERROR(ROUND(AVERAGEIFS(Responses!$F:$F,Responses!$D:$D,$A73),0),"")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25F534-811B-48C8-8471-B062EBB32ADD}" name="Table16" displayName="Table16" ref="P9:P10" totalsRowShown="0" headerRowDxfId="63" headerRowBorderDxfId="62" tableBorderDxfId="61">
  <autoFilter ref="P9:P10" xr:uid="{6325F534-811B-48C8-8471-B062EBB32ADD}"/>
  <tableColumns count="1">
    <tableColumn id="1" xr3:uid="{214AB9E6-0B3B-46CC-B71D-B2373C89AF12}" name="Risk Culture Index">
      <calculatedColumnFormula>IFERROR(AVERAGE(Responses!$F:$F), "")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2D3F47-96F7-4D2C-ADA8-F455DEA68E51}" name="Table119" displayName="Table119" ref="A1:I11" totalsRowShown="0" headerRowDxfId="60" headerRowBorderDxfId="59" tableBorderDxfId="58">
  <autoFilter ref="A1:I11" xr:uid="{6F2D3F47-96F7-4D2C-ADA8-F455DEA68E51}"/>
  <tableColumns count="9">
    <tableColumn id="1" xr3:uid="{7CBAA099-FA6E-4ECF-8D7F-B98F03D862F5}" name="Sector"/>
    <tableColumn id="2" xr3:uid="{B089236E-6675-4661-B53B-6C9BD9562C79}" name="Transparency"/>
    <tableColumn id="3" xr3:uid="{785E18C2-106E-4FAE-AFE8-10F5009206CD}" name="Clarity"/>
    <tableColumn id="4" xr3:uid="{009D22B1-75B3-4B8B-AC68-03AA07A4C98C}" name="Achievability"/>
    <tableColumn id="5" xr3:uid="{9C2AE8B6-E29E-49A8-AEE7-0E7771BF7375}" name="Role Modelling"/>
    <tableColumn id="6" xr3:uid="{57262D95-606F-408F-87AE-5047A200A839}" name="Commitment"/>
    <tableColumn id="7" xr3:uid="{801C832B-050D-4648-8D60-2BB6B703A7E5}" name="Discussability"/>
    <tableColumn id="8" xr3:uid="{CBE354B9-8A32-490D-8280-C6CBA5E428B5}" name="Calling to Account"/>
    <tableColumn id="9" xr3:uid="{C0A1AAA9-15DB-4324-99B5-89249434568D}" name="Enforceme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C22BE5-74FF-4576-8392-1D4F5082F494}" name="Table10" displayName="Table10" ref="A1:F201" totalsRowShown="0" headerRowDxfId="57">
  <autoFilter ref="A1:F201" xr:uid="{30C22BE5-74FF-4576-8392-1D4F5082F494}">
    <filterColumn colId="0">
      <filters>
        <filter val="R001"/>
      </filters>
    </filterColumn>
  </autoFilter>
  <tableColumns count="6">
    <tableColumn id="1" xr3:uid="{5DFAFCE9-F3BF-4CA9-9AC9-6EEAFA72093F}" name="RespondentID"/>
    <tableColumn id="2" xr3:uid="{6874566D-5153-4CAA-8B64-4745B6A05835}" name="SoftControl" dataDxfId="56"/>
    <tableColumn id="3" xr3:uid="{E0467896-273A-43C2-96C7-1C94617594C4}" name="Avg Scores">
      <calculatedColumnFormula>IFERROR(AVERAGEIFS(Responses!$E:$E,Responses!$A:$A,$A2,Responses!$D:$D,$B2),"")</calculatedColumnFormula>
    </tableColumn>
    <tableColumn id="4" xr3:uid="{EF3CF560-D213-452F-9C23-1866ABADE1AB}" name="AvgScore100" dataDxfId="55">
      <calculatedColumnFormula>IFERROR(AVERAGEIFS(Responses!$F:$F,Responses!$A:$A,$A2,Responses!$D:$D,$B2),"")</calculatedColumnFormula>
    </tableColumn>
    <tableColumn id="5" xr3:uid="{8E35B410-3B20-4CD1-B647-75BD97ACAE5E}" name="Favorable%" dataDxfId="54">
      <calculatedColumnFormula>IFERROR(SUMIFS(Responses!$G:$G,Responses!$A:$A,$A2,Responses!$D:$D,$B2)/COUNTIFS(Responses!$A:$A,$A2,Responses!$D:$D,$B2),0)*100</calculatedColumnFormula>
    </tableColumn>
    <tableColumn id="6" xr3:uid="{54301BFA-EA6A-457A-8599-AB60FC1C445C}" name="Total_Qs" dataDxfId="53">
      <calculatedColumnFormula>COUNTIFS(Responses!$A:$A,$A2,Responses!$D:$D,$B2)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5ED236-72F2-4989-AB02-0DC2A897E26F}" name="Table9" displayName="Table9" ref="A1:F9" totalsRowShown="0" headerRowDxfId="52">
  <autoFilter ref="A1:F9" xr:uid="{465ED236-72F2-4989-AB02-0DC2A897E26F}"/>
  <tableColumns count="6">
    <tableColumn id="1" xr3:uid="{6978587E-CBD2-4D67-8FB8-C4984D6963C3}" name="SoftControl" dataDxfId="51"/>
    <tableColumn id="2" xr3:uid="{7A919D1D-F685-4258-B854-4DD48FD56D3C}" name="Avg Scores" dataDxfId="50">
      <calculatedColumnFormula>AVERAGEIF(Responses!$D:$D, A2, Responses!$E:$E)</calculatedColumnFormula>
    </tableColumn>
    <tableColumn id="3" xr3:uid="{DC929F77-7328-4C59-B9A7-D4ADF18CE340}" name="AvgScore100" dataDxfId="49">
      <calculatedColumnFormula>IFERROR(ROUND(AVERAGEIF(Responses!$D:$D, A2, Responses!$F:$F), 0), "")</calculatedColumnFormula>
    </tableColumn>
    <tableColumn id="4" xr3:uid="{349490FB-6F8E-4AF9-8A1C-3425AC161145}" name="Total_Questions" dataDxfId="48">
      <calculatedColumnFormula>COUNTIF(FinalQuestions!C:C, A2)</calculatedColumnFormula>
    </tableColumn>
    <tableColumn id="5" xr3:uid="{9F8AE413-ECCC-48BE-8DA3-38836F6476E7}" name="Favorable%" dataDxfId="47">
      <calculatedColumnFormula>SUMIFS(Responses!G:G, Responses!D:D, A2) / COUNTIFS(Responses!D:D, A2)*100</calculatedColumnFormula>
    </tableColumn>
    <tableColumn id="6" xr3:uid="{2572CD31-D888-4E6F-92E2-F24F31ECFA27}" name="Risk_Level" dataDxfId="46">
      <calculatedColumnFormula>IF(Table9[[#This Row],[AvgScore100]]&gt;=80,"Low",IF(Table9[[#This Row],[AvgScore100]]&gt;=60,"Medium","High"))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29382FB-2B7A-4D35-B1FF-7597045329EB}" name="Table15" displayName="Table15" ref="A19:B27" totalsRowShown="0" headerRowDxfId="45" headerRowBorderDxfId="44">
  <autoFilter ref="A19:B27" xr:uid="{029382FB-2B7A-4D35-B1FF-7597045329EB}"/>
  <tableColumns count="2">
    <tableColumn id="1" xr3:uid="{943B5C5E-1D5A-465E-8A5C-FDC47578426A}" name="SoftControl" dataDxfId="43"/>
    <tableColumn id="2" xr3:uid="{E15040E1-105F-4421-9E9D-E6F142058E62}" name="AvgScore100">
      <calculatedColumnFormula>IFERROR(ROUND(AVERAGEIF(Responses!$D:$D, A2, Responses!$F:$F), 0), "")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B54383-233C-411E-986F-CCD7664741CE}" name="Table11" displayName="Table11" ref="A4:G36" totalsRowShown="0" headerRowDxfId="42">
  <autoFilter ref="A4:G36" xr:uid="{B0B54383-233C-411E-986F-CCD7664741CE}"/>
  <tableColumns count="7">
    <tableColumn id="7" xr3:uid="{406B1151-F800-430A-BCC2-703BE75D50AA}" name="RespondentID" dataDxfId="41">
      <calculatedColumnFormula>$B$1</calculatedColumnFormula>
    </tableColumn>
    <tableColumn id="1" xr3:uid="{B9226BBF-04D7-41E3-B443-33225F1898AE}" name="QuestionID">
      <calculatedColumnFormula array="1">INDEX(FinalQuestions!$A:$A, ROW()-3)</calculatedColumnFormula>
    </tableColumn>
    <tableColumn id="2" xr3:uid="{16DC050A-7046-43FF-AD16-F098F8C3788B}" name="Question Text">
      <calculatedColumnFormula array="1">INDEX(FinalQuestions!$B:$B, ROW()-3)</calculatedColumnFormula>
    </tableColumn>
    <tableColumn id="3" xr3:uid="{F5198758-2C50-4D67-8EC6-D62D9D81DD27}" name="Response (user selects)"/>
    <tableColumn id="4" xr3:uid="{D1DD878C-6B8B-4B27-9679-CF5FF5B87F05}" name="Score_5">
      <calculatedColumnFormula>IF(D5="","",CHOOSE(MATCH(D5,{"Strongly Agree","Agree","Neutral","Disagree","Strongly Disagree"},0),5,4,3,2,1))</calculatedColumnFormula>
    </tableColumn>
    <tableColumn id="5" xr3:uid="{D7F254CE-E1A8-4312-8773-4DE5C44ACC8E}" name="Score_100">
      <calculatedColumnFormula>IF(E5="","",E5*20)</calculatedColumnFormula>
    </tableColumn>
    <tableColumn id="6" xr3:uid="{5B5EDD5B-30BE-401A-92DC-E12E24DD1468}" name="SoftControl">
      <calculatedColumnFormula>_xlfn.XLOOKUP(B5,FinalQuestions!$A:$A,FinalQuestions!$C:$C,"")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A3095-B8FD-4637-8A9C-8F0ABF489BF6}" name="Table3" displayName="Table3" ref="A1:B26" totalsRowShown="0" headerRowDxfId="40">
  <autoFilter ref="A1:B26" xr:uid="{5A5A3095-B8FD-4637-8A9C-8F0ABF489BF6}"/>
  <tableColumns count="2">
    <tableColumn id="1" xr3:uid="{25745168-5327-487B-860E-6600CEC01F22}" name="RespondentID"/>
    <tableColumn id="2" xr3:uid="{BAC328A9-7817-4CCD-9C90-31FCFDDE14AE}" name="Func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34E3D4-84C0-4F12-8DDA-49EA9C77E7DC}" name="Table13" displayName="Table13" ref="A1:G33" totalsRowShown="0" headerRowDxfId="39">
  <autoFilter ref="A1:G33" xr:uid="{7534E3D4-84C0-4F12-8DDA-49EA9C77E7DC}"/>
  <tableColumns count="7">
    <tableColumn id="1" xr3:uid="{0A2C71C6-C43E-43D6-8AA8-B09CD278527F}" name="Dimension" dataDxfId="38">
      <calculatedColumnFormula>_xlfn.XLOOKUP(Table7[[#This Row],[QuestionID]], FinalQuestions!$A:$A, FinalQuestions!$D:$D,"")</calculatedColumnFormula>
    </tableColumn>
    <tableColumn id="2" xr3:uid="{FC21F156-3C46-4297-8D96-951C51B1FBE6}" name="AvgScore_100" dataDxfId="37">
      <calculatedColumnFormula>IFERROR(ROUND(AVERAGEIFS(Responses!$F:$F,Responses!$H:$H,$A2),0),0)</calculatedColumnFormula>
    </tableColumn>
    <tableColumn id="3" xr3:uid="{78D5BFE1-11B2-472C-ACFB-5C64DDEE2516}" name="Favorable%" dataCellStyle="Percent">
      <calculatedColumnFormula>IFERROR(SUMIFS(Responses!$G:$G,Responses!$H:$H,$A2)/COUNTIFS(Responses!$H:$H,$A2),0)</calculatedColumnFormula>
    </tableColumn>
    <tableColumn id="4" xr3:uid="{3FF95C64-29A9-432B-AE1A-DB6AA1D4308E}" name="Unfavorable%" dataCellStyle="Percent">
      <calculatedColumnFormula>IFERROR((COUNTIFS(Responses!$H:$H,$A2,Responses!$C:$C,"Disagree")+COUNTIFS(Responses!$H:$H,$A2,Responses!$C:$C,"Strongly Disagree"))/COUNTIFS(Responses!$H:$H,$A2),0)</calculatedColumnFormula>
    </tableColumn>
    <tableColumn id="8" xr3:uid="{D5A54545-CE1C-4321-8914-A6AD4F8125B6}" name="Neutral%" dataDxfId="36" dataCellStyle="Percent">
      <calculatedColumnFormula>1-C2-D2</calculatedColumnFormula>
    </tableColumn>
    <tableColumn id="5" xr3:uid="{C93300B3-C0EC-41F5-8AAB-77980AF6352D}" name="People_Unfavorable" dataDxfId="35">
      <calculatedColumnFormula array="1">_xlfn.LET(_xlpm.dim,$A2,_xlpm.bad,_xlfn._xlws.FILTER(Responses!$A:$A,(Responses!$H:$H=_xlpm.dim)*((Responses!$C:$C="Disagree")+(Responses!$C:$C="Strongly Disagree"))),COUNTA(_xlfn.UNIQUE(_xlpm.bad)))</calculatedColumnFormula>
    </tableColumn>
    <tableColumn id="6" xr3:uid="{D893EF87-5699-4170-B4FE-21970B62A67C}" name=" Total_Respons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CA5A12-A63F-4999-B91A-B707DD72E539}" name="Table12" displayName="Table12" ref="A1:D57" totalsRowShown="0" headerRowDxfId="34" headerRowBorderDxfId="33" tableBorderDxfId="32">
  <autoFilter ref="A1:D57" xr:uid="{61CA5A12-A63F-4999-B91A-B707DD72E539}"/>
  <tableColumns count="4">
    <tableColumn id="1" xr3:uid="{4C139DB5-4A97-4E68-BDA8-89F492EF1E73}" name="SoftControl"/>
    <tableColumn id="2" xr3:uid="{B727D828-0AF4-411B-AF8D-538568170232}" name="Recommendation"/>
    <tableColumn id="3" xr3:uid="{74DBD8BC-C04C-4A1E-9A86-7FCBFEF7F843}" name="How"/>
    <tableColumn id="5" xr3:uid="{2FC7B1D1-219C-4371-84E2-E1C1CDAABE3A}" name="Whe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C1C2C4-1A73-46A0-8F13-FBC827E84B86}" name="AllResponses" displayName="AllResponses" ref="A1:L866" tableType="queryTable" totalsRowShown="0">
  <autoFilter ref="A1:L866" xr:uid="{51C1C2C4-1A73-46A0-8F13-FBC827E84B86}"/>
  <tableColumns count="12">
    <tableColumn id="7" xr3:uid="{301D2ADF-7DEF-4258-8662-88C9313500D2}" uniqueName="7" name="RespondentID" queryTableFieldId="7" dataDxfId="31"/>
    <tableColumn id="1" xr3:uid="{4D77D198-A3B0-447D-A39F-0C3449E4A1F3}" uniqueName="1" name="QuestionID" queryTableFieldId="1" dataDxfId="30"/>
    <tableColumn id="2" xr3:uid="{14384EE1-3ECF-41EF-806D-8A45B11A6547}" uniqueName="2" name="Question Text" queryTableFieldId="2" dataDxfId="29"/>
    <tableColumn id="3" xr3:uid="{0BCC35F3-9422-4B95-BE3C-8DEA754700FB}" uniqueName="3" name="Response (user selects)" queryTableFieldId="3" dataDxfId="28"/>
    <tableColumn id="4" xr3:uid="{284287AC-4130-4D09-862B-0F2E314F66CF}" uniqueName="4" name="Score_5" queryTableFieldId="4"/>
    <tableColumn id="5" xr3:uid="{46578FE3-62C6-418F-9183-C7E5A4B54F6F}" uniqueName="5" name="Score_100" queryTableFieldId="5"/>
    <tableColumn id="6" xr3:uid="{86C81A41-C68B-4B7E-AD6B-89AECCE0B881}" uniqueName="6" name="SoftControl" queryTableFieldId="6" dataDxfId="27"/>
    <tableColumn id="8" xr3:uid="{5C01C225-31BD-4CBE-AFB3-22CF0C6E992C}" uniqueName="8" name="Response" queryTableFieldId="8" dataDxfId="26"/>
    <tableColumn id="9" xr3:uid="{2BA9D928-9849-4549-A635-08A45EA6FCC8}" uniqueName="9" name="Scores" queryTableFieldId="9"/>
    <tableColumn id="10" xr3:uid="{9C1BFE69-60CA-496D-9A71-B2992A255C8D}" uniqueName="10" name="FavorableFlag" queryTableFieldId="10"/>
    <tableColumn id="12" xr3:uid="{2622D5ED-82E4-41B1-A6D1-241C4CAAECD4}" uniqueName="12" name="Dimensions" queryTableFieldId="13"/>
    <tableColumn id="11" xr3:uid="{DD5E3D2B-EF90-46D1-9C45-D9A309CF666A}" uniqueName="11" name="Dimensions2" queryTableFieldId="12" dataDxfId="25">
      <calculatedColumnFormula>_xlfn.XLOOKUP(AllResponses[[#This Row],[QuestionID]], FinalQuestions!$A:$A, FinalQuestions!$D:$D,"")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2DB409-EABA-4ADE-B727-DD2963C45EBD}" name="Table2" displayName="Table2" ref="A33:E41" totalsRowShown="0">
  <autoFilter ref="A33:E41" xr:uid="{A62DB409-EABA-4ADE-B727-DD2963C45EBD}"/>
  <tableColumns count="5">
    <tableColumn id="1" xr3:uid="{4F2CC5E6-7B7E-4778-BB86-683C3B6969F2}" name="SoftControl" dataDxfId="24"/>
    <tableColumn id="3" xr3:uid="{EDC3152C-FCB8-4124-923F-3EFFB2103690}" name="Low Risk" dataDxfId="23">
      <calculatedColumnFormula>100</calculatedColumnFormula>
    </tableColumn>
    <tableColumn id="4" xr3:uid="{7C8A88F5-8FD8-428C-8491-434E31FA63D9}" name="Medium Risk" dataDxfId="22">
      <calculatedColumnFormula>IF(OR('SOFT CONTROL SCORECARD'!$A2="Clarity",'SOFT CONTROL SCORECARD'!$A2="Role Modelling",'SOFT CONTROL SCORECARD'!$A2="Achievability"),80,70)</calculatedColumnFormula>
    </tableColumn>
    <tableColumn id="5" xr3:uid="{A378031A-8400-4383-84C2-07C1D0055EEB}" name="High Risk" dataDxfId="21">
      <calculatedColumnFormula>IF(OR('SOFT CONTROL SCORECARD'!$A2="Clarity",'SOFT CONTROL SCORECARD'!$A2="Role Modelling",'SOFT CONTROL SCORECARD'!$A2="Achievability"), 70, 60)</calculatedColumnFormula>
    </tableColumn>
    <tableColumn id="6" xr3:uid="{4174B17E-1F9B-48CC-B5B6-EC6DCBD658E7}" name="Score" dataDxfId="20">
      <calculatedColumnFormula>ROUND(IFERROR(AVERAGEIFS(Responses!$F:$F,Responses!$D:$D,$A2),0),0)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B1" zoomScale="86" workbookViewId="0">
      <selection activeCell="C34" sqref="C34"/>
    </sheetView>
  </sheetViews>
  <sheetFormatPr defaultRowHeight="14.5" x14ac:dyDescent="0.35"/>
  <cols>
    <col min="1" max="1" width="12" customWidth="1"/>
    <col min="2" max="2" width="117" customWidth="1"/>
    <col min="3" max="3" width="30" customWidth="1"/>
    <col min="4" max="4" width="19" customWidth="1"/>
    <col min="5" max="5" width="15.36328125" customWidth="1"/>
    <col min="6" max="6" width="18.81640625" customWidth="1"/>
  </cols>
  <sheetData>
    <row r="1" spans="1:6" x14ac:dyDescent="0.35">
      <c r="A1" s="1" t="s">
        <v>11</v>
      </c>
      <c r="B1" s="1" t="s">
        <v>12</v>
      </c>
      <c r="C1" s="1" t="s">
        <v>1</v>
      </c>
      <c r="D1" s="6" t="s">
        <v>81</v>
      </c>
      <c r="E1" s="6" t="s">
        <v>88</v>
      </c>
      <c r="F1" s="8" t="s">
        <v>86</v>
      </c>
    </row>
    <row r="2" spans="1:6" x14ac:dyDescent="0.35">
      <c r="A2" t="s">
        <v>13</v>
      </c>
      <c r="B2" t="s">
        <v>14</v>
      </c>
      <c r="C2" t="s">
        <v>0</v>
      </c>
      <c r="D2" t="s">
        <v>6</v>
      </c>
      <c r="E2">
        <f>IF(tblQuestions[[#This Row],[Response]]="","",VALUE(CHOOSE(MATCH(tblQuestions[[#This Row],[Response]],{"Strongly Agree","Agree","Neutral","Disagree","Strongly Disagree"},0),5,4,3,2,1)))</f>
        <v>2</v>
      </c>
      <c r="F2">
        <f>IF(tblQuestions[[#This Row],[Score Scale]]="","",tblQuestions[[#This Row],[Score Scale]]*20)</f>
        <v>40</v>
      </c>
    </row>
    <row r="3" spans="1:6" x14ac:dyDescent="0.35">
      <c r="A3" t="s">
        <v>15</v>
      </c>
      <c r="B3" t="s">
        <v>16</v>
      </c>
      <c r="C3" t="s">
        <v>0</v>
      </c>
      <c r="D3" t="s">
        <v>85</v>
      </c>
      <c r="E3">
        <f>IF(tblQuestions[[#This Row],[Response]]="","",VALUE(CHOOSE(MATCH(tblQuestions[[#This Row],[Response]],{"Strongly Agree","Agree","Neutral","Disagree","Strongly Disagree"},0),5,4,3,2,1)))</f>
        <v>5</v>
      </c>
      <c r="F3">
        <f>IF(tblQuestions[[#This Row],[Score Scale]]="","",tblQuestions[[#This Row],[Score Scale]]*20)</f>
        <v>100</v>
      </c>
    </row>
    <row r="4" spans="1:6" x14ac:dyDescent="0.35">
      <c r="A4" t="s">
        <v>17</v>
      </c>
      <c r="B4" t="s">
        <v>18</v>
      </c>
      <c r="C4" t="s">
        <v>0</v>
      </c>
      <c r="D4" t="s">
        <v>2</v>
      </c>
      <c r="E4">
        <f>IF(tblQuestions[[#This Row],[Response]]="","",VALUE(CHOOSE(MATCH(tblQuestions[[#This Row],[Response]],{"Strongly Agree","Agree","Neutral","Disagree","Strongly Disagree"},0),5,4,3,2,1)))</f>
        <v>4</v>
      </c>
      <c r="F4">
        <f>IF(tblQuestions[[#This Row],[Score Scale]]="","",tblQuestions[[#This Row],[Score Scale]]*20)</f>
        <v>80</v>
      </c>
    </row>
    <row r="5" spans="1:6" x14ac:dyDescent="0.35">
      <c r="A5" t="s">
        <v>19</v>
      </c>
      <c r="B5" t="s">
        <v>20</v>
      </c>
      <c r="C5" t="s">
        <v>0</v>
      </c>
      <c r="D5" t="s">
        <v>6</v>
      </c>
      <c r="E5">
        <f>IF(tblQuestions[[#This Row],[Response]]="","",VALUE(CHOOSE(MATCH(tblQuestions[[#This Row],[Response]],{"Strongly Agree","Agree","Neutral","Disagree","Strongly Disagree"},0),5,4,3,2,1)))</f>
        <v>2</v>
      </c>
      <c r="F5">
        <f>IF(tblQuestions[[#This Row],[Score Scale]]="","",tblQuestions[[#This Row],[Score Scale]]*20)</f>
        <v>40</v>
      </c>
    </row>
    <row r="6" spans="1:6" x14ac:dyDescent="0.35">
      <c r="A6" t="s">
        <v>21</v>
      </c>
      <c r="B6" t="s">
        <v>22</v>
      </c>
      <c r="C6" t="s">
        <v>117</v>
      </c>
      <c r="D6" t="s">
        <v>2</v>
      </c>
      <c r="E6">
        <f>IF(tblQuestions[[#This Row],[Response]]="","",VALUE(CHOOSE(MATCH(tblQuestions[[#This Row],[Response]],{"Strongly Agree","Agree","Neutral","Disagree","Strongly Disagree"},0),5,4,3,2,1)))</f>
        <v>4</v>
      </c>
      <c r="F6">
        <f>IF(tblQuestions[[#This Row],[Score Scale]]="","",tblQuestions[[#This Row],[Score Scale]]*20)</f>
        <v>80</v>
      </c>
    </row>
    <row r="7" spans="1:6" x14ac:dyDescent="0.35">
      <c r="A7" t="s">
        <v>23</v>
      </c>
      <c r="B7" t="s">
        <v>24</v>
      </c>
      <c r="C7" t="s">
        <v>117</v>
      </c>
      <c r="D7" t="s">
        <v>6</v>
      </c>
      <c r="E7">
        <f>IF(tblQuestions[[#This Row],[Response]]="","",VALUE(CHOOSE(MATCH(tblQuestions[[#This Row],[Response]],{"Strongly Agree","Agree","Neutral","Disagree","Strongly Disagree"},0),5,4,3,2,1)))</f>
        <v>2</v>
      </c>
      <c r="F7">
        <f>IF(tblQuestions[[#This Row],[Score Scale]]="","",tblQuestions[[#This Row],[Score Scale]]*20)</f>
        <v>40</v>
      </c>
    </row>
    <row r="8" spans="1:6" x14ac:dyDescent="0.35">
      <c r="A8" t="s">
        <v>25</v>
      </c>
      <c r="B8" t="s">
        <v>26</v>
      </c>
      <c r="C8" t="s">
        <v>117</v>
      </c>
      <c r="D8" t="s">
        <v>4</v>
      </c>
      <c r="E8">
        <f>IF(tblQuestions[[#This Row],[Response]]="","",VALUE(CHOOSE(MATCH(tblQuestions[[#This Row],[Response]],{"Strongly Agree","Agree","Neutral","Disagree","Strongly Disagree"},0),5,4,3,2,1)))</f>
        <v>3</v>
      </c>
      <c r="F8">
        <f>IF(tblQuestions[[#This Row],[Score Scale]]="","",tblQuestions[[#This Row],[Score Scale]]*20)</f>
        <v>60</v>
      </c>
    </row>
    <row r="9" spans="1:6" x14ac:dyDescent="0.35">
      <c r="A9" t="s">
        <v>27</v>
      </c>
      <c r="B9" t="s">
        <v>28</v>
      </c>
      <c r="C9" t="s">
        <v>117</v>
      </c>
      <c r="D9" t="s">
        <v>84</v>
      </c>
      <c r="E9">
        <f>IF(tblQuestions[[#This Row],[Response]]="","",VALUE(CHOOSE(MATCH(tblQuestions[[#This Row],[Response]],{"Strongly Agree","Agree","Neutral","Disagree","Strongly Disagree"},0),5,4,3,2,1)))</f>
        <v>1</v>
      </c>
      <c r="F9">
        <f>IF(tblQuestions[[#This Row],[Score Scale]]="","",tblQuestions[[#This Row],[Score Scale]]*20)</f>
        <v>20</v>
      </c>
    </row>
    <row r="10" spans="1:6" x14ac:dyDescent="0.35">
      <c r="A10" t="s">
        <v>29</v>
      </c>
      <c r="B10" t="s">
        <v>30</v>
      </c>
      <c r="C10" t="s">
        <v>3</v>
      </c>
      <c r="D10" t="s">
        <v>84</v>
      </c>
      <c r="E10">
        <f>IF(tblQuestions[[#This Row],[Response]]="","",VALUE(CHOOSE(MATCH(tblQuestions[[#This Row],[Response]],{"Strongly Agree","Agree","Neutral","Disagree","Strongly Disagree"},0),5,4,3,2,1)))</f>
        <v>1</v>
      </c>
      <c r="F10">
        <f>IF(tblQuestions[[#This Row],[Score Scale]]="","",tblQuestions[[#This Row],[Score Scale]]*20)</f>
        <v>20</v>
      </c>
    </row>
    <row r="11" spans="1:6" x14ac:dyDescent="0.35">
      <c r="A11" t="s">
        <v>31</v>
      </c>
      <c r="B11" t="s">
        <v>32</v>
      </c>
      <c r="C11" t="s">
        <v>3</v>
      </c>
      <c r="D11" t="s">
        <v>6</v>
      </c>
      <c r="E11">
        <f>IF(tblQuestions[[#This Row],[Response]]="","",VALUE(CHOOSE(MATCH(tblQuestions[[#This Row],[Response]],{"Strongly Agree","Agree","Neutral","Disagree","Strongly Disagree"},0),5,4,3,2,1)))</f>
        <v>2</v>
      </c>
      <c r="F11">
        <f>IF(tblQuestions[[#This Row],[Score Scale]]="","",tblQuestions[[#This Row],[Score Scale]]*20)</f>
        <v>40</v>
      </c>
    </row>
    <row r="12" spans="1:6" x14ac:dyDescent="0.35">
      <c r="A12" t="s">
        <v>33</v>
      </c>
      <c r="B12" t="s">
        <v>34</v>
      </c>
      <c r="C12" t="s">
        <v>3</v>
      </c>
      <c r="D12" t="s">
        <v>4</v>
      </c>
      <c r="E12">
        <f>IF(tblQuestions[[#This Row],[Response]]="","",VALUE(CHOOSE(MATCH(tblQuestions[[#This Row],[Response]],{"Strongly Agree","Agree","Neutral","Disagree","Strongly Disagree"},0),5,4,3,2,1)))</f>
        <v>3</v>
      </c>
      <c r="F12">
        <f>IF(tblQuestions[[#This Row],[Score Scale]]="","",tblQuestions[[#This Row],[Score Scale]]*20)</f>
        <v>60</v>
      </c>
    </row>
    <row r="13" spans="1:6" x14ac:dyDescent="0.35">
      <c r="A13" t="s">
        <v>35</v>
      </c>
      <c r="B13" t="s">
        <v>36</v>
      </c>
      <c r="C13" t="s">
        <v>3</v>
      </c>
      <c r="D13" t="s">
        <v>4</v>
      </c>
      <c r="E13">
        <f>IF(tblQuestions[[#This Row],[Response]]="","",VALUE(CHOOSE(MATCH(tblQuestions[[#This Row],[Response]],{"Strongly Agree","Agree","Neutral","Disagree","Strongly Disagree"},0),5,4,3,2,1)))</f>
        <v>3</v>
      </c>
      <c r="F13">
        <f>IF(tblQuestions[[#This Row],[Score Scale]]="","",tblQuestions[[#This Row],[Score Scale]]*20)</f>
        <v>60</v>
      </c>
    </row>
    <row r="14" spans="1:6" x14ac:dyDescent="0.35">
      <c r="A14" t="s">
        <v>37</v>
      </c>
      <c r="B14" t="s">
        <v>38</v>
      </c>
      <c r="C14" t="s">
        <v>5</v>
      </c>
      <c r="D14" t="s">
        <v>4</v>
      </c>
      <c r="E14">
        <f>IF(tblQuestions[[#This Row],[Response]]="","",VALUE(CHOOSE(MATCH(tblQuestions[[#This Row],[Response]],{"Strongly Agree","Agree","Neutral","Disagree","Strongly Disagree"},0),5,4,3,2,1)))</f>
        <v>3</v>
      </c>
      <c r="F14">
        <f>IF(tblQuestions[[#This Row],[Score Scale]]="","",tblQuestions[[#This Row],[Score Scale]]*20)</f>
        <v>60</v>
      </c>
    </row>
    <row r="15" spans="1:6" x14ac:dyDescent="0.35">
      <c r="A15" t="s">
        <v>39</v>
      </c>
      <c r="B15" t="s">
        <v>40</v>
      </c>
      <c r="C15" t="s">
        <v>5</v>
      </c>
      <c r="D15" t="s">
        <v>2</v>
      </c>
      <c r="E15">
        <f>IF(tblQuestions[[#This Row],[Response]]="","",VALUE(CHOOSE(MATCH(tblQuestions[[#This Row],[Response]],{"Strongly Agree","Agree","Neutral","Disagree","Strongly Disagree"},0),5,4,3,2,1)))</f>
        <v>4</v>
      </c>
      <c r="F15">
        <f>IF(tblQuestions[[#This Row],[Score Scale]]="","",tblQuestions[[#This Row],[Score Scale]]*20)</f>
        <v>80</v>
      </c>
    </row>
    <row r="16" spans="1:6" x14ac:dyDescent="0.35">
      <c r="A16" t="s">
        <v>41</v>
      </c>
      <c r="B16" t="s">
        <v>42</v>
      </c>
      <c r="C16" t="s">
        <v>5</v>
      </c>
      <c r="D16" t="s">
        <v>6</v>
      </c>
      <c r="E16">
        <f>IF(tblQuestions[[#This Row],[Response]]="","",VALUE(CHOOSE(MATCH(tblQuestions[[#This Row],[Response]],{"Strongly Agree","Agree","Neutral","Disagree","Strongly Disagree"},0),5,4,3,2,1)))</f>
        <v>2</v>
      </c>
      <c r="F16">
        <f>IF(tblQuestions[[#This Row],[Score Scale]]="","",tblQuestions[[#This Row],[Score Scale]]*20)</f>
        <v>40</v>
      </c>
    </row>
    <row r="17" spans="1:6" x14ac:dyDescent="0.35">
      <c r="A17" t="s">
        <v>43</v>
      </c>
      <c r="B17" t="s">
        <v>44</v>
      </c>
      <c r="C17" t="s">
        <v>5</v>
      </c>
      <c r="D17" t="s">
        <v>84</v>
      </c>
      <c r="E17">
        <f>IF(tblQuestions[[#This Row],[Response]]="","",VALUE(CHOOSE(MATCH(tblQuestions[[#This Row],[Response]],{"Strongly Agree","Agree","Neutral","Disagree","Strongly Disagree"},0),5,4,3,2,1)))</f>
        <v>1</v>
      </c>
      <c r="F17">
        <f>IF(tblQuestions[[#This Row],[Score Scale]]="","",tblQuestions[[#This Row],[Score Scale]]*20)</f>
        <v>20</v>
      </c>
    </row>
    <row r="18" spans="1:6" x14ac:dyDescent="0.35">
      <c r="A18" t="s">
        <v>45</v>
      </c>
      <c r="B18" t="s">
        <v>46</v>
      </c>
      <c r="C18" t="s">
        <v>7</v>
      </c>
      <c r="D18" t="s">
        <v>4</v>
      </c>
      <c r="E18">
        <f>IF(tblQuestions[[#This Row],[Response]]="","",VALUE(CHOOSE(MATCH(tblQuestions[[#This Row],[Response]],{"Strongly Agree","Agree","Neutral","Disagree","Strongly Disagree"},0),5,4,3,2,1)))</f>
        <v>3</v>
      </c>
      <c r="F18">
        <f>IF(tblQuestions[[#This Row],[Score Scale]]="","",tblQuestions[[#This Row],[Score Scale]]*20)</f>
        <v>60</v>
      </c>
    </row>
    <row r="19" spans="1:6" x14ac:dyDescent="0.35">
      <c r="A19" t="s">
        <v>47</v>
      </c>
      <c r="B19" t="s">
        <v>48</v>
      </c>
      <c r="C19" t="s">
        <v>7</v>
      </c>
      <c r="D19" t="s">
        <v>4</v>
      </c>
      <c r="E19">
        <f>IF(tblQuestions[[#This Row],[Response]]="","",VALUE(CHOOSE(MATCH(tblQuestions[[#This Row],[Response]],{"Strongly Agree","Agree","Neutral","Disagree","Strongly Disagree"},0),5,4,3,2,1)))</f>
        <v>3</v>
      </c>
      <c r="F19">
        <f>IF(tblQuestions[[#This Row],[Score Scale]]="","",tblQuestions[[#This Row],[Score Scale]]*20)</f>
        <v>60</v>
      </c>
    </row>
    <row r="20" spans="1:6" x14ac:dyDescent="0.35">
      <c r="A20" t="s">
        <v>49</v>
      </c>
      <c r="B20" t="s">
        <v>50</v>
      </c>
      <c r="C20" t="s">
        <v>7</v>
      </c>
      <c r="D20" t="s">
        <v>4</v>
      </c>
      <c r="E20">
        <f>IF(tblQuestions[[#This Row],[Response]]="","",VALUE(CHOOSE(MATCH(tblQuestions[[#This Row],[Response]],{"Strongly Agree","Agree","Neutral","Disagree","Strongly Disagree"},0),5,4,3,2,1)))</f>
        <v>3</v>
      </c>
      <c r="F20">
        <f>IF(tblQuestions[[#This Row],[Score Scale]]="","",tblQuestions[[#This Row],[Score Scale]]*20)</f>
        <v>60</v>
      </c>
    </row>
    <row r="21" spans="1:6" x14ac:dyDescent="0.35">
      <c r="A21" t="s">
        <v>51</v>
      </c>
      <c r="B21" t="s">
        <v>52</v>
      </c>
      <c r="C21" t="s">
        <v>7</v>
      </c>
      <c r="D21" t="s">
        <v>4</v>
      </c>
      <c r="E21">
        <f>IF(tblQuestions[[#This Row],[Response]]="","",VALUE(CHOOSE(MATCH(tblQuestions[[#This Row],[Response]],{"Strongly Agree","Agree","Neutral","Disagree","Strongly Disagree"},0),5,4,3,2,1)))</f>
        <v>3</v>
      </c>
      <c r="F21">
        <f>IF(tblQuestions[[#This Row],[Score Scale]]="","",tblQuestions[[#This Row],[Score Scale]]*20)</f>
        <v>60</v>
      </c>
    </row>
    <row r="22" spans="1:6" x14ac:dyDescent="0.35">
      <c r="A22" t="s">
        <v>53</v>
      </c>
      <c r="B22" t="s">
        <v>54</v>
      </c>
      <c r="C22" t="s">
        <v>8</v>
      </c>
      <c r="D22" t="s">
        <v>84</v>
      </c>
      <c r="E22">
        <f>IF(tblQuestions[[#This Row],[Response]]="","",VALUE(CHOOSE(MATCH(tblQuestions[[#This Row],[Response]],{"Strongly Agree","Agree","Neutral","Disagree","Strongly Disagree"},0),5,4,3,2,1)))</f>
        <v>1</v>
      </c>
      <c r="F22">
        <f>IF(tblQuestions[[#This Row],[Score Scale]]="","",tblQuestions[[#This Row],[Score Scale]]*20)</f>
        <v>20</v>
      </c>
    </row>
    <row r="23" spans="1:6" x14ac:dyDescent="0.35">
      <c r="A23" t="s">
        <v>55</v>
      </c>
      <c r="B23" t="s">
        <v>56</v>
      </c>
      <c r="C23" t="s">
        <v>8</v>
      </c>
      <c r="D23" t="s">
        <v>6</v>
      </c>
      <c r="E23">
        <f>IF(tblQuestions[[#This Row],[Response]]="","",VALUE(CHOOSE(MATCH(tblQuestions[[#This Row],[Response]],{"Strongly Agree","Agree","Neutral","Disagree","Strongly Disagree"},0),5,4,3,2,1)))</f>
        <v>2</v>
      </c>
      <c r="F23">
        <f>IF(tblQuestions[[#This Row],[Score Scale]]="","",tblQuestions[[#This Row],[Score Scale]]*20)</f>
        <v>40</v>
      </c>
    </row>
    <row r="24" spans="1:6" x14ac:dyDescent="0.35">
      <c r="A24" t="s">
        <v>57</v>
      </c>
      <c r="B24" t="s">
        <v>58</v>
      </c>
      <c r="C24" t="s">
        <v>8</v>
      </c>
      <c r="D24" t="s">
        <v>6</v>
      </c>
      <c r="E24">
        <f>IF(tblQuestions[[#This Row],[Response]]="","",VALUE(CHOOSE(MATCH(tblQuestions[[#This Row],[Response]],{"Strongly Agree","Agree","Neutral","Disagree","Strongly Disagree"},0),5,4,3,2,1)))</f>
        <v>2</v>
      </c>
      <c r="F24">
        <f>IF(tblQuestions[[#This Row],[Score Scale]]="","",tblQuestions[[#This Row],[Score Scale]]*20)</f>
        <v>40</v>
      </c>
    </row>
    <row r="25" spans="1:6" x14ac:dyDescent="0.35">
      <c r="A25" t="s">
        <v>59</v>
      </c>
      <c r="B25" t="s">
        <v>60</v>
      </c>
      <c r="C25" t="s">
        <v>8</v>
      </c>
      <c r="D25" t="s">
        <v>4</v>
      </c>
      <c r="E25">
        <f>IF(tblQuestions[[#This Row],[Response]]="","",VALUE(CHOOSE(MATCH(tblQuestions[[#This Row],[Response]],{"Strongly Agree","Agree","Neutral","Disagree","Strongly Disagree"},0),5,4,3,2,1)))</f>
        <v>3</v>
      </c>
      <c r="F25">
        <f>IF(tblQuestions[[#This Row],[Score Scale]]="","",tblQuestions[[#This Row],[Score Scale]]*20)</f>
        <v>60</v>
      </c>
    </row>
    <row r="26" spans="1:6" x14ac:dyDescent="0.35">
      <c r="A26" t="s">
        <v>61</v>
      </c>
      <c r="B26" t="s">
        <v>62</v>
      </c>
      <c r="C26" t="s">
        <v>9</v>
      </c>
      <c r="D26" t="s">
        <v>2</v>
      </c>
      <c r="E26">
        <f>IF(tblQuestions[[#This Row],[Response]]="","",VALUE(CHOOSE(MATCH(tblQuestions[[#This Row],[Response]],{"Strongly Agree","Agree","Neutral","Disagree","Strongly Disagree"},0),5,4,3,2,1)))</f>
        <v>4</v>
      </c>
      <c r="F26">
        <f>IF(tblQuestions[[#This Row],[Score Scale]]="","",tblQuestions[[#This Row],[Score Scale]]*20)</f>
        <v>80</v>
      </c>
    </row>
    <row r="27" spans="1:6" x14ac:dyDescent="0.35">
      <c r="A27" t="s">
        <v>63</v>
      </c>
      <c r="B27" t="s">
        <v>64</v>
      </c>
      <c r="C27" t="s">
        <v>9</v>
      </c>
      <c r="D27" t="s">
        <v>6</v>
      </c>
      <c r="E27">
        <f>IF(tblQuestions[[#This Row],[Response]]="","",VALUE(CHOOSE(MATCH(tblQuestions[[#This Row],[Response]],{"Strongly Agree","Agree","Neutral","Disagree","Strongly Disagree"},0),5,4,3,2,1)))</f>
        <v>2</v>
      </c>
      <c r="F27">
        <f>IF(tblQuestions[[#This Row],[Score Scale]]="","",tblQuestions[[#This Row],[Score Scale]]*20)</f>
        <v>40</v>
      </c>
    </row>
    <row r="28" spans="1:6" x14ac:dyDescent="0.35">
      <c r="A28" t="s">
        <v>65</v>
      </c>
      <c r="B28" t="s">
        <v>66</v>
      </c>
      <c r="C28" t="s">
        <v>9</v>
      </c>
      <c r="D28" t="s">
        <v>6</v>
      </c>
      <c r="E28">
        <f>IF(tblQuestions[[#This Row],[Response]]="","",VALUE(CHOOSE(MATCH(tblQuestions[[#This Row],[Response]],{"Strongly Agree","Agree","Neutral","Disagree","Strongly Disagree"},0),5,4,3,2,1)))</f>
        <v>2</v>
      </c>
      <c r="F28">
        <f>IF(tblQuestions[[#This Row],[Score Scale]]="","",tblQuestions[[#This Row],[Score Scale]]*20)</f>
        <v>40</v>
      </c>
    </row>
    <row r="29" spans="1:6" x14ac:dyDescent="0.35">
      <c r="A29" t="s">
        <v>67</v>
      </c>
      <c r="B29" t="s">
        <v>68</v>
      </c>
      <c r="C29" t="s">
        <v>9</v>
      </c>
      <c r="D29" t="s">
        <v>2</v>
      </c>
      <c r="E29">
        <f>IF(tblQuestions[[#This Row],[Response]]="","",VALUE(CHOOSE(MATCH(tblQuestions[[#This Row],[Response]],{"Strongly Agree","Agree","Neutral","Disagree","Strongly Disagree"},0),5,4,3,2,1)))</f>
        <v>4</v>
      </c>
      <c r="F29">
        <f>IF(tblQuestions[[#This Row],[Score Scale]]="","",tblQuestions[[#This Row],[Score Scale]]*20)</f>
        <v>80</v>
      </c>
    </row>
    <row r="30" spans="1:6" x14ac:dyDescent="0.35">
      <c r="A30" t="s">
        <v>69</v>
      </c>
      <c r="B30" t="s">
        <v>70</v>
      </c>
      <c r="C30" t="s">
        <v>10</v>
      </c>
      <c r="D30" t="s">
        <v>4</v>
      </c>
      <c r="E30">
        <f>IF(tblQuestions[[#This Row],[Response]]="","",VALUE(CHOOSE(MATCH(tblQuestions[[#This Row],[Response]],{"Strongly Agree","Agree","Neutral","Disagree","Strongly Disagree"},0),5,4,3,2,1)))</f>
        <v>3</v>
      </c>
      <c r="F30">
        <f>IF(tblQuestions[[#This Row],[Score Scale]]="","",tblQuestions[[#This Row],[Score Scale]]*20)</f>
        <v>60</v>
      </c>
    </row>
    <row r="31" spans="1:6" x14ac:dyDescent="0.35">
      <c r="A31" t="s">
        <v>71</v>
      </c>
      <c r="B31" t="s">
        <v>72</v>
      </c>
      <c r="C31" t="s">
        <v>10</v>
      </c>
      <c r="D31" t="s">
        <v>4</v>
      </c>
      <c r="E31">
        <f>IF(tblQuestions[[#This Row],[Response]]="","",VALUE(CHOOSE(MATCH(tblQuestions[[#This Row],[Response]],{"Strongly Agree","Agree","Neutral","Disagree","Strongly Disagree"},0),5,4,3,2,1)))</f>
        <v>3</v>
      </c>
      <c r="F31">
        <f>IF(tblQuestions[[#This Row],[Score Scale]]="","",tblQuestions[[#This Row],[Score Scale]]*20)</f>
        <v>60</v>
      </c>
    </row>
    <row r="32" spans="1:6" x14ac:dyDescent="0.35">
      <c r="A32" t="s">
        <v>73</v>
      </c>
      <c r="B32" t="s">
        <v>74</v>
      </c>
      <c r="C32" t="s">
        <v>10</v>
      </c>
      <c r="D32" t="s">
        <v>84</v>
      </c>
      <c r="E32">
        <f>IF(tblQuestions[[#This Row],[Response]]="","",VALUE(CHOOSE(MATCH(tblQuestions[[#This Row],[Response]],{"Strongly Agree","Agree","Neutral","Disagree","Strongly Disagree"},0),5,4,3,2,1)))</f>
        <v>1</v>
      </c>
      <c r="F32">
        <f>IF(tblQuestions[[#This Row],[Score Scale]]="","",tblQuestions[[#This Row],[Score Scale]]*20)</f>
        <v>20</v>
      </c>
    </row>
    <row r="33" spans="1:6" x14ac:dyDescent="0.35">
      <c r="A33" t="s">
        <v>75</v>
      </c>
      <c r="B33" t="s">
        <v>76</v>
      </c>
      <c r="C33" t="s">
        <v>10</v>
      </c>
      <c r="D33" t="s">
        <v>2</v>
      </c>
      <c r="E33">
        <f>IF(tblQuestions[[#This Row],[Response]]="","",VALUE(CHOOSE(MATCH(tblQuestions[[#This Row],[Response]],{"Strongly Agree","Agree","Neutral","Disagree","Strongly Disagree"},0),5,4,3,2,1)))</f>
        <v>4</v>
      </c>
      <c r="F33">
        <f>IF(tblQuestions[[#This Row],[Score Scale]]="","",tblQuestions[[#This Row],[Score Scale]]*20)</f>
        <v>80</v>
      </c>
    </row>
    <row r="34" spans="1:6" x14ac:dyDescent="0.35">
      <c r="A34" t="s">
        <v>77</v>
      </c>
      <c r="B34" t="s">
        <v>78</v>
      </c>
      <c r="F34" t="str">
        <f>IF(tblQuestions[[#This Row],[Score Scale]]="","",tblQuestions[[#This Row],[Score Scale]]*20)</f>
        <v/>
      </c>
    </row>
    <row r="35" spans="1:6" x14ac:dyDescent="0.35">
      <c r="A35" t="s">
        <v>79</v>
      </c>
      <c r="B35" t="s">
        <v>80</v>
      </c>
      <c r="F35" t="str">
        <f>IF(tblQuestions[[#This Row],[Score Scale]]="","",tblQuestions[[#This Row],[Score Scale]]*20)</f>
        <v/>
      </c>
    </row>
  </sheetData>
  <dataValidations count="3">
    <dataValidation type="list" allowBlank="1" sqref="D34:D35" xr:uid="{00000000-0002-0000-0100-000002000000}">
      <formula1>"Likert,Text"</formula1>
    </dataValidation>
    <dataValidation type="list" allowBlank="1" sqref="D16:D33 D2:D14" xr:uid="{46A6EB4F-2B5E-4DBB-81D7-C04B7093404F}">
      <formula1>"Strongly Agree,Agree,Neutral,Disagree,Strongly Disagree"</formula1>
    </dataValidation>
    <dataValidation type="list" allowBlank="1" sqref="C2:C35" xr:uid="{00000000-0002-0000-0100-000000000000}">
      <formula1>#REF!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A7CD-99F0-4BAA-A5DD-E255D8FDBBF3}">
  <dimension ref="A1:J36"/>
  <sheetViews>
    <sheetView tabSelected="1" zoomScale="65" zoomScaleNormal="86" workbookViewId="0">
      <selection activeCell="B2" sqref="B2"/>
    </sheetView>
  </sheetViews>
  <sheetFormatPr defaultRowHeight="14.5" x14ac:dyDescent="0.35"/>
  <cols>
    <col min="1" max="1" width="12.7265625" customWidth="1"/>
    <col min="2" max="2" width="142.54296875" customWidth="1"/>
    <col min="3" max="3" width="25.90625" customWidth="1"/>
    <col min="4" max="4" width="59" customWidth="1"/>
    <col min="5" max="5" width="76" customWidth="1"/>
    <col min="6" max="6" width="86.54296875" customWidth="1"/>
    <col min="7" max="7" width="190.54296875" customWidth="1"/>
    <col min="8" max="8" width="118.90625" customWidth="1"/>
    <col min="9" max="9" width="195.26953125" customWidth="1"/>
    <col min="10" max="10" width="0" hidden="1" customWidth="1"/>
  </cols>
  <sheetData>
    <row r="1" spans="1:10" x14ac:dyDescent="0.35">
      <c r="A1" t="s">
        <v>11</v>
      </c>
      <c r="B1" t="s">
        <v>12</v>
      </c>
      <c r="C1" t="s">
        <v>1</v>
      </c>
      <c r="D1" t="s">
        <v>221</v>
      </c>
      <c r="E1" t="s">
        <v>366</v>
      </c>
      <c r="F1" t="s">
        <v>367</v>
      </c>
      <c r="G1" t="s">
        <v>433</v>
      </c>
      <c r="H1" t="s">
        <v>434</v>
      </c>
      <c r="I1" t="s">
        <v>435</v>
      </c>
      <c r="J1" t="s">
        <v>360</v>
      </c>
    </row>
    <row r="2" spans="1:10" x14ac:dyDescent="0.35">
      <c r="A2" s="10" t="s">
        <v>13</v>
      </c>
      <c r="B2" s="11" t="s">
        <v>546</v>
      </c>
      <c r="C2" s="11" t="s">
        <v>0</v>
      </c>
      <c r="D2" s="7" t="s">
        <v>253</v>
      </c>
      <c r="E2" s="7" t="s">
        <v>432</v>
      </c>
      <c r="F2" s="7" t="s">
        <v>368</v>
      </c>
      <c r="G2" s="7" t="s">
        <v>436</v>
      </c>
      <c r="H2" s="7" t="s">
        <v>437</v>
      </c>
      <c r="I2" s="7" t="s">
        <v>438</v>
      </c>
      <c r="J2" t="s">
        <v>361</v>
      </c>
    </row>
    <row r="3" spans="1:10" ht="15" customHeight="1" x14ac:dyDescent="0.35">
      <c r="A3" s="46" t="s">
        <v>15</v>
      </c>
      <c r="B3" s="5" t="s">
        <v>522</v>
      </c>
      <c r="C3" s="5" t="s">
        <v>0</v>
      </c>
      <c r="D3" s="7" t="s">
        <v>222</v>
      </c>
      <c r="E3" s="7" t="s">
        <v>369</v>
      </c>
      <c r="F3" s="7" t="s">
        <v>370</v>
      </c>
      <c r="G3" s="7" t="s">
        <v>439</v>
      </c>
      <c r="H3" s="7" t="s">
        <v>440</v>
      </c>
      <c r="I3" s="7" t="s">
        <v>441</v>
      </c>
      <c r="J3" t="s">
        <v>362</v>
      </c>
    </row>
    <row r="4" spans="1:10" x14ac:dyDescent="0.35">
      <c r="A4" s="2" t="s">
        <v>17</v>
      </c>
      <c r="B4" s="3" t="s">
        <v>523</v>
      </c>
      <c r="C4" s="3" t="s">
        <v>0</v>
      </c>
      <c r="D4" s="7" t="s">
        <v>223</v>
      </c>
      <c r="E4" s="7" t="s">
        <v>371</v>
      </c>
      <c r="F4" s="7" t="s">
        <v>372</v>
      </c>
      <c r="G4" s="7" t="s">
        <v>442</v>
      </c>
      <c r="H4" s="7" t="s">
        <v>443</v>
      </c>
      <c r="I4" s="7" t="s">
        <v>444</v>
      </c>
      <c r="J4" t="s">
        <v>361</v>
      </c>
    </row>
    <row r="5" spans="1:10" x14ac:dyDescent="0.35">
      <c r="A5" s="46" t="s">
        <v>19</v>
      </c>
      <c r="B5" s="5" t="s">
        <v>20</v>
      </c>
      <c r="C5" s="5" t="s">
        <v>0</v>
      </c>
      <c r="D5" s="7" t="s">
        <v>224</v>
      </c>
      <c r="E5" s="7" t="s">
        <v>373</v>
      </c>
      <c r="F5" s="7" t="s">
        <v>374</v>
      </c>
      <c r="G5" s="7" t="s">
        <v>445</v>
      </c>
      <c r="H5" s="7" t="s">
        <v>446</v>
      </c>
      <c r="I5" s="7" t="s">
        <v>447</v>
      </c>
      <c r="J5" t="s">
        <v>362</v>
      </c>
    </row>
    <row r="6" spans="1:10" x14ac:dyDescent="0.35">
      <c r="A6" s="47" t="s">
        <v>21</v>
      </c>
      <c r="B6" s="3" t="s">
        <v>524</v>
      </c>
      <c r="C6" s="3" t="s">
        <v>117</v>
      </c>
      <c r="D6" s="7" t="s">
        <v>225</v>
      </c>
      <c r="E6" s="7" t="s">
        <v>375</v>
      </c>
      <c r="F6" s="7" t="s">
        <v>376</v>
      </c>
      <c r="G6" s="7" t="s">
        <v>448</v>
      </c>
      <c r="H6" s="7" t="s">
        <v>449</v>
      </c>
      <c r="I6" s="7" t="s">
        <v>450</v>
      </c>
      <c r="J6" s="7" t="s">
        <v>362</v>
      </c>
    </row>
    <row r="7" spans="1:10" x14ac:dyDescent="0.35">
      <c r="A7" s="4" t="s">
        <v>23</v>
      </c>
      <c r="B7" s="5" t="s">
        <v>525</v>
      </c>
      <c r="C7" s="5" t="s">
        <v>117</v>
      </c>
      <c r="D7" s="7" t="s">
        <v>226</v>
      </c>
      <c r="E7" s="7" t="s">
        <v>429</v>
      </c>
      <c r="F7" s="7" t="s">
        <v>377</v>
      </c>
      <c r="G7" s="7" t="s">
        <v>451</v>
      </c>
      <c r="H7" s="7" t="s">
        <v>452</v>
      </c>
      <c r="I7" s="7" t="s">
        <v>453</v>
      </c>
      <c r="J7" t="s">
        <v>361</v>
      </c>
    </row>
    <row r="8" spans="1:10" x14ac:dyDescent="0.35">
      <c r="A8" s="2" t="s">
        <v>25</v>
      </c>
      <c r="B8" s="3" t="s">
        <v>526</v>
      </c>
      <c r="C8" s="3" t="s">
        <v>117</v>
      </c>
      <c r="D8" s="7" t="s">
        <v>227</v>
      </c>
      <c r="E8" s="7" t="s">
        <v>378</v>
      </c>
      <c r="F8" s="7" t="s">
        <v>379</v>
      </c>
      <c r="G8" s="7" t="s">
        <v>454</v>
      </c>
      <c r="H8" s="7" t="s">
        <v>455</v>
      </c>
      <c r="I8" s="7" t="s">
        <v>456</v>
      </c>
      <c r="J8" t="s">
        <v>362</v>
      </c>
    </row>
    <row r="9" spans="1:10" x14ac:dyDescent="0.35">
      <c r="A9" s="4" t="s">
        <v>27</v>
      </c>
      <c r="B9" s="5" t="s">
        <v>527</v>
      </c>
      <c r="C9" s="5" t="s">
        <v>117</v>
      </c>
      <c r="D9" s="7" t="s">
        <v>228</v>
      </c>
      <c r="E9" s="7" t="s">
        <v>380</v>
      </c>
      <c r="F9" s="7" t="s">
        <v>381</v>
      </c>
      <c r="G9" s="7" t="s">
        <v>457</v>
      </c>
      <c r="H9" s="7" t="s">
        <v>458</v>
      </c>
      <c r="I9" s="7" t="s">
        <v>459</v>
      </c>
      <c r="J9" t="s">
        <v>361</v>
      </c>
    </row>
    <row r="10" spans="1:10" x14ac:dyDescent="0.35">
      <c r="A10" s="47" t="s">
        <v>29</v>
      </c>
      <c r="B10" s="3" t="s">
        <v>528</v>
      </c>
      <c r="C10" s="3" t="s">
        <v>3</v>
      </c>
      <c r="D10" s="7" t="s">
        <v>229</v>
      </c>
      <c r="E10" s="7" t="s">
        <v>382</v>
      </c>
      <c r="F10" s="7" t="s">
        <v>383</v>
      </c>
      <c r="G10" s="7" t="s">
        <v>460</v>
      </c>
      <c r="H10" s="7" t="s">
        <v>461</v>
      </c>
      <c r="I10" s="7" t="s">
        <v>462</v>
      </c>
      <c r="J10" t="s">
        <v>362</v>
      </c>
    </row>
    <row r="11" spans="1:10" x14ac:dyDescent="0.35">
      <c r="A11" s="46" t="s">
        <v>31</v>
      </c>
      <c r="B11" s="5" t="s">
        <v>32</v>
      </c>
      <c r="C11" s="5" t="s">
        <v>3</v>
      </c>
      <c r="D11" s="7" t="s">
        <v>230</v>
      </c>
      <c r="E11" s="7" t="s">
        <v>384</v>
      </c>
      <c r="F11" s="7" t="s">
        <v>385</v>
      </c>
      <c r="G11" s="7" t="s">
        <v>463</v>
      </c>
      <c r="H11" s="7" t="s">
        <v>464</v>
      </c>
      <c r="I11" s="7" t="s">
        <v>465</v>
      </c>
      <c r="J11" s="7" t="s">
        <v>362</v>
      </c>
    </row>
    <row r="12" spans="1:10" x14ac:dyDescent="0.35">
      <c r="A12" s="47" t="s">
        <v>33</v>
      </c>
      <c r="B12" s="3" t="s">
        <v>34</v>
      </c>
      <c r="C12" s="3" t="s">
        <v>3</v>
      </c>
      <c r="D12" s="7" t="s">
        <v>231</v>
      </c>
      <c r="E12" s="7" t="s">
        <v>386</v>
      </c>
      <c r="F12" s="7" t="s">
        <v>387</v>
      </c>
      <c r="G12" s="7" t="s">
        <v>466</v>
      </c>
      <c r="H12" s="7" t="s">
        <v>467</v>
      </c>
      <c r="I12" s="7" t="s">
        <v>468</v>
      </c>
      <c r="J12" s="7" t="s">
        <v>362</v>
      </c>
    </row>
    <row r="13" spans="1:10" x14ac:dyDescent="0.35">
      <c r="A13" s="4" t="s">
        <v>35</v>
      </c>
      <c r="B13" s="5" t="s">
        <v>36</v>
      </c>
      <c r="C13" s="5" t="s">
        <v>3</v>
      </c>
      <c r="D13" s="7" t="s">
        <v>232</v>
      </c>
      <c r="E13" s="7" t="s">
        <v>428</v>
      </c>
      <c r="F13" s="7" t="s">
        <v>388</v>
      </c>
      <c r="G13" s="7" t="s">
        <v>469</v>
      </c>
      <c r="H13" s="7" t="s">
        <v>470</v>
      </c>
      <c r="I13" s="7" t="s">
        <v>471</v>
      </c>
      <c r="J13" t="s">
        <v>361</v>
      </c>
    </row>
    <row r="14" spans="1:10" x14ac:dyDescent="0.35">
      <c r="A14" s="2" t="s">
        <v>37</v>
      </c>
      <c r="B14" s="3" t="s">
        <v>529</v>
      </c>
      <c r="C14" s="3" t="s">
        <v>5</v>
      </c>
      <c r="D14" s="7" t="s">
        <v>233</v>
      </c>
      <c r="E14" s="7" t="s">
        <v>389</v>
      </c>
      <c r="F14" s="7" t="s">
        <v>390</v>
      </c>
      <c r="G14" s="7" t="s">
        <v>472</v>
      </c>
      <c r="H14" s="7" t="s">
        <v>473</v>
      </c>
      <c r="I14" s="7" t="s">
        <v>474</v>
      </c>
      <c r="J14" t="s">
        <v>361</v>
      </c>
    </row>
    <row r="15" spans="1:10" x14ac:dyDescent="0.35">
      <c r="A15" s="46" t="s">
        <v>39</v>
      </c>
      <c r="B15" s="5" t="s">
        <v>530</v>
      </c>
      <c r="C15" s="5" t="s">
        <v>5</v>
      </c>
      <c r="D15" s="7" t="s">
        <v>291</v>
      </c>
      <c r="E15" s="7" t="s">
        <v>391</v>
      </c>
      <c r="F15" s="7" t="s">
        <v>392</v>
      </c>
      <c r="G15" s="7" t="s">
        <v>475</v>
      </c>
      <c r="H15" s="7" t="s">
        <v>476</v>
      </c>
      <c r="I15" s="7" t="s">
        <v>477</v>
      </c>
      <c r="J15" t="s">
        <v>362</v>
      </c>
    </row>
    <row r="16" spans="1:10" x14ac:dyDescent="0.35">
      <c r="A16" s="2" t="s">
        <v>41</v>
      </c>
      <c r="B16" t="s">
        <v>531</v>
      </c>
      <c r="C16" s="3" t="s">
        <v>5</v>
      </c>
      <c r="D16" s="7" t="s">
        <v>235</v>
      </c>
      <c r="E16" s="7" t="s">
        <v>393</v>
      </c>
      <c r="F16" s="7" t="s">
        <v>394</v>
      </c>
      <c r="G16" s="7" t="s">
        <v>478</v>
      </c>
      <c r="H16" s="7" t="s">
        <v>479</v>
      </c>
      <c r="I16" s="7" t="s">
        <v>480</v>
      </c>
      <c r="J16" t="s">
        <v>361</v>
      </c>
    </row>
    <row r="17" spans="1:10" x14ac:dyDescent="0.35">
      <c r="A17" s="46" t="s">
        <v>43</v>
      </c>
      <c r="B17" s="5" t="s">
        <v>532</v>
      </c>
      <c r="C17" s="5" t="s">
        <v>5</v>
      </c>
      <c r="D17" s="7" t="s">
        <v>412</v>
      </c>
      <c r="E17" s="7" t="s">
        <v>430</v>
      </c>
      <c r="F17" s="7" t="s">
        <v>431</v>
      </c>
      <c r="G17" s="7" t="s">
        <v>519</v>
      </c>
      <c r="H17" s="7" t="s">
        <v>520</v>
      </c>
      <c r="I17" s="7" t="s">
        <v>521</v>
      </c>
      <c r="J17" s="7" t="s">
        <v>362</v>
      </c>
    </row>
    <row r="18" spans="1:10" x14ac:dyDescent="0.35">
      <c r="A18" s="48" t="s">
        <v>45</v>
      </c>
      <c r="B18" s="3" t="s">
        <v>533</v>
      </c>
      <c r="C18" s="3" t="s">
        <v>7</v>
      </c>
      <c r="D18" s="7" t="s">
        <v>237</v>
      </c>
      <c r="E18" s="7" t="s">
        <v>395</v>
      </c>
      <c r="F18" s="7" t="s">
        <v>427</v>
      </c>
      <c r="G18" s="7" t="s">
        <v>481</v>
      </c>
      <c r="H18" s="7" t="s">
        <v>482</v>
      </c>
      <c r="I18" s="7" t="s">
        <v>483</v>
      </c>
      <c r="J18" t="s">
        <v>361</v>
      </c>
    </row>
    <row r="19" spans="1:10" x14ac:dyDescent="0.35">
      <c r="A19" s="46" t="s">
        <v>47</v>
      </c>
      <c r="B19" s="5" t="s">
        <v>48</v>
      </c>
      <c r="C19" s="5" t="s">
        <v>7</v>
      </c>
      <c r="D19" s="7" t="s">
        <v>238</v>
      </c>
      <c r="E19" s="7" t="s">
        <v>396</v>
      </c>
      <c r="F19" s="7" t="s">
        <v>397</v>
      </c>
      <c r="G19" s="7" t="s">
        <v>484</v>
      </c>
      <c r="H19" s="7" t="s">
        <v>485</v>
      </c>
      <c r="I19" s="7" t="s">
        <v>486</v>
      </c>
      <c r="J19" s="7" t="s">
        <v>362</v>
      </c>
    </row>
    <row r="20" spans="1:10" x14ac:dyDescent="0.35">
      <c r="A20" s="47" t="s">
        <v>49</v>
      </c>
      <c r="B20" t="s">
        <v>534</v>
      </c>
      <c r="C20" s="3" t="s">
        <v>7</v>
      </c>
      <c r="D20" s="7" t="s">
        <v>239</v>
      </c>
      <c r="E20" s="7" t="s">
        <v>398</v>
      </c>
      <c r="F20" s="7" t="s">
        <v>399</v>
      </c>
      <c r="G20" s="7" t="s">
        <v>487</v>
      </c>
      <c r="H20" s="7" t="s">
        <v>488</v>
      </c>
      <c r="I20" s="7" t="s">
        <v>489</v>
      </c>
      <c r="J20" s="7" t="s">
        <v>362</v>
      </c>
    </row>
    <row r="21" spans="1:10" x14ac:dyDescent="0.35">
      <c r="A21" s="4" t="s">
        <v>51</v>
      </c>
      <c r="B21" s="5" t="s">
        <v>535</v>
      </c>
      <c r="C21" s="5" t="s">
        <v>7</v>
      </c>
      <c r="D21" s="7" t="s">
        <v>240</v>
      </c>
      <c r="E21" s="7" t="s">
        <v>400</v>
      </c>
      <c r="F21" s="7" t="s">
        <v>401</v>
      </c>
      <c r="G21" s="7" t="s">
        <v>489</v>
      </c>
      <c r="H21" s="7" t="s">
        <v>490</v>
      </c>
      <c r="I21" s="7" t="s">
        <v>491</v>
      </c>
      <c r="J21" t="s">
        <v>361</v>
      </c>
    </row>
    <row r="22" spans="1:10" x14ac:dyDescent="0.35">
      <c r="A22" s="2" t="s">
        <v>53</v>
      </c>
      <c r="B22" t="s">
        <v>536</v>
      </c>
      <c r="C22" s="3" t="s">
        <v>8</v>
      </c>
      <c r="D22" s="7" t="s">
        <v>545</v>
      </c>
      <c r="E22" s="7" t="s">
        <v>402</v>
      </c>
      <c r="F22" s="7" t="s">
        <v>403</v>
      </c>
      <c r="G22" s="7" t="s">
        <v>492</v>
      </c>
      <c r="H22" s="7" t="s">
        <v>493</v>
      </c>
      <c r="I22" s="7" t="s">
        <v>494</v>
      </c>
      <c r="J22" t="s">
        <v>361</v>
      </c>
    </row>
    <row r="23" spans="1:10" ht="16.5" x14ac:dyDescent="0.35">
      <c r="A23" s="63" t="s">
        <v>55</v>
      </c>
      <c r="B23" s="65" t="s">
        <v>542</v>
      </c>
      <c r="C23" s="5" t="s">
        <v>8</v>
      </c>
      <c r="D23" s="7" t="s">
        <v>547</v>
      </c>
      <c r="E23" s="7" t="s">
        <v>404</v>
      </c>
      <c r="F23" s="7" t="s">
        <v>405</v>
      </c>
      <c r="G23" s="7" t="s">
        <v>550</v>
      </c>
      <c r="H23" s="68" t="s">
        <v>551</v>
      </c>
      <c r="I23" s="68" t="s">
        <v>552</v>
      </c>
      <c r="J23" s="7" t="s">
        <v>362</v>
      </c>
    </row>
    <row r="24" spans="1:10" ht="16.5" x14ac:dyDescent="0.35">
      <c r="A24" s="64" t="s">
        <v>57</v>
      </c>
      <c r="B24" s="65" t="s">
        <v>543</v>
      </c>
      <c r="C24" s="3" t="s">
        <v>8</v>
      </c>
      <c r="D24" s="7" t="s">
        <v>549</v>
      </c>
      <c r="E24" s="7" t="s">
        <v>406</v>
      </c>
      <c r="F24" s="7" t="s">
        <v>407</v>
      </c>
      <c r="G24" s="7" t="s">
        <v>553</v>
      </c>
      <c r="H24" s="68" t="s">
        <v>554</v>
      </c>
      <c r="I24" s="68" t="s">
        <v>555</v>
      </c>
      <c r="J24" s="7" t="s">
        <v>362</v>
      </c>
    </row>
    <row r="25" spans="1:10" ht="16.5" x14ac:dyDescent="0.35">
      <c r="A25" s="63" t="s">
        <v>59</v>
      </c>
      <c r="B25" s="65" t="s">
        <v>544</v>
      </c>
      <c r="C25" s="5" t="s">
        <v>8</v>
      </c>
      <c r="D25" s="7" t="s">
        <v>548</v>
      </c>
      <c r="E25" s="7" t="s">
        <v>408</v>
      </c>
      <c r="F25" s="7" t="s">
        <v>409</v>
      </c>
      <c r="G25" s="7" t="s">
        <v>556</v>
      </c>
      <c r="H25" s="68" t="s">
        <v>557</v>
      </c>
      <c r="I25" s="68" t="s">
        <v>558</v>
      </c>
      <c r="J25" t="s">
        <v>361</v>
      </c>
    </row>
    <row r="26" spans="1:10" x14ac:dyDescent="0.35">
      <c r="A26" s="2" t="s">
        <v>61</v>
      </c>
      <c r="B26" s="3" t="s">
        <v>537</v>
      </c>
      <c r="C26" s="3" t="s">
        <v>9</v>
      </c>
      <c r="D26" s="7" t="s">
        <v>241</v>
      </c>
      <c r="E26" s="7" t="s">
        <v>426</v>
      </c>
      <c r="F26" s="7" t="s">
        <v>425</v>
      </c>
      <c r="G26" s="7" t="s">
        <v>495</v>
      </c>
      <c r="H26" s="7" t="s">
        <v>496</v>
      </c>
      <c r="I26" s="7" t="s">
        <v>497</v>
      </c>
      <c r="J26" t="s">
        <v>361</v>
      </c>
    </row>
    <row r="27" spans="1:10" x14ac:dyDescent="0.35">
      <c r="A27" s="4" t="s">
        <v>63</v>
      </c>
      <c r="B27" t="s">
        <v>538</v>
      </c>
      <c r="C27" s="5" t="s">
        <v>9</v>
      </c>
      <c r="D27" s="7" t="s">
        <v>242</v>
      </c>
      <c r="E27" s="7" t="s">
        <v>424</v>
      </c>
      <c r="F27" s="7" t="s">
        <v>423</v>
      </c>
      <c r="G27" s="7" t="s">
        <v>498</v>
      </c>
      <c r="H27" s="7" t="s">
        <v>499</v>
      </c>
      <c r="I27" s="7" t="s">
        <v>500</v>
      </c>
      <c r="J27" t="s">
        <v>361</v>
      </c>
    </row>
    <row r="28" spans="1:10" x14ac:dyDescent="0.35">
      <c r="A28" s="47" t="s">
        <v>65</v>
      </c>
      <c r="B28" s="3" t="s">
        <v>66</v>
      </c>
      <c r="C28" s="3" t="s">
        <v>9</v>
      </c>
      <c r="D28" s="7" t="s">
        <v>243</v>
      </c>
      <c r="E28" s="7" t="s">
        <v>422</v>
      </c>
      <c r="F28" s="7" t="s">
        <v>421</v>
      </c>
      <c r="G28" s="7" t="s">
        <v>501</v>
      </c>
      <c r="H28" s="7" t="s">
        <v>502</v>
      </c>
      <c r="I28" s="7" t="s">
        <v>503</v>
      </c>
      <c r="J28" t="s">
        <v>361</v>
      </c>
    </row>
    <row r="29" spans="1:10" x14ac:dyDescent="0.35">
      <c r="A29" s="46" t="s">
        <v>67</v>
      </c>
      <c r="B29" t="s">
        <v>539</v>
      </c>
      <c r="C29" s="5" t="s">
        <v>9</v>
      </c>
      <c r="D29" s="7" t="s">
        <v>244</v>
      </c>
      <c r="E29" s="7" t="s">
        <v>420</v>
      </c>
      <c r="F29" s="7" t="s">
        <v>419</v>
      </c>
      <c r="G29" s="7" t="s">
        <v>504</v>
      </c>
      <c r="H29" s="7" t="s">
        <v>505</v>
      </c>
      <c r="I29" s="7" t="s">
        <v>506</v>
      </c>
      <c r="J29" s="7" t="s">
        <v>362</v>
      </c>
    </row>
    <row r="30" spans="1:10" x14ac:dyDescent="0.35">
      <c r="A30" s="2" t="s">
        <v>69</v>
      </c>
      <c r="B30" t="s">
        <v>540</v>
      </c>
      <c r="C30" s="3" t="s">
        <v>10</v>
      </c>
      <c r="D30" s="7" t="s">
        <v>245</v>
      </c>
      <c r="E30" s="7" t="s">
        <v>418</v>
      </c>
      <c r="F30" s="7" t="s">
        <v>417</v>
      </c>
      <c r="G30" s="7" t="s">
        <v>507</v>
      </c>
      <c r="H30" s="7" t="s">
        <v>508</v>
      </c>
      <c r="I30" s="7" t="s">
        <v>509</v>
      </c>
      <c r="J30" t="s">
        <v>361</v>
      </c>
    </row>
    <row r="31" spans="1:10" x14ac:dyDescent="0.35">
      <c r="A31" s="46" t="s">
        <v>71</v>
      </c>
      <c r="B31" s="5" t="s">
        <v>72</v>
      </c>
      <c r="C31" s="5" t="s">
        <v>10</v>
      </c>
      <c r="D31" s="7" t="s">
        <v>246</v>
      </c>
      <c r="E31" s="7" t="s">
        <v>416</v>
      </c>
      <c r="F31" s="7" t="s">
        <v>415</v>
      </c>
      <c r="G31" s="7" t="s">
        <v>510</v>
      </c>
      <c r="H31" s="7" t="s">
        <v>511</v>
      </c>
      <c r="I31" s="7" t="s">
        <v>512</v>
      </c>
      <c r="J31" s="7" t="s">
        <v>362</v>
      </c>
    </row>
    <row r="32" spans="1:10" x14ac:dyDescent="0.35">
      <c r="A32" s="2" t="s">
        <v>73</v>
      </c>
      <c r="B32" s="3" t="s">
        <v>541</v>
      </c>
      <c r="C32" s="3" t="s">
        <v>10</v>
      </c>
      <c r="D32" s="7" t="s">
        <v>247</v>
      </c>
      <c r="E32" s="7" t="s">
        <v>414</v>
      </c>
      <c r="F32" s="7" t="s">
        <v>413</v>
      </c>
      <c r="G32" s="7" t="s">
        <v>513</v>
      </c>
      <c r="H32" s="7" t="s">
        <v>514</v>
      </c>
      <c r="I32" s="7" t="s">
        <v>515</v>
      </c>
      <c r="J32" s="7" t="s">
        <v>362</v>
      </c>
    </row>
    <row r="33" spans="1:10" x14ac:dyDescent="0.35">
      <c r="A33" s="50" t="s">
        <v>75</v>
      </c>
      <c r="B33" s="49" t="s">
        <v>292</v>
      </c>
      <c r="C33" s="3" t="s">
        <v>10</v>
      </c>
      <c r="D33" s="7" t="s">
        <v>293</v>
      </c>
      <c r="E33" s="7" t="s">
        <v>410</v>
      </c>
      <c r="F33" s="7" t="s">
        <v>411</v>
      </c>
      <c r="G33" s="7" t="s">
        <v>516</v>
      </c>
      <c r="H33" s="7" t="s">
        <v>517</v>
      </c>
      <c r="I33" s="7" t="s">
        <v>518</v>
      </c>
      <c r="J33" t="s">
        <v>362</v>
      </c>
    </row>
    <row r="34" spans="1:10" ht="16.5" x14ac:dyDescent="0.35">
      <c r="A34" s="66"/>
      <c r="B34" s="67"/>
      <c r="C34" s="5"/>
      <c r="D34" s="7"/>
      <c r="E34" s="7"/>
      <c r="F34" s="7"/>
      <c r="G34" s="7"/>
      <c r="H34" s="68"/>
      <c r="I34" s="68"/>
    </row>
    <row r="35" spans="1:10" ht="19.5" customHeight="1" x14ac:dyDescent="0.35">
      <c r="A35" s="4"/>
      <c r="B35" s="5"/>
      <c r="E35" s="7"/>
      <c r="F35" s="7"/>
      <c r="G35" s="7"/>
      <c r="H35" s="68"/>
      <c r="I35" s="68"/>
    </row>
    <row r="36" spans="1:10" ht="16.5" x14ac:dyDescent="0.35">
      <c r="A36" s="66"/>
      <c r="B36" s="65"/>
      <c r="D36" s="7"/>
      <c r="E36" s="7"/>
      <c r="F36" s="7"/>
      <c r="G36" s="7"/>
      <c r="H36" s="68"/>
      <c r="I36" s="68"/>
    </row>
  </sheetData>
  <dataValidations count="1">
    <dataValidation type="list" allowBlank="1" sqref="C2:C36" xr:uid="{785A028C-25C6-44F5-B7A6-2015B7739C33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5671-CAFA-4893-965D-A1E8E25D7EAE}">
  <dimension ref="A3:H37"/>
  <sheetViews>
    <sheetView zoomScale="65" workbookViewId="0">
      <selection activeCell="A5" sqref="A5"/>
    </sheetView>
  </sheetViews>
  <sheetFormatPr defaultRowHeight="14.5" x14ac:dyDescent="0.35"/>
  <cols>
    <col min="1" max="1" width="42.1796875" bestFit="1" customWidth="1"/>
    <col min="2" max="2" width="15.90625" bestFit="1" customWidth="1"/>
    <col min="3" max="3" width="8.81640625" bestFit="1" customWidth="1"/>
    <col min="4" max="4" width="7.81640625" bestFit="1" customWidth="1"/>
    <col min="5" max="5" width="6.81640625" bestFit="1" customWidth="1"/>
    <col min="6" max="6" width="10.1796875" bestFit="1" customWidth="1"/>
    <col min="7" max="7" width="5" bestFit="1" customWidth="1"/>
    <col min="8" max="8" width="11.81640625" bestFit="1" customWidth="1"/>
  </cols>
  <sheetData>
    <row r="3" spans="1:8" x14ac:dyDescent="0.35">
      <c r="A3" s="69" t="s">
        <v>560</v>
      </c>
      <c r="B3" s="69" t="s">
        <v>561</v>
      </c>
    </row>
    <row r="4" spans="1:8" x14ac:dyDescent="0.35">
      <c r="A4" s="69" t="s">
        <v>254</v>
      </c>
      <c r="B4" t="s">
        <v>263</v>
      </c>
      <c r="C4" t="s">
        <v>266</v>
      </c>
      <c r="D4" t="s">
        <v>262</v>
      </c>
      <c r="E4" t="s">
        <v>267</v>
      </c>
      <c r="F4" t="s">
        <v>265</v>
      </c>
      <c r="G4" t="s">
        <v>268</v>
      </c>
      <c r="H4" t="s">
        <v>559</v>
      </c>
    </row>
    <row r="5" spans="1:8" x14ac:dyDescent="0.35">
      <c r="A5" s="70" t="s">
        <v>226</v>
      </c>
      <c r="B5">
        <v>95</v>
      </c>
      <c r="C5">
        <v>85</v>
      </c>
      <c r="D5">
        <v>70</v>
      </c>
      <c r="E5">
        <v>76</v>
      </c>
      <c r="F5">
        <v>68</v>
      </c>
      <c r="G5">
        <v>75</v>
      </c>
      <c r="H5">
        <v>77.692307692307693</v>
      </c>
    </row>
    <row r="6" spans="1:8" x14ac:dyDescent="0.35">
      <c r="A6" s="70" t="s">
        <v>244</v>
      </c>
      <c r="B6">
        <v>90</v>
      </c>
      <c r="C6">
        <v>80</v>
      </c>
      <c r="D6">
        <v>65</v>
      </c>
      <c r="E6">
        <v>76</v>
      </c>
      <c r="F6">
        <v>68</v>
      </c>
      <c r="G6">
        <v>60</v>
      </c>
      <c r="H6">
        <v>73.07692307692308</v>
      </c>
    </row>
    <row r="7" spans="1:8" x14ac:dyDescent="0.35">
      <c r="A7" s="70" t="s">
        <v>229</v>
      </c>
      <c r="B7">
        <v>80</v>
      </c>
      <c r="C7">
        <v>75</v>
      </c>
      <c r="D7">
        <v>75</v>
      </c>
      <c r="E7">
        <v>72</v>
      </c>
      <c r="F7">
        <v>60</v>
      </c>
      <c r="G7">
        <v>90</v>
      </c>
      <c r="H7">
        <v>74.615384615384613</v>
      </c>
    </row>
    <row r="8" spans="1:8" x14ac:dyDescent="0.35">
      <c r="A8" s="70" t="s">
        <v>239</v>
      </c>
      <c r="B8">
        <v>70</v>
      </c>
      <c r="C8">
        <v>90</v>
      </c>
      <c r="D8">
        <v>80</v>
      </c>
      <c r="E8">
        <v>96</v>
      </c>
      <c r="F8">
        <v>64</v>
      </c>
      <c r="G8">
        <v>80</v>
      </c>
      <c r="H8">
        <v>80</v>
      </c>
    </row>
    <row r="9" spans="1:8" x14ac:dyDescent="0.35">
      <c r="A9" s="70" t="s">
        <v>237</v>
      </c>
      <c r="B9">
        <v>65</v>
      </c>
      <c r="C9">
        <v>70</v>
      </c>
      <c r="D9">
        <v>75</v>
      </c>
      <c r="E9">
        <v>76</v>
      </c>
      <c r="F9">
        <v>64</v>
      </c>
      <c r="G9">
        <v>60</v>
      </c>
      <c r="H9">
        <v>68.461538461538467</v>
      </c>
    </row>
    <row r="10" spans="1:8" x14ac:dyDescent="0.35">
      <c r="A10" s="70" t="s">
        <v>247</v>
      </c>
      <c r="B10">
        <v>70</v>
      </c>
      <c r="C10">
        <v>70</v>
      </c>
      <c r="D10">
        <v>80</v>
      </c>
      <c r="E10">
        <v>92</v>
      </c>
      <c r="F10">
        <v>64</v>
      </c>
      <c r="G10">
        <v>80</v>
      </c>
      <c r="H10">
        <v>76.15384615384616</v>
      </c>
    </row>
    <row r="11" spans="1:8" x14ac:dyDescent="0.35">
      <c r="A11" s="70" t="s">
        <v>228</v>
      </c>
      <c r="B11">
        <v>90</v>
      </c>
      <c r="C11">
        <v>75</v>
      </c>
      <c r="D11">
        <v>85</v>
      </c>
      <c r="E11">
        <v>88</v>
      </c>
      <c r="F11">
        <v>60</v>
      </c>
      <c r="G11">
        <v>85</v>
      </c>
      <c r="H11">
        <v>80</v>
      </c>
    </row>
    <row r="12" spans="1:8" x14ac:dyDescent="0.35">
      <c r="A12" s="70" t="s">
        <v>545</v>
      </c>
      <c r="B12">
        <v>70</v>
      </c>
      <c r="C12">
        <v>85</v>
      </c>
      <c r="D12">
        <v>85</v>
      </c>
      <c r="E12">
        <v>56</v>
      </c>
      <c r="F12">
        <v>64</v>
      </c>
      <c r="G12">
        <v>80</v>
      </c>
      <c r="H12">
        <v>72.307692307692307</v>
      </c>
    </row>
    <row r="13" spans="1:8" x14ac:dyDescent="0.35">
      <c r="A13" s="70" t="s">
        <v>235</v>
      </c>
      <c r="B13">
        <v>80</v>
      </c>
      <c r="C13">
        <v>85</v>
      </c>
      <c r="D13">
        <v>75</v>
      </c>
      <c r="E13">
        <v>84</v>
      </c>
      <c r="F13">
        <v>64</v>
      </c>
      <c r="G13">
        <v>80</v>
      </c>
      <c r="H13">
        <v>77.692307692307693</v>
      </c>
    </row>
    <row r="14" spans="1:8" x14ac:dyDescent="0.35">
      <c r="A14" s="70" t="s">
        <v>243</v>
      </c>
      <c r="B14">
        <v>85</v>
      </c>
      <c r="C14">
        <v>80</v>
      </c>
      <c r="D14">
        <v>70</v>
      </c>
      <c r="E14">
        <v>72</v>
      </c>
      <c r="F14">
        <v>68</v>
      </c>
      <c r="G14">
        <v>80</v>
      </c>
      <c r="H14">
        <v>75.384615384615387</v>
      </c>
    </row>
    <row r="15" spans="1:8" x14ac:dyDescent="0.35">
      <c r="A15" s="70" t="s">
        <v>293</v>
      </c>
      <c r="B15">
        <v>75</v>
      </c>
      <c r="C15">
        <v>60</v>
      </c>
      <c r="D15">
        <v>85</v>
      </c>
      <c r="E15">
        <v>76</v>
      </c>
      <c r="F15">
        <v>60</v>
      </c>
      <c r="G15">
        <v>75</v>
      </c>
      <c r="H15">
        <v>71.538461538461533</v>
      </c>
    </row>
    <row r="16" spans="1:8" x14ac:dyDescent="0.35">
      <c r="A16" s="70" t="s">
        <v>240</v>
      </c>
      <c r="B16">
        <v>75</v>
      </c>
      <c r="C16">
        <v>70</v>
      </c>
      <c r="D16">
        <v>85</v>
      </c>
      <c r="E16">
        <v>76</v>
      </c>
      <c r="F16">
        <v>64</v>
      </c>
      <c r="G16">
        <v>80</v>
      </c>
      <c r="H16">
        <v>74.615384615384613</v>
      </c>
    </row>
    <row r="17" spans="1:8" x14ac:dyDescent="0.35">
      <c r="A17" s="70" t="s">
        <v>222</v>
      </c>
      <c r="B17">
        <v>75</v>
      </c>
      <c r="C17">
        <v>85</v>
      </c>
      <c r="D17">
        <v>70</v>
      </c>
      <c r="E17">
        <v>76</v>
      </c>
      <c r="F17">
        <v>68</v>
      </c>
      <c r="G17">
        <v>85</v>
      </c>
      <c r="H17">
        <v>76.15384615384616</v>
      </c>
    </row>
    <row r="18" spans="1:8" x14ac:dyDescent="0.35">
      <c r="A18" s="70" t="s">
        <v>549</v>
      </c>
      <c r="B18">
        <v>85</v>
      </c>
      <c r="C18">
        <v>85</v>
      </c>
      <c r="D18">
        <v>75</v>
      </c>
      <c r="E18">
        <v>88</v>
      </c>
      <c r="F18">
        <v>72</v>
      </c>
      <c r="G18">
        <v>80</v>
      </c>
      <c r="H18">
        <v>80.769230769230774</v>
      </c>
    </row>
    <row r="19" spans="1:8" x14ac:dyDescent="0.35">
      <c r="A19" s="70" t="s">
        <v>548</v>
      </c>
      <c r="B19">
        <v>80</v>
      </c>
      <c r="C19">
        <v>75</v>
      </c>
      <c r="D19">
        <v>75</v>
      </c>
      <c r="E19">
        <v>68</v>
      </c>
      <c r="F19">
        <v>80</v>
      </c>
      <c r="G19">
        <v>70</v>
      </c>
      <c r="H19">
        <v>74.615384615384613</v>
      </c>
    </row>
    <row r="20" spans="1:8" x14ac:dyDescent="0.35">
      <c r="A20" s="70" t="s">
        <v>223</v>
      </c>
      <c r="B20">
        <v>85</v>
      </c>
      <c r="C20">
        <v>75</v>
      </c>
      <c r="D20">
        <v>85</v>
      </c>
      <c r="E20">
        <v>84</v>
      </c>
      <c r="F20">
        <v>72</v>
      </c>
      <c r="G20">
        <v>90</v>
      </c>
      <c r="H20">
        <v>81.538461538461533</v>
      </c>
    </row>
    <row r="21" spans="1:8" x14ac:dyDescent="0.35">
      <c r="A21" s="70" t="s">
        <v>253</v>
      </c>
      <c r="B21">
        <v>80</v>
      </c>
      <c r="C21">
        <v>85</v>
      </c>
      <c r="D21">
        <v>70</v>
      </c>
      <c r="E21">
        <v>68</v>
      </c>
      <c r="F21">
        <v>64</v>
      </c>
      <c r="G21">
        <v>60</v>
      </c>
      <c r="H21">
        <v>70.769230769230774</v>
      </c>
    </row>
    <row r="22" spans="1:8" x14ac:dyDescent="0.35">
      <c r="A22" s="70" t="s">
        <v>233</v>
      </c>
      <c r="B22">
        <v>70</v>
      </c>
      <c r="C22">
        <v>80</v>
      </c>
      <c r="D22">
        <v>75</v>
      </c>
      <c r="E22">
        <v>56</v>
      </c>
      <c r="F22">
        <v>68</v>
      </c>
      <c r="G22">
        <v>75</v>
      </c>
      <c r="H22">
        <v>70</v>
      </c>
    </row>
    <row r="23" spans="1:8" x14ac:dyDescent="0.35">
      <c r="A23" s="70" t="s">
        <v>224</v>
      </c>
      <c r="B23">
        <v>85</v>
      </c>
      <c r="C23">
        <v>75</v>
      </c>
      <c r="D23">
        <v>75</v>
      </c>
      <c r="E23">
        <v>68</v>
      </c>
      <c r="F23">
        <v>64</v>
      </c>
      <c r="G23">
        <v>75</v>
      </c>
      <c r="H23">
        <v>73.07692307692308</v>
      </c>
    </row>
    <row r="24" spans="1:8" x14ac:dyDescent="0.35">
      <c r="A24" s="70" t="s">
        <v>241</v>
      </c>
      <c r="B24">
        <v>75</v>
      </c>
      <c r="C24">
        <v>70</v>
      </c>
      <c r="D24">
        <v>80</v>
      </c>
      <c r="E24">
        <v>60</v>
      </c>
      <c r="F24">
        <v>76</v>
      </c>
      <c r="G24">
        <v>75</v>
      </c>
      <c r="H24">
        <v>72.307692307692307</v>
      </c>
    </row>
    <row r="25" spans="1:8" x14ac:dyDescent="0.35">
      <c r="A25" s="70" t="s">
        <v>225</v>
      </c>
      <c r="B25">
        <v>90</v>
      </c>
      <c r="C25">
        <v>80</v>
      </c>
      <c r="D25">
        <v>65</v>
      </c>
      <c r="E25">
        <v>64</v>
      </c>
      <c r="F25">
        <v>64</v>
      </c>
      <c r="G25">
        <v>70</v>
      </c>
      <c r="H25">
        <v>71.538461538461533</v>
      </c>
    </row>
    <row r="26" spans="1:8" x14ac:dyDescent="0.35">
      <c r="A26" s="70" t="s">
        <v>227</v>
      </c>
      <c r="B26">
        <v>95</v>
      </c>
      <c r="C26">
        <v>80</v>
      </c>
      <c r="D26">
        <v>85</v>
      </c>
      <c r="E26">
        <v>84</v>
      </c>
      <c r="F26">
        <v>72</v>
      </c>
      <c r="G26">
        <v>80</v>
      </c>
      <c r="H26">
        <v>82.307692307692307</v>
      </c>
    </row>
    <row r="27" spans="1:8" x14ac:dyDescent="0.35">
      <c r="A27" s="70" t="s">
        <v>291</v>
      </c>
      <c r="B27">
        <v>70</v>
      </c>
      <c r="C27">
        <v>100</v>
      </c>
      <c r="D27">
        <v>85</v>
      </c>
      <c r="E27">
        <v>84</v>
      </c>
      <c r="F27">
        <v>72</v>
      </c>
      <c r="G27">
        <v>95</v>
      </c>
      <c r="H27">
        <v>83.84615384615384</v>
      </c>
    </row>
    <row r="28" spans="1:8" x14ac:dyDescent="0.35">
      <c r="A28" s="70" t="s">
        <v>245</v>
      </c>
      <c r="B28">
        <v>75</v>
      </c>
      <c r="C28">
        <v>45</v>
      </c>
      <c r="D28">
        <v>70</v>
      </c>
      <c r="E28">
        <v>80</v>
      </c>
      <c r="F28">
        <v>68</v>
      </c>
      <c r="G28">
        <v>55</v>
      </c>
      <c r="H28">
        <v>66.15384615384616</v>
      </c>
    </row>
    <row r="29" spans="1:8" x14ac:dyDescent="0.35">
      <c r="A29" s="70" t="s">
        <v>231</v>
      </c>
      <c r="B29">
        <v>65</v>
      </c>
      <c r="C29">
        <v>75</v>
      </c>
      <c r="D29">
        <v>75</v>
      </c>
      <c r="E29">
        <v>80</v>
      </c>
      <c r="F29">
        <v>64</v>
      </c>
      <c r="G29">
        <v>85</v>
      </c>
      <c r="H29">
        <v>73.84615384615384</v>
      </c>
    </row>
    <row r="30" spans="1:8" x14ac:dyDescent="0.35">
      <c r="A30" s="70" t="s">
        <v>232</v>
      </c>
      <c r="B30">
        <v>75</v>
      </c>
      <c r="C30">
        <v>60</v>
      </c>
      <c r="D30">
        <v>80</v>
      </c>
      <c r="E30">
        <v>68</v>
      </c>
      <c r="F30">
        <v>64</v>
      </c>
      <c r="G30">
        <v>65</v>
      </c>
      <c r="H30">
        <v>68.461538461538467</v>
      </c>
    </row>
    <row r="31" spans="1:8" x14ac:dyDescent="0.35">
      <c r="A31" s="70" t="s">
        <v>242</v>
      </c>
      <c r="B31">
        <v>75</v>
      </c>
      <c r="C31">
        <v>65</v>
      </c>
      <c r="D31">
        <v>85</v>
      </c>
      <c r="E31">
        <v>80</v>
      </c>
      <c r="F31">
        <v>68</v>
      </c>
      <c r="G31">
        <v>90</v>
      </c>
      <c r="H31">
        <v>76.92307692307692</v>
      </c>
    </row>
    <row r="32" spans="1:8" x14ac:dyDescent="0.35">
      <c r="A32" s="70" t="s">
        <v>412</v>
      </c>
      <c r="B32">
        <v>80</v>
      </c>
      <c r="C32">
        <v>55</v>
      </c>
      <c r="D32">
        <v>70</v>
      </c>
      <c r="E32">
        <v>76</v>
      </c>
      <c r="F32">
        <v>64</v>
      </c>
      <c r="G32">
        <v>65</v>
      </c>
      <c r="H32">
        <v>68.461538461538467</v>
      </c>
    </row>
    <row r="33" spans="1:8" x14ac:dyDescent="0.35">
      <c r="A33" s="70" t="s">
        <v>246</v>
      </c>
      <c r="B33">
        <v>65</v>
      </c>
      <c r="C33">
        <v>45</v>
      </c>
      <c r="D33">
        <v>70</v>
      </c>
      <c r="E33">
        <v>72</v>
      </c>
      <c r="F33">
        <v>64</v>
      </c>
      <c r="G33">
        <v>85</v>
      </c>
      <c r="H33">
        <v>66.92307692307692</v>
      </c>
    </row>
    <row r="34" spans="1:8" x14ac:dyDescent="0.35">
      <c r="A34" s="70" t="s">
        <v>547</v>
      </c>
      <c r="B34">
        <v>70</v>
      </c>
      <c r="C34">
        <v>85</v>
      </c>
      <c r="D34">
        <v>75</v>
      </c>
      <c r="E34">
        <v>68</v>
      </c>
      <c r="F34">
        <v>60</v>
      </c>
      <c r="G34">
        <v>85</v>
      </c>
      <c r="H34">
        <v>73.07692307692308</v>
      </c>
    </row>
    <row r="35" spans="1:8" x14ac:dyDescent="0.35">
      <c r="A35" s="70" t="s">
        <v>238</v>
      </c>
      <c r="B35">
        <v>55</v>
      </c>
      <c r="C35">
        <v>95</v>
      </c>
      <c r="D35">
        <v>80</v>
      </c>
      <c r="E35">
        <v>84</v>
      </c>
      <c r="F35">
        <v>64</v>
      </c>
      <c r="G35">
        <v>80</v>
      </c>
      <c r="H35">
        <v>76.15384615384616</v>
      </c>
    </row>
    <row r="36" spans="1:8" x14ac:dyDescent="0.35">
      <c r="A36" s="70" t="s">
        <v>230</v>
      </c>
      <c r="B36">
        <v>70</v>
      </c>
      <c r="C36">
        <v>85</v>
      </c>
      <c r="D36">
        <v>75</v>
      </c>
      <c r="E36">
        <v>64</v>
      </c>
      <c r="F36">
        <v>52</v>
      </c>
      <c r="G36">
        <v>90</v>
      </c>
      <c r="H36">
        <v>71.538461538461533</v>
      </c>
    </row>
    <row r="37" spans="1:8" x14ac:dyDescent="0.35">
      <c r="A37" s="70" t="s">
        <v>559</v>
      </c>
      <c r="B37">
        <v>77.03125</v>
      </c>
      <c r="C37">
        <v>75.78125</v>
      </c>
      <c r="D37">
        <v>76.5625</v>
      </c>
      <c r="E37">
        <v>75.375</v>
      </c>
      <c r="F37">
        <v>65.875</v>
      </c>
      <c r="G37">
        <v>77.5</v>
      </c>
      <c r="H37">
        <v>74.375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4500-E4C3-4D34-A27E-8E198BEF4216}">
  <dimension ref="A1:M833"/>
  <sheetViews>
    <sheetView topLeftCell="E57" zoomScale="64" workbookViewId="0">
      <selection activeCell="F501" sqref="F501"/>
    </sheetView>
  </sheetViews>
  <sheetFormatPr defaultRowHeight="14.5" x14ac:dyDescent="0.35"/>
  <cols>
    <col min="1" max="1" width="14.7265625" customWidth="1"/>
    <col min="2" max="2" width="13.1796875" customWidth="1"/>
    <col min="3" max="3" width="16.7265625" customWidth="1"/>
    <col min="4" max="4" width="49.453125" customWidth="1"/>
    <col min="5" max="5" width="24.7265625" customWidth="1"/>
    <col min="6" max="6" width="11.36328125" customWidth="1"/>
    <col min="7" max="7" width="17.1796875" customWidth="1"/>
    <col min="8" max="8" width="60.36328125" customWidth="1"/>
    <col min="9" max="9" width="22" customWidth="1"/>
  </cols>
  <sheetData>
    <row r="1" spans="1:9" x14ac:dyDescent="0.35">
      <c r="A1" s="7" t="s">
        <v>82</v>
      </c>
      <c r="B1" s="9" t="s">
        <v>11</v>
      </c>
      <c r="C1" s="7" t="s">
        <v>81</v>
      </c>
      <c r="D1" s="7" t="s">
        <v>1</v>
      </c>
      <c r="E1" s="7" t="s">
        <v>114</v>
      </c>
      <c r="F1" s="7" t="s">
        <v>86</v>
      </c>
      <c r="G1" s="7" t="s">
        <v>119</v>
      </c>
      <c r="H1" s="7" t="s">
        <v>221</v>
      </c>
      <c r="I1" s="7" t="s">
        <v>264</v>
      </c>
    </row>
    <row r="2" spans="1:9" x14ac:dyDescent="0.35">
      <c r="A2" t="s">
        <v>89</v>
      </c>
      <c r="B2" t="s">
        <v>13</v>
      </c>
      <c r="C2" t="s">
        <v>85</v>
      </c>
      <c r="D2" t="str">
        <f>VLOOKUP(Table7[[#This Row],[QuestionID]], FinalQuestions!$A:$C, 3, FALSE)</f>
        <v>Role Modelling</v>
      </c>
      <c r="E2">
        <f>IF(Table7[[#This Row],[Response]]="","",CHOOSE(MATCH(Table7[[#This Row],[Response]],{"Strongly Agree","Agree","Neutral","Disagree","Strongly Disagree","Not Applicable"},0),5,4,3,2,1,""))</f>
        <v>5</v>
      </c>
      <c r="F2">
        <f>Table7[[#This Row],[Scores]] * 20</f>
        <v>100</v>
      </c>
      <c r="G2">
        <f>IF(OR(Table7[[#This Row],[Response]]="Strongly Agree",Table7[[#This Row],[Response]]="Agree"),1,0)</f>
        <v>1</v>
      </c>
      <c r="H2" t="str">
        <f>_xlfn.XLOOKUP(Table7[[#This Row],[QuestionID]], FinalQuestions!$A:$A, FinalQuestions!$D:$D,"")</f>
        <v xml:space="preserve">Leadership Example‑Setting in Risk Management </v>
      </c>
      <c r="I2" t="s">
        <v>262</v>
      </c>
    </row>
    <row r="3" spans="1:9" x14ac:dyDescent="0.35">
      <c r="A3" t="s">
        <v>89</v>
      </c>
      <c r="B3" t="s">
        <v>15</v>
      </c>
      <c r="C3" t="s">
        <v>6</v>
      </c>
      <c r="D3" t="str">
        <f>VLOOKUP(Table7[[#This Row],[QuestionID]], FinalQuestions!$A:$C, 3, FALSE)</f>
        <v>Role Modelling</v>
      </c>
      <c r="E3">
        <f>IF(Table7[[#This Row],[Response]]="","",CHOOSE(MATCH(Table7[[#This Row],[Response]],{"Strongly Agree","Agree","Neutral","Disagree","Strongly Disagree","Not Applicable"},0),5,4,3,2,1,""))</f>
        <v>2</v>
      </c>
      <c r="F3">
        <f>Table7[[#This Row],[Scores]] * 20</f>
        <v>40</v>
      </c>
      <c r="G3">
        <f>IF(OR(Table7[[#This Row],[Response]]="Strongly Agree",Table7[[#This Row],[Response]]="Agree"),1,0)</f>
        <v>0</v>
      </c>
      <c r="H3" t="str">
        <f>_xlfn.XLOOKUP(Table7[[#This Row],[QuestionID]], FinalQuestions!$A:$A, FinalQuestions!$D:$D,"")</f>
        <v>Executive Commitment to Risk Culture</v>
      </c>
      <c r="I3" t="s">
        <v>262</v>
      </c>
    </row>
    <row r="4" spans="1:9" x14ac:dyDescent="0.35">
      <c r="A4" t="s">
        <v>89</v>
      </c>
      <c r="B4" t="s">
        <v>17</v>
      </c>
      <c r="C4" t="s">
        <v>85</v>
      </c>
      <c r="D4" t="str">
        <f>VLOOKUP(Table7[[#This Row],[QuestionID]], FinalQuestions!$A:$C, 3, FALSE)</f>
        <v>Role Modelling</v>
      </c>
      <c r="E4">
        <f>IF(Table7[[#This Row],[Response]]="","",CHOOSE(MATCH(Table7[[#This Row],[Response]],{"Strongly Agree","Agree","Neutral","Disagree","Strongly Disagree","Not Applicable"},0),5,4,3,2,1,""))</f>
        <v>5</v>
      </c>
      <c r="F4">
        <f>Table7[[#This Row],[Scores]] * 20</f>
        <v>100</v>
      </c>
      <c r="G4">
        <f>IF(OR(Table7[[#This Row],[Response]]="Strongly Agree",Table7[[#This Row],[Response]]="Agree"),1,0)</f>
        <v>1</v>
      </c>
      <c r="H4" t="str">
        <f>_xlfn.XLOOKUP(Table7[[#This Row],[QuestionID]], FinalQuestions!$A:$A, FinalQuestions!$D:$D,"")</f>
        <v>Leadership Encouragement to Escalate Risks</v>
      </c>
      <c r="I4" t="s">
        <v>262</v>
      </c>
    </row>
    <row r="5" spans="1:9" x14ac:dyDescent="0.35">
      <c r="A5" t="s">
        <v>89</v>
      </c>
      <c r="B5" t="s">
        <v>19</v>
      </c>
      <c r="C5" t="s">
        <v>85</v>
      </c>
      <c r="D5" t="str">
        <f>VLOOKUP(Table7[[#This Row],[QuestionID]], FinalQuestions!$A:$C, 3, FALSE)</f>
        <v>Role Modelling</v>
      </c>
      <c r="E5">
        <f>IF(Table7[[#This Row],[Response]]="","",CHOOSE(MATCH(Table7[[#This Row],[Response]],{"Strongly Agree","Agree","Neutral","Disagree","Strongly Disagree","Not Applicable"},0),5,4,3,2,1,""))</f>
        <v>5</v>
      </c>
      <c r="F5">
        <f>Table7[[#This Row],[Scores]] * 20</f>
        <v>100</v>
      </c>
      <c r="G5">
        <f>IF(OR(Table7[[#This Row],[Response]]="Strongly Agree",Table7[[#This Row],[Response]]="Agree"),1,0)</f>
        <v>1</v>
      </c>
      <c r="H5" t="str">
        <f>_xlfn.XLOOKUP(Table7[[#This Row],[QuestionID]], FinalQuestions!$A:$A, FinalQuestions!$D:$D,"")</f>
        <v>Long-Term Decision Awareness</v>
      </c>
      <c r="I5" t="s">
        <v>262</v>
      </c>
    </row>
    <row r="6" spans="1:9" x14ac:dyDescent="0.35">
      <c r="A6" t="s">
        <v>89</v>
      </c>
      <c r="B6" t="s">
        <v>21</v>
      </c>
      <c r="C6" t="s">
        <v>85</v>
      </c>
      <c r="D6" t="str">
        <f>VLOOKUP(Table7[[#This Row],[QuestionID]], FinalQuestions!$A:$C, 3, FALSE)</f>
        <v>Discussability</v>
      </c>
      <c r="E6">
        <f>IF(Table7[[#This Row],[Response]]="","",CHOOSE(MATCH(Table7[[#This Row],[Response]],{"Strongly Agree","Agree","Neutral","Disagree","Strongly Disagree","Not Applicable"},0),5,4,3,2,1,""))</f>
        <v>5</v>
      </c>
      <c r="F6">
        <f>Table7[[#This Row],[Scores]] * 20</f>
        <v>100</v>
      </c>
      <c r="G6">
        <f>IF(OR(Table7[[#This Row],[Response]]="Strongly Agree",Table7[[#This Row],[Response]]="Agree"),1,0)</f>
        <v>1</v>
      </c>
      <c r="H6" t="str">
        <f>_xlfn.XLOOKUP(Table7[[#This Row],[QuestionID]], FinalQuestions!$A:$A, FinalQuestions!$D:$D,"")</f>
        <v>Openness to Discussions</v>
      </c>
      <c r="I6" t="s">
        <v>262</v>
      </c>
    </row>
    <row r="7" spans="1:9" x14ac:dyDescent="0.35">
      <c r="A7" t="s">
        <v>89</v>
      </c>
      <c r="B7" t="s">
        <v>23</v>
      </c>
      <c r="C7" t="s">
        <v>85</v>
      </c>
      <c r="D7" t="str">
        <f>VLOOKUP(Table7[[#This Row],[QuestionID]], FinalQuestions!$A:$C, 3, FALSE)</f>
        <v>Discussability</v>
      </c>
      <c r="E7">
        <f>IF(Table7[[#This Row],[Response]]="","",CHOOSE(MATCH(Table7[[#This Row],[Response]],{"Strongly Agree","Agree","Neutral","Disagree","Strongly Disagree","Not Applicable"},0),5,4,3,2,1,""))</f>
        <v>5</v>
      </c>
      <c r="F7">
        <f>Table7[[#This Row],[Scores]] * 20</f>
        <v>100</v>
      </c>
      <c r="G7">
        <f>IF(OR(Table7[[#This Row],[Response]]="Strongly Agree",Table7[[#This Row],[Response]]="Agree"),1,0)</f>
        <v>1</v>
      </c>
      <c r="H7" t="str">
        <f>_xlfn.XLOOKUP(Table7[[#This Row],[QuestionID]], FinalQuestions!$A:$A, FinalQuestions!$D:$D,"")</f>
        <v>Access to Guidance</v>
      </c>
      <c r="I7" t="s">
        <v>262</v>
      </c>
    </row>
    <row r="8" spans="1:9" x14ac:dyDescent="0.35">
      <c r="A8" t="s">
        <v>89</v>
      </c>
      <c r="B8" t="s">
        <v>25</v>
      </c>
      <c r="C8" t="s">
        <v>85</v>
      </c>
      <c r="D8" t="str">
        <f>VLOOKUP(Table7[[#This Row],[QuestionID]], FinalQuestions!$A:$C, 3, FALSE)</f>
        <v>Discussability</v>
      </c>
      <c r="E8">
        <f>IF(Table7[[#This Row],[Response]]="","",CHOOSE(MATCH(Table7[[#This Row],[Response]],{"Strongly Agree","Agree","Neutral","Disagree","Strongly Disagree","Not Applicable"},0),5,4,3,2,1,""))</f>
        <v>5</v>
      </c>
      <c r="F8">
        <f>Table7[[#This Row],[Scores]] * 20</f>
        <v>100</v>
      </c>
      <c r="G8">
        <f>IF(OR(Table7[[#This Row],[Response]]="Strongly Agree",Table7[[#This Row],[Response]]="Agree"),1,0)</f>
        <v>1</v>
      </c>
      <c r="H8" t="str">
        <f>_xlfn.XLOOKUP(Table7[[#This Row],[QuestionID]], FinalQuestions!$A:$A, FinalQuestions!$D:$D,"")</f>
        <v>Openness to Sharing Opinions</v>
      </c>
      <c r="I8" t="s">
        <v>262</v>
      </c>
    </row>
    <row r="9" spans="1:9" x14ac:dyDescent="0.35">
      <c r="A9" t="s">
        <v>89</v>
      </c>
      <c r="B9" t="s">
        <v>27</v>
      </c>
      <c r="C9" t="s">
        <v>85</v>
      </c>
      <c r="D9" t="str">
        <f>VLOOKUP(Table7[[#This Row],[QuestionID]], FinalQuestions!$A:$C, 3, FALSE)</f>
        <v>Discussability</v>
      </c>
      <c r="E9">
        <f>IF(Table7[[#This Row],[Response]]="","",CHOOSE(MATCH(Table7[[#This Row],[Response]],{"Strongly Agree","Agree","Neutral","Disagree","Strongly Disagree","Not Applicable"},0),5,4,3,2,1,""))</f>
        <v>5</v>
      </c>
      <c r="F9">
        <f>Table7[[#This Row],[Scores]] * 20</f>
        <v>100</v>
      </c>
      <c r="G9">
        <f>IF(OR(Table7[[#This Row],[Response]]="Strongly Agree",Table7[[#This Row],[Response]]="Agree"),1,0)</f>
        <v>1</v>
      </c>
      <c r="H9" t="str">
        <f>_xlfn.XLOOKUP(Table7[[#This Row],[QuestionID]], FinalQuestions!$A:$A, FinalQuestions!$D:$D,"")</f>
        <v>Comfort in Reporting Risk Dilemmas</v>
      </c>
      <c r="I9" t="s">
        <v>262</v>
      </c>
    </row>
    <row r="10" spans="1:9" x14ac:dyDescent="0.35">
      <c r="A10" t="s">
        <v>89</v>
      </c>
      <c r="B10" t="s">
        <v>29</v>
      </c>
      <c r="C10" t="s">
        <v>85</v>
      </c>
      <c r="D10" t="str">
        <f>VLOOKUP(Table7[[#This Row],[QuestionID]], FinalQuestions!$A:$C, 3, FALSE)</f>
        <v>Achievability</v>
      </c>
      <c r="E10">
        <f>IF(Table7[[#This Row],[Response]]="","",CHOOSE(MATCH(Table7[[#This Row],[Response]],{"Strongly Agree","Agree","Neutral","Disagree","Strongly Disagree","Not Applicable"},0),5,4,3,2,1,""))</f>
        <v>5</v>
      </c>
      <c r="F10">
        <f>Table7[[#This Row],[Scores]] * 20</f>
        <v>100</v>
      </c>
      <c r="G10">
        <f>IF(OR(Table7[[#This Row],[Response]]="Strongly Agree",Table7[[#This Row],[Response]]="Agree"),1,0)</f>
        <v>1</v>
      </c>
      <c r="H10" t="str">
        <f>_xlfn.XLOOKUP(Table7[[#This Row],[QuestionID]], FinalQuestions!$A:$A, FinalQuestions!$D:$D,"")</f>
        <v>Adequacy of Risk Management Training</v>
      </c>
      <c r="I10" t="s">
        <v>262</v>
      </c>
    </row>
    <row r="11" spans="1:9" x14ac:dyDescent="0.35">
      <c r="A11" t="s">
        <v>89</v>
      </c>
      <c r="B11" t="s">
        <v>31</v>
      </c>
      <c r="C11" t="s">
        <v>85</v>
      </c>
      <c r="D11" t="str">
        <f>VLOOKUP(Table7[[#This Row],[QuestionID]], FinalQuestions!$A:$C, 3, FALSE)</f>
        <v>Achievability</v>
      </c>
      <c r="E11">
        <f>IF(Table7[[#This Row],[Response]]="","",CHOOSE(MATCH(Table7[[#This Row],[Response]],{"Strongly Agree","Agree","Neutral","Disagree","Strongly Disagree","Not Applicable"},0),5,4,3,2,1,""))</f>
        <v>5</v>
      </c>
      <c r="F11">
        <f>Table7[[#This Row],[Scores]] * 20</f>
        <v>100</v>
      </c>
      <c r="G11">
        <f>IF(OR(Table7[[#This Row],[Response]]="Strongly Agree",Table7[[#This Row],[Response]]="Agree"),1,0)</f>
        <v>1</v>
      </c>
      <c r="H11" t="str">
        <f>_xlfn.XLOOKUP(Table7[[#This Row],[QuestionID]], FinalQuestions!$A:$A, FinalQuestions!$D:$D,"")</f>
        <v>Workload Balance &amp; Resource Sufficiency</v>
      </c>
      <c r="I11" t="s">
        <v>262</v>
      </c>
    </row>
    <row r="12" spans="1:9" x14ac:dyDescent="0.35">
      <c r="A12" t="s">
        <v>89</v>
      </c>
      <c r="B12" t="s">
        <v>33</v>
      </c>
      <c r="C12" t="s">
        <v>85</v>
      </c>
      <c r="D12" t="str">
        <f>VLOOKUP(Table7[[#This Row],[QuestionID]], FinalQuestions!$A:$C, 3, FALSE)</f>
        <v>Achievability</v>
      </c>
      <c r="E12">
        <f>IF(Table7[[#This Row],[Response]]="","",CHOOSE(MATCH(Table7[[#This Row],[Response]],{"Strongly Agree","Agree","Neutral","Disagree","Strongly Disagree","Not Applicable"},0),5,4,3,2,1,""))</f>
        <v>5</v>
      </c>
      <c r="F12">
        <f>Table7[[#This Row],[Scores]] * 20</f>
        <v>100</v>
      </c>
      <c r="G12">
        <f>IF(OR(Table7[[#This Row],[Response]]="Strongly Agree",Table7[[#This Row],[Response]]="Agree"),1,0)</f>
        <v>1</v>
      </c>
      <c r="H12" t="str">
        <f>_xlfn.XLOOKUP(Table7[[#This Row],[QuestionID]], FinalQuestions!$A:$A, FinalQuestions!$D:$D,"")</f>
        <v>Realistic Target Setting</v>
      </c>
      <c r="I12" t="s">
        <v>262</v>
      </c>
    </row>
    <row r="13" spans="1:9" x14ac:dyDescent="0.35">
      <c r="A13" t="s">
        <v>89</v>
      </c>
      <c r="B13" t="s">
        <v>35</v>
      </c>
      <c r="C13" t="s">
        <v>85</v>
      </c>
      <c r="D13" t="str">
        <f>VLOOKUP(Table7[[#This Row],[QuestionID]], FinalQuestions!$A:$C, 3, FALSE)</f>
        <v>Achievability</v>
      </c>
      <c r="E13">
        <f>IF(Table7[[#This Row],[Response]]="","",CHOOSE(MATCH(Table7[[#This Row],[Response]],{"Strongly Agree","Agree","Neutral","Disagree","Strongly Disagree","Not Applicable"},0),5,4,3,2,1,""))</f>
        <v>5</v>
      </c>
      <c r="F13">
        <f>Table7[[#This Row],[Scores]] * 20</f>
        <v>100</v>
      </c>
      <c r="G13">
        <f>IF(OR(Table7[[#This Row],[Response]]="Strongly Agree",Table7[[#This Row],[Response]]="Agree"),1,0)</f>
        <v>1</v>
      </c>
      <c r="H13" t="str">
        <f>_xlfn.XLOOKUP(Table7[[#This Row],[QuestionID]], FinalQuestions!$A:$A, FinalQuestions!$D:$D,"")</f>
        <v>Risk Insight in Decision Making</v>
      </c>
      <c r="I13" t="s">
        <v>262</v>
      </c>
    </row>
    <row r="14" spans="1:9" x14ac:dyDescent="0.35">
      <c r="A14" t="s">
        <v>89</v>
      </c>
      <c r="B14" t="s">
        <v>37</v>
      </c>
      <c r="C14" t="s">
        <v>85</v>
      </c>
      <c r="D14" t="str">
        <f>VLOOKUP(Table7[[#This Row],[QuestionID]], FinalQuestions!$A:$C, 3, FALSE)</f>
        <v>Enforcement</v>
      </c>
      <c r="E14">
        <f>IF(Table7[[#This Row],[Response]]="","",CHOOSE(MATCH(Table7[[#This Row],[Response]],{"Strongly Agree","Agree","Neutral","Disagree","Strongly Disagree","Not Applicable"},0),5,4,3,2,1,""))</f>
        <v>5</v>
      </c>
      <c r="F14">
        <f>Table7[[#This Row],[Scores]] * 20</f>
        <v>100</v>
      </c>
      <c r="G14">
        <f>IF(OR(Table7[[#This Row],[Response]]="Strongly Agree",Table7[[#This Row],[Response]]="Agree"),1,0)</f>
        <v>1</v>
      </c>
      <c r="H14" t="str">
        <f>_xlfn.XLOOKUP(Table7[[#This Row],[QuestionID]], FinalQuestions!$A:$A, FinalQuestions!$D:$D,"")</f>
        <v>Learning Culture from Non‑Compliance Cases</v>
      </c>
      <c r="I14" t="s">
        <v>262</v>
      </c>
    </row>
    <row r="15" spans="1:9" x14ac:dyDescent="0.35">
      <c r="A15" t="s">
        <v>89</v>
      </c>
      <c r="B15" t="s">
        <v>39</v>
      </c>
      <c r="C15" t="s">
        <v>85</v>
      </c>
      <c r="D15" t="str">
        <f>VLOOKUP(Table7[[#This Row],[QuestionID]], FinalQuestions!$A:$C, 3, FALSE)</f>
        <v>Enforcement</v>
      </c>
      <c r="E15">
        <f>IF(Table7[[#This Row],[Response]]="","",CHOOSE(MATCH(Table7[[#This Row],[Response]],{"Strongly Agree","Agree","Neutral","Disagree","Strongly Disagree","Not Applicable"},0),5,4,3,2,1,""))</f>
        <v>5</v>
      </c>
      <c r="F15">
        <f>Table7[[#This Row],[Scores]] * 20</f>
        <v>100</v>
      </c>
      <c r="G15">
        <f>IF(OR(Table7[[#This Row],[Response]]="Strongly Agree",Table7[[#This Row],[Response]]="Agree"),1,0)</f>
        <v>1</v>
      </c>
      <c r="H15" t="str">
        <f>_xlfn.XLOOKUP(Table7[[#This Row],[QuestionID]], FinalQuestions!$A:$A, FinalQuestions!$D:$D,"")</f>
        <v>Organizational View on Risk Culture</v>
      </c>
      <c r="I15" t="s">
        <v>262</v>
      </c>
    </row>
    <row r="16" spans="1:9" x14ac:dyDescent="0.35">
      <c r="A16" t="s">
        <v>89</v>
      </c>
      <c r="B16" t="s">
        <v>41</v>
      </c>
      <c r="C16" t="s">
        <v>85</v>
      </c>
      <c r="D16" t="str">
        <f>VLOOKUP(Table7[[#This Row],[QuestionID]], FinalQuestions!$A:$C, 3, FALSE)</f>
        <v>Enforcement</v>
      </c>
      <c r="E16">
        <f>IF(Table7[[#This Row],[Response]]="","",CHOOSE(MATCH(Table7[[#This Row],[Response]],{"Strongly Agree","Agree","Neutral","Disagree","Strongly Disagree","Not Applicable"},0),5,4,3,2,1,""))</f>
        <v>5</v>
      </c>
      <c r="F16">
        <f>Table7[[#This Row],[Scores]] * 20</f>
        <v>100</v>
      </c>
      <c r="G16">
        <f>IF(OR(Table7[[#This Row],[Response]]="Strongly Agree",Table7[[#This Row],[Response]]="Agree"),1,0)</f>
        <v>1</v>
      </c>
      <c r="H16" t="str">
        <f>_xlfn.XLOOKUP(Table7[[#This Row],[QuestionID]], FinalQuestions!$A:$A, FinalQuestions!$D:$D,"")</f>
        <v>Compliance Recognition &amp; enforcement</v>
      </c>
      <c r="I16" t="s">
        <v>262</v>
      </c>
    </row>
    <row r="17" spans="1:9" x14ac:dyDescent="0.35">
      <c r="A17" t="s">
        <v>89</v>
      </c>
      <c r="B17" t="s">
        <v>43</v>
      </c>
      <c r="C17" t="s">
        <v>85</v>
      </c>
      <c r="D17" t="str">
        <f>VLOOKUP(Table7[[#This Row],[QuestionID]], FinalQuestions!$A:$C, 3, FALSE)</f>
        <v>Enforcement</v>
      </c>
      <c r="E17">
        <f>IF(Table7[[#This Row],[Response]]="","",CHOOSE(MATCH(Table7[[#This Row],[Response]],{"Strongly Agree","Agree","Neutral","Disagree","Strongly Disagree","Not Applicable"},0),5,4,3,2,1,""))</f>
        <v>5</v>
      </c>
      <c r="F17">
        <f>Table7[[#This Row],[Scores]] * 20</f>
        <v>100</v>
      </c>
      <c r="G17">
        <f>IF(OR(Table7[[#This Row],[Response]]="Strongly Agree",Table7[[#This Row],[Response]]="Agree"),1,0)</f>
        <v>1</v>
      </c>
      <c r="H17" t="str">
        <f>_xlfn.XLOOKUP(Table7[[#This Row],[QuestionID]], FinalQuestions!$A:$A, FinalQuestions!$D:$D,"")</f>
        <v>Sense of Ownership</v>
      </c>
      <c r="I17" t="s">
        <v>262</v>
      </c>
    </row>
    <row r="18" spans="1:9" x14ac:dyDescent="0.35">
      <c r="A18" t="s">
        <v>89</v>
      </c>
      <c r="B18" t="s">
        <v>45</v>
      </c>
      <c r="C18" t="s">
        <v>85</v>
      </c>
      <c r="D18" t="str">
        <f>VLOOKUP(Table7[[#This Row],[QuestionID]], FinalQuestions!$A:$C, 3, FALSE)</f>
        <v>Clarity</v>
      </c>
      <c r="E18">
        <f>IF(Table7[[#This Row],[Response]]="","",CHOOSE(MATCH(Table7[[#This Row],[Response]],{"Strongly Agree","Agree","Neutral","Disagree","Strongly Disagree","Not Applicable"},0),5,4,3,2,1,""))</f>
        <v>5</v>
      </c>
      <c r="F18">
        <f>Table7[[#This Row],[Scores]] * 20</f>
        <v>100</v>
      </c>
      <c r="G18">
        <f>IF(OR(Table7[[#This Row],[Response]]="Strongly Agree",Table7[[#This Row],[Response]]="Agree"),1,0)</f>
        <v>1</v>
      </c>
      <c r="H18" t="str">
        <f>_xlfn.XLOOKUP(Table7[[#This Row],[QuestionID]], FinalQuestions!$A:$A, FinalQuestions!$D:$D,"")</f>
        <v>Clarity of Role and Responsibilities</v>
      </c>
      <c r="I18" t="s">
        <v>262</v>
      </c>
    </row>
    <row r="19" spans="1:9" x14ac:dyDescent="0.35">
      <c r="A19" t="s">
        <v>89</v>
      </c>
      <c r="B19" t="s">
        <v>47</v>
      </c>
      <c r="C19" t="s">
        <v>85</v>
      </c>
      <c r="D19" t="str">
        <f>VLOOKUP(Table7[[#This Row],[QuestionID]], FinalQuestions!$A:$C, 3, FALSE)</f>
        <v>Clarity</v>
      </c>
      <c r="E19">
        <f>IF(Table7[[#This Row],[Response]]="","",CHOOSE(MATCH(Table7[[#This Row],[Response]],{"Strongly Agree","Agree","Neutral","Disagree","Strongly Disagree","Not Applicable"},0),5,4,3,2,1,""))</f>
        <v>5</v>
      </c>
      <c r="F19">
        <f>Table7[[#This Row],[Scores]] * 20</f>
        <v>100</v>
      </c>
      <c r="G19">
        <f>IF(OR(Table7[[#This Row],[Response]]="Strongly Agree",Table7[[#This Row],[Response]]="Agree"),1,0)</f>
        <v>1</v>
      </c>
      <c r="H19" t="str">
        <f>_xlfn.XLOOKUP(Table7[[#This Row],[QuestionID]], FinalQuestions!$A:$A, FinalQuestions!$D:$D,"")</f>
        <v>Understanding of Risk Policies &amp; Procedures</v>
      </c>
      <c r="I19" t="s">
        <v>262</v>
      </c>
    </row>
    <row r="20" spans="1:9" x14ac:dyDescent="0.35">
      <c r="A20" t="s">
        <v>89</v>
      </c>
      <c r="B20" t="s">
        <v>49</v>
      </c>
      <c r="C20" t="s">
        <v>85</v>
      </c>
      <c r="D20" t="str">
        <f>VLOOKUP(Table7[[#This Row],[QuestionID]], FinalQuestions!$A:$C, 3, FALSE)</f>
        <v>Clarity</v>
      </c>
      <c r="E20">
        <f>IF(Table7[[#This Row],[Response]]="","",CHOOSE(MATCH(Table7[[#This Row],[Response]],{"Strongly Agree","Agree","Neutral","Disagree","Strongly Disagree","Not Applicable"},0),5,4,3,2,1,""))</f>
        <v>5</v>
      </c>
      <c r="F20">
        <f>Table7[[#This Row],[Scores]] * 20</f>
        <v>100</v>
      </c>
      <c r="G20">
        <f>IF(OR(Table7[[#This Row],[Response]]="Strongly Agree",Table7[[#This Row],[Response]]="Agree"),1,0)</f>
        <v>1</v>
      </c>
      <c r="H20" t="str">
        <f>_xlfn.XLOOKUP(Table7[[#This Row],[QuestionID]], FinalQuestions!$A:$A, FinalQuestions!$D:$D,"")</f>
        <v>Clarity of Personal Risk Boundaries</v>
      </c>
      <c r="I20" t="s">
        <v>262</v>
      </c>
    </row>
    <row r="21" spans="1:9" x14ac:dyDescent="0.35">
      <c r="A21" t="s">
        <v>89</v>
      </c>
      <c r="B21" t="s">
        <v>51</v>
      </c>
      <c r="C21" t="s">
        <v>85</v>
      </c>
      <c r="D21" t="str">
        <f>VLOOKUP(Table7[[#This Row],[QuestionID]], FinalQuestions!$A:$C, 3, FALSE)</f>
        <v>Clarity</v>
      </c>
      <c r="E21">
        <f>IF(Table7[[#This Row],[Response]]="","",CHOOSE(MATCH(Table7[[#This Row],[Response]],{"Strongly Agree","Agree","Neutral","Disagree","Strongly Disagree","Not Applicable"},0),5,4,3,2,1,""))</f>
        <v>5</v>
      </c>
      <c r="F21">
        <f>Table7[[#This Row],[Scores]] * 20</f>
        <v>100</v>
      </c>
      <c r="G21">
        <f>IF(OR(Table7[[#This Row],[Response]]="Strongly Agree",Table7[[#This Row],[Response]]="Agree"),1,0)</f>
        <v>1</v>
      </c>
      <c r="H21" t="str">
        <f>_xlfn.XLOOKUP(Table7[[#This Row],[QuestionID]], FinalQuestions!$A:$A, FinalQuestions!$D:$D,"")</f>
        <v>Effectiveness of Risk Communication &amp; Training</v>
      </c>
      <c r="I21" t="s">
        <v>262</v>
      </c>
    </row>
    <row r="22" spans="1:9" x14ac:dyDescent="0.35">
      <c r="A22" t="s">
        <v>89</v>
      </c>
      <c r="B22" t="s">
        <v>53</v>
      </c>
      <c r="C22" t="s">
        <v>85</v>
      </c>
      <c r="D22" t="str">
        <f>VLOOKUP(Table7[[#This Row],[QuestionID]], FinalQuestions!$A:$C, 3, FALSE)</f>
        <v>Transparency</v>
      </c>
      <c r="E22">
        <f>IF(Table7[[#This Row],[Response]]="","",CHOOSE(MATCH(Table7[[#This Row],[Response]],{"Strongly Agree","Agree","Neutral","Disagree","Strongly Disagree","Not Applicable"},0),5,4,3,2,1,""))</f>
        <v>5</v>
      </c>
      <c r="F22">
        <f>Table7[[#This Row],[Scores]] * 20</f>
        <v>100</v>
      </c>
      <c r="G22">
        <f>IF(OR(Table7[[#This Row],[Response]]="Strongly Agree",Table7[[#This Row],[Response]]="Agree"),1,0)</f>
        <v>1</v>
      </c>
      <c r="H22" t="str">
        <f>_xlfn.XLOOKUP(Table7[[#This Row],[QuestionID]], FinalQuestions!$A:$A, FinalQuestions!$D:$D,"")</f>
        <v>Compliance Confidence in team</v>
      </c>
      <c r="I22" t="s">
        <v>262</v>
      </c>
    </row>
    <row r="23" spans="1:9" x14ac:dyDescent="0.35">
      <c r="A23" t="s">
        <v>89</v>
      </c>
      <c r="B23" t="s">
        <v>55</v>
      </c>
      <c r="C23" t="s">
        <v>85</v>
      </c>
      <c r="D23" t="str">
        <f>VLOOKUP(Table7[[#This Row],[QuestionID]], FinalQuestions!$A:$C, 3, FALSE)</f>
        <v>Transparency</v>
      </c>
      <c r="E23">
        <f>IF(Table7[[#This Row],[Response]]="","",CHOOSE(MATCH(Table7[[#This Row],[Response]],{"Strongly Agree","Agree","Neutral","Disagree","Strongly Disagree","Not Applicable"},0),5,4,3,2,1,""))</f>
        <v>5</v>
      </c>
      <c r="F23">
        <f>Table7[[#This Row],[Scores]] * 20</f>
        <v>100</v>
      </c>
      <c r="G23">
        <f>IF(OR(Table7[[#This Row],[Response]]="Strongly Agree",Table7[[#This Row],[Response]]="Agree"),1,0)</f>
        <v>1</v>
      </c>
      <c r="H23" t="str">
        <f>_xlfn.XLOOKUP(Table7[[#This Row],[QuestionID]], FinalQuestions!$A:$A, FinalQuestions!$D:$D,"")</f>
        <v>Transparency in Decision‑Making</v>
      </c>
      <c r="I23" t="s">
        <v>262</v>
      </c>
    </row>
    <row r="24" spans="1:9" x14ac:dyDescent="0.35">
      <c r="A24" t="s">
        <v>89</v>
      </c>
      <c r="B24" t="s">
        <v>57</v>
      </c>
      <c r="C24" t="s">
        <v>85</v>
      </c>
      <c r="D24" t="str">
        <f>VLOOKUP(Table7[[#This Row],[QuestionID]], FinalQuestions!$A:$C, 3, FALSE)</f>
        <v>Transparency</v>
      </c>
      <c r="E24">
        <f>IF(Table7[[#This Row],[Response]]="","",CHOOSE(MATCH(Table7[[#This Row],[Response]],{"Strongly Agree","Agree","Neutral","Disagree","Strongly Disagree","Not Applicable"},0),5,4,3,2,1,""))</f>
        <v>5</v>
      </c>
      <c r="F24">
        <f>Table7[[#This Row],[Scores]] * 20</f>
        <v>100</v>
      </c>
      <c r="G24">
        <f>IF(OR(Table7[[#This Row],[Response]]="Strongly Agree",Table7[[#This Row],[Response]]="Agree"),1,0)</f>
        <v>1</v>
      </c>
      <c r="H24" t="str">
        <f>_xlfn.XLOOKUP(Table7[[#This Row],[QuestionID]], FinalQuestions!$A:$A, FinalQuestions!$D:$D,"")</f>
        <v>Fairness &amp; Equity of Expectations</v>
      </c>
      <c r="I24" t="s">
        <v>262</v>
      </c>
    </row>
    <row r="25" spans="1:9" x14ac:dyDescent="0.35">
      <c r="A25" t="s">
        <v>89</v>
      </c>
      <c r="B25" t="s">
        <v>59</v>
      </c>
      <c r="C25" t="s">
        <v>85</v>
      </c>
      <c r="D25" t="str">
        <f>VLOOKUP(Table7[[#This Row],[QuestionID]], FinalQuestions!$A:$C, 3, FALSE)</f>
        <v>Transparency</v>
      </c>
      <c r="E25">
        <f>IF(Table7[[#This Row],[Response]]="","",CHOOSE(MATCH(Table7[[#This Row],[Response]],{"Strongly Agree","Agree","Neutral","Disagree","Strongly Disagree","Not Applicable"},0),5,4,3,2,1,""))</f>
        <v>5</v>
      </c>
      <c r="F25">
        <f>Table7[[#This Row],[Scores]] * 20</f>
        <v>100</v>
      </c>
      <c r="G25">
        <f>IF(OR(Table7[[#This Row],[Response]]="Strongly Agree",Table7[[#This Row],[Response]]="Agree"),1,0)</f>
        <v>1</v>
      </c>
      <c r="H25" t="str">
        <f>_xlfn.XLOOKUP(Table7[[#This Row],[QuestionID]], FinalQuestions!$A:$A, FinalQuestions!$D:$D,"")</f>
        <v>Leadership Awareness in the team</v>
      </c>
      <c r="I25" t="s">
        <v>262</v>
      </c>
    </row>
    <row r="26" spans="1:9" x14ac:dyDescent="0.35">
      <c r="A26" t="s">
        <v>89</v>
      </c>
      <c r="B26" t="s">
        <v>61</v>
      </c>
      <c r="C26" t="s">
        <v>85</v>
      </c>
      <c r="D26" t="str">
        <f>VLOOKUP(Table7[[#This Row],[QuestionID]], FinalQuestions!$A:$C, 3, FALSE)</f>
        <v>Commitment</v>
      </c>
      <c r="E26">
        <f>IF(Table7[[#This Row],[Response]]="","",CHOOSE(MATCH(Table7[[#This Row],[Response]],{"Strongly Agree","Agree","Neutral","Disagree","Strongly Disagree","Not Applicable"},0),5,4,3,2,1,""))</f>
        <v>5</v>
      </c>
      <c r="F26">
        <f>Table7[[#This Row],[Scores]] * 20</f>
        <v>100</v>
      </c>
      <c r="G26">
        <f>IF(OR(Table7[[#This Row],[Response]]="Strongly Agree",Table7[[#This Row],[Response]]="Agree"),1,0)</f>
        <v>1</v>
      </c>
      <c r="H26" t="str">
        <f>_xlfn.XLOOKUP(Table7[[#This Row],[QuestionID]], FinalQuestions!$A:$A, FinalQuestions!$D:$D,"")</f>
        <v>Motivation for Risk Ownership</v>
      </c>
      <c r="I26" t="s">
        <v>262</v>
      </c>
    </row>
    <row r="27" spans="1:9" x14ac:dyDescent="0.35">
      <c r="A27" t="s">
        <v>89</v>
      </c>
      <c r="B27" t="s">
        <v>63</v>
      </c>
      <c r="C27" t="s">
        <v>85</v>
      </c>
      <c r="D27" t="str">
        <f>VLOOKUP(Table7[[#This Row],[QuestionID]], FinalQuestions!$A:$C, 3, FALSE)</f>
        <v>Commitment</v>
      </c>
      <c r="E27">
        <f>IF(Table7[[#This Row],[Response]]="","",CHOOSE(MATCH(Table7[[#This Row],[Response]],{"Strongly Agree","Agree","Neutral","Disagree","Strongly Disagree","Not Applicable"},0),5,4,3,2,1,""))</f>
        <v>5</v>
      </c>
      <c r="F27">
        <f>Table7[[#This Row],[Scores]] * 20</f>
        <v>100</v>
      </c>
      <c r="G27">
        <f>IF(OR(Table7[[#This Row],[Response]]="Strongly Agree",Table7[[#This Row],[Response]]="Agree"),1,0)</f>
        <v>1</v>
      </c>
      <c r="H27" t="str">
        <f>_xlfn.XLOOKUP(Table7[[#This Row],[QuestionID]], FinalQuestions!$A:$A, FinalQuestions!$D:$D,"")</f>
        <v>Sense of Belonging to the Organization</v>
      </c>
      <c r="I27" t="s">
        <v>262</v>
      </c>
    </row>
    <row r="28" spans="1:9" x14ac:dyDescent="0.35">
      <c r="A28" t="s">
        <v>89</v>
      </c>
      <c r="B28" t="s">
        <v>65</v>
      </c>
      <c r="C28" t="s">
        <v>85</v>
      </c>
      <c r="D28" t="str">
        <f>VLOOKUP(Table7[[#This Row],[QuestionID]], FinalQuestions!$A:$C, 3, FALSE)</f>
        <v>Commitment</v>
      </c>
      <c r="E28">
        <f>IF(Table7[[#This Row],[Response]]="","",CHOOSE(MATCH(Table7[[#This Row],[Response]],{"Strongly Agree","Agree","Neutral","Disagree","Strongly Disagree","Not Applicable"},0),5,4,3,2,1,""))</f>
        <v>5</v>
      </c>
      <c r="F28">
        <f>Table7[[#This Row],[Scores]] * 20</f>
        <v>100</v>
      </c>
      <c r="G28">
        <f>IF(OR(Table7[[#This Row],[Response]]="Strongly Agree",Table7[[#This Row],[Response]]="Agree"),1,0)</f>
        <v>1</v>
      </c>
      <c r="H28" t="str">
        <f>_xlfn.XLOOKUP(Table7[[#This Row],[QuestionID]], FinalQuestions!$A:$A, FinalQuestions!$D:$D,"")</f>
        <v>Consideration of Impact on Others</v>
      </c>
      <c r="I28" t="s">
        <v>262</v>
      </c>
    </row>
    <row r="29" spans="1:9" x14ac:dyDescent="0.35">
      <c r="A29" t="s">
        <v>89</v>
      </c>
      <c r="B29" t="s">
        <v>67</v>
      </c>
      <c r="C29" t="s">
        <v>85</v>
      </c>
      <c r="D29" t="str">
        <f>VLOOKUP(Table7[[#This Row],[QuestionID]], FinalQuestions!$A:$C, 3, FALSE)</f>
        <v>Commitment</v>
      </c>
      <c r="E29">
        <f>IF(Table7[[#This Row],[Response]]="","",CHOOSE(MATCH(Table7[[#This Row],[Response]],{"Strongly Agree","Agree","Neutral","Disagree","Strongly Disagree","Not Applicable"},0),5,4,3,2,1,""))</f>
        <v>5</v>
      </c>
      <c r="F29">
        <f>Table7[[#This Row],[Scores]] * 20</f>
        <v>100</v>
      </c>
      <c r="G29">
        <f>IF(OR(Table7[[#This Row],[Response]]="Strongly Agree",Table7[[#This Row],[Response]]="Agree"),1,0)</f>
        <v>1</v>
      </c>
      <c r="H29" t="str">
        <f>_xlfn.XLOOKUP(Table7[[#This Row],[QuestionID]], FinalQuestions!$A:$A, FinalQuestions!$D:$D,"")</f>
        <v>Accountability for Risk Actions</v>
      </c>
      <c r="I29" t="s">
        <v>262</v>
      </c>
    </row>
    <row r="30" spans="1:9" x14ac:dyDescent="0.35">
      <c r="A30" t="s">
        <v>89</v>
      </c>
      <c r="B30" t="s">
        <v>69</v>
      </c>
      <c r="C30" t="s">
        <v>85</v>
      </c>
      <c r="D30" t="str">
        <f>VLOOKUP(Table7[[#This Row],[QuestionID]], FinalQuestions!$A:$C, 3, FALSE)</f>
        <v>Call someone to account</v>
      </c>
      <c r="E30">
        <f>IF(Table7[[#This Row],[Response]]="","",CHOOSE(MATCH(Table7[[#This Row],[Response]],{"Strongly Agree","Agree","Neutral","Disagree","Strongly Disagree","Not Applicable"},0),5,4,3,2,1,""))</f>
        <v>5</v>
      </c>
      <c r="F30">
        <f>Table7[[#This Row],[Scores]] * 20</f>
        <v>100</v>
      </c>
      <c r="G30">
        <f>IF(OR(Table7[[#This Row],[Response]]="Strongly Agree",Table7[[#This Row],[Response]]="Agree"),1,0)</f>
        <v>1</v>
      </c>
      <c r="H30" t="str">
        <f>_xlfn.XLOOKUP(Table7[[#This Row],[QuestionID]], FinalQuestions!$A:$A, FinalQuestions!$D:$D,"")</f>
        <v xml:space="preserve">Peer to peer Accountability </v>
      </c>
      <c r="I30" t="s">
        <v>262</v>
      </c>
    </row>
    <row r="31" spans="1:9" x14ac:dyDescent="0.35">
      <c r="A31" t="s">
        <v>89</v>
      </c>
      <c r="B31" t="s">
        <v>71</v>
      </c>
      <c r="C31" t="s">
        <v>85</v>
      </c>
      <c r="D31" t="str">
        <f>VLOOKUP(Table7[[#This Row],[QuestionID]], FinalQuestions!$A:$C, 3, FALSE)</f>
        <v>Call someone to account</v>
      </c>
      <c r="E31">
        <f>IF(Table7[[#This Row],[Response]]="","",CHOOSE(MATCH(Table7[[#This Row],[Response]],{"Strongly Agree","Agree","Neutral","Disagree","Strongly Disagree","Not Applicable"},0),5,4,3,2,1,""))</f>
        <v>5</v>
      </c>
      <c r="F31">
        <f>Table7[[#This Row],[Scores]] * 20</f>
        <v>100</v>
      </c>
      <c r="G31">
        <f>IF(OR(Table7[[#This Row],[Response]]="Strongly Agree",Table7[[#This Row],[Response]]="Agree"),1,0)</f>
        <v>1</v>
      </c>
      <c r="H31" t="str">
        <f>_xlfn.XLOOKUP(Table7[[#This Row],[QuestionID]], FinalQuestions!$A:$A, FinalQuestions!$D:$D,"")</f>
        <v>Timely Resolution of Accountability Issues</v>
      </c>
      <c r="I31" t="s">
        <v>262</v>
      </c>
    </row>
    <row r="32" spans="1:9" x14ac:dyDescent="0.35">
      <c r="A32" t="s">
        <v>89</v>
      </c>
      <c r="B32" t="s">
        <v>73</v>
      </c>
      <c r="C32" t="s">
        <v>85</v>
      </c>
      <c r="D32" t="str">
        <f>VLOOKUP(Table7[[#This Row],[QuestionID]], FinalQuestions!$A:$C, 3, FALSE)</f>
        <v>Call someone to account</v>
      </c>
      <c r="E32">
        <f>IF(Table7[[#This Row],[Response]]="","",CHOOSE(MATCH(Table7[[#This Row],[Response]],{"Strongly Agree","Agree","Neutral","Disagree","Strongly Disagree","Not Applicable"},0),5,4,3,2,1,""))</f>
        <v>5</v>
      </c>
      <c r="F32">
        <f>Table7[[#This Row],[Scores]] * 20</f>
        <v>100</v>
      </c>
      <c r="G32">
        <f>IF(OR(Table7[[#This Row],[Response]]="Strongly Agree",Table7[[#This Row],[Response]]="Agree"),1,0)</f>
        <v>1</v>
      </c>
      <c r="H32" t="str">
        <f>_xlfn.XLOOKUP(Table7[[#This Row],[QuestionID]], FinalQuestions!$A:$A, FinalQuestions!$D:$D,"")</f>
        <v>Comfort for Reporting Non‑Compliance.</v>
      </c>
      <c r="I32" t="s">
        <v>262</v>
      </c>
    </row>
    <row r="33" spans="1:13" x14ac:dyDescent="0.35">
      <c r="A33" t="s">
        <v>89</v>
      </c>
      <c r="B33" t="s">
        <v>75</v>
      </c>
      <c r="C33" t="s">
        <v>85</v>
      </c>
      <c r="D33" t="str">
        <f>VLOOKUP(Table7[[#This Row],[QuestionID]], FinalQuestions!$A:$C, 3, FALSE)</f>
        <v>Call someone to account</v>
      </c>
      <c r="E33">
        <f>IF(Table7[[#This Row],[Response]]="","",CHOOSE(MATCH(Table7[[#This Row],[Response]],{"Strongly Agree","Agree","Neutral","Disagree","Strongly Disagree","Not Applicable"},0),5,4,3,2,1,""))</f>
        <v>5</v>
      </c>
      <c r="F33">
        <f>Table7[[#This Row],[Scores]] * 20</f>
        <v>100</v>
      </c>
      <c r="G33">
        <f>IF(OR(Table7[[#This Row],[Response]]="Strongly Agree",Table7[[#This Row],[Response]]="Agree"),1,0)</f>
        <v>1</v>
      </c>
      <c r="H33" t="str">
        <f>_xlfn.XLOOKUP(Table7[[#This Row],[QuestionID]], FinalQuestions!$A:$A, FinalQuestions!$D:$D,"")</f>
        <v>Consistency of Conduct Enforcement</v>
      </c>
      <c r="I33" t="s">
        <v>262</v>
      </c>
    </row>
    <row r="34" spans="1:13" x14ac:dyDescent="0.35">
      <c r="A34" t="s">
        <v>90</v>
      </c>
      <c r="B34" t="s">
        <v>13</v>
      </c>
      <c r="C34" t="s">
        <v>85</v>
      </c>
      <c r="D34" t="str">
        <f>VLOOKUP(Table7[[#This Row],[QuestionID]], FinalQuestions!$A:$C, 3, FALSE)</f>
        <v>Role Modelling</v>
      </c>
      <c r="E34">
        <f>IF(Table7[[#This Row],[Response]]="","",CHOOSE(MATCH(Table7[[#This Row],[Response]],{"Strongly Agree","Agree","Neutral","Disagree","Strongly Disagree","Not Applicable"},0),5,4,3,2,1,""))</f>
        <v>5</v>
      </c>
      <c r="F34">
        <f>Table7[[#This Row],[Scores]] * 20</f>
        <v>100</v>
      </c>
      <c r="G34">
        <f>IF(OR(Table7[[#This Row],[Response]]="Strongly Agree",Table7[[#This Row],[Response]]="Agree"),1,0)</f>
        <v>1</v>
      </c>
      <c r="H34" t="str">
        <f>_xlfn.XLOOKUP(Table7[[#This Row],[QuestionID]], FinalQuestions!$A:$A, FinalQuestions!$D:$D,"")</f>
        <v xml:space="preserve">Leadership Example‑Setting in Risk Management </v>
      </c>
      <c r="I34" t="s">
        <v>266</v>
      </c>
    </row>
    <row r="35" spans="1:13" x14ac:dyDescent="0.35">
      <c r="A35" t="s">
        <v>90</v>
      </c>
      <c r="B35" t="s">
        <v>15</v>
      </c>
      <c r="C35" t="s">
        <v>85</v>
      </c>
      <c r="D35" t="str">
        <f>VLOOKUP(Table7[[#This Row],[QuestionID]], FinalQuestions!$A:$C, 3, FALSE)</f>
        <v>Role Modelling</v>
      </c>
      <c r="E35">
        <f>IF(Table7[[#This Row],[Response]]="","",CHOOSE(MATCH(Table7[[#This Row],[Response]],{"Strongly Agree","Agree","Neutral","Disagree","Strongly Disagree","Not Applicable"},0),5,4,3,2,1,""))</f>
        <v>5</v>
      </c>
      <c r="F35">
        <f>Table7[[#This Row],[Scores]] * 20</f>
        <v>100</v>
      </c>
      <c r="G35">
        <f>IF(OR(Table7[[#This Row],[Response]]="Strongly Agree",Table7[[#This Row],[Response]]="Agree"),1,0)</f>
        <v>1</v>
      </c>
      <c r="H35" t="str">
        <f>_xlfn.XLOOKUP(Table7[[#This Row],[QuestionID]], FinalQuestions!$A:$A, FinalQuestions!$D:$D,"")</f>
        <v>Executive Commitment to Risk Culture</v>
      </c>
      <c r="I35" t="s">
        <v>266</v>
      </c>
    </row>
    <row r="36" spans="1:13" x14ac:dyDescent="0.35">
      <c r="A36" t="s">
        <v>90</v>
      </c>
      <c r="B36" t="s">
        <v>17</v>
      </c>
      <c r="C36" t="s">
        <v>85</v>
      </c>
      <c r="D36" t="str">
        <f>VLOOKUP(Table7[[#This Row],[QuestionID]], FinalQuestions!$A:$C, 3, FALSE)</f>
        <v>Role Modelling</v>
      </c>
      <c r="E36">
        <f>IF(Table7[[#This Row],[Response]]="","",CHOOSE(MATCH(Table7[[#This Row],[Response]],{"Strongly Agree","Agree","Neutral","Disagree","Strongly Disagree","Not Applicable"},0),5,4,3,2,1,""))</f>
        <v>5</v>
      </c>
      <c r="F36">
        <f>Table7[[#This Row],[Scores]] * 20</f>
        <v>100</v>
      </c>
      <c r="G36">
        <f>IF(OR(Table7[[#This Row],[Response]]="Strongly Agree",Table7[[#This Row],[Response]]="Agree"),1,0)</f>
        <v>1</v>
      </c>
      <c r="H36" t="str">
        <f>_xlfn.XLOOKUP(Table7[[#This Row],[QuestionID]], FinalQuestions!$A:$A, FinalQuestions!$D:$D,"")</f>
        <v>Leadership Encouragement to Escalate Risks</v>
      </c>
      <c r="I36" t="s">
        <v>266</v>
      </c>
      <c r="M36" t="s">
        <v>122</v>
      </c>
    </row>
    <row r="37" spans="1:13" x14ac:dyDescent="0.35">
      <c r="A37" t="s">
        <v>90</v>
      </c>
      <c r="B37" t="s">
        <v>19</v>
      </c>
      <c r="C37" t="s">
        <v>85</v>
      </c>
      <c r="D37" t="str">
        <f>VLOOKUP(Table7[[#This Row],[QuestionID]], FinalQuestions!$A:$C, 3, FALSE)</f>
        <v>Role Modelling</v>
      </c>
      <c r="E37">
        <f>IF(Table7[[#This Row],[Response]]="","",CHOOSE(MATCH(Table7[[#This Row],[Response]],{"Strongly Agree","Agree","Neutral","Disagree","Strongly Disagree","Not Applicable"},0),5,4,3,2,1,""))</f>
        <v>5</v>
      </c>
      <c r="F37">
        <f>Table7[[#This Row],[Scores]] * 20</f>
        <v>100</v>
      </c>
      <c r="G37">
        <f>IF(OR(Table7[[#This Row],[Response]]="Strongly Agree",Table7[[#This Row],[Response]]="Agree"),1,0)</f>
        <v>1</v>
      </c>
      <c r="H37" t="str">
        <f>_xlfn.XLOOKUP(Table7[[#This Row],[QuestionID]], FinalQuestions!$A:$A, FinalQuestions!$D:$D,"")</f>
        <v>Long-Term Decision Awareness</v>
      </c>
      <c r="I37" t="s">
        <v>266</v>
      </c>
    </row>
    <row r="38" spans="1:13" x14ac:dyDescent="0.35">
      <c r="A38" t="s">
        <v>90</v>
      </c>
      <c r="B38" t="s">
        <v>21</v>
      </c>
      <c r="C38" t="s">
        <v>85</v>
      </c>
      <c r="D38" t="str">
        <f>VLOOKUP(Table7[[#This Row],[QuestionID]], FinalQuestions!$A:$C, 3, FALSE)</f>
        <v>Discussability</v>
      </c>
      <c r="E38">
        <f>IF(Table7[[#This Row],[Response]]="","",CHOOSE(MATCH(Table7[[#This Row],[Response]],{"Strongly Agree","Agree","Neutral","Disagree","Strongly Disagree","Not Applicable"},0),5,4,3,2,1,""))</f>
        <v>5</v>
      </c>
      <c r="F38">
        <f>Table7[[#This Row],[Scores]] * 20</f>
        <v>100</v>
      </c>
      <c r="G38">
        <f>IF(OR(Table7[[#This Row],[Response]]="Strongly Agree",Table7[[#This Row],[Response]]="Agree"),1,0)</f>
        <v>1</v>
      </c>
      <c r="H38" t="str">
        <f>_xlfn.XLOOKUP(Table7[[#This Row],[QuestionID]], FinalQuestions!$A:$A, FinalQuestions!$D:$D,"")</f>
        <v>Openness to Discussions</v>
      </c>
      <c r="I38" t="s">
        <v>266</v>
      </c>
    </row>
    <row r="39" spans="1:13" x14ac:dyDescent="0.35">
      <c r="A39" t="s">
        <v>90</v>
      </c>
      <c r="B39" t="s">
        <v>23</v>
      </c>
      <c r="C39" t="s">
        <v>85</v>
      </c>
      <c r="D39" t="str">
        <f>VLOOKUP(Table7[[#This Row],[QuestionID]], FinalQuestions!$A:$C, 3, FALSE)</f>
        <v>Discussability</v>
      </c>
      <c r="E39">
        <f>IF(Table7[[#This Row],[Response]]="","",CHOOSE(MATCH(Table7[[#This Row],[Response]],{"Strongly Agree","Agree","Neutral","Disagree","Strongly Disagree","Not Applicable"},0),5,4,3,2,1,""))</f>
        <v>5</v>
      </c>
      <c r="F39">
        <f>Table7[[#This Row],[Scores]] * 20</f>
        <v>100</v>
      </c>
      <c r="G39">
        <f>IF(OR(Table7[[#This Row],[Response]]="Strongly Agree",Table7[[#This Row],[Response]]="Agree"),1,0)</f>
        <v>1</v>
      </c>
      <c r="H39" t="str">
        <f>_xlfn.XLOOKUP(Table7[[#This Row],[QuestionID]], FinalQuestions!$A:$A, FinalQuestions!$D:$D,"")</f>
        <v>Access to Guidance</v>
      </c>
      <c r="I39" t="s">
        <v>266</v>
      </c>
    </row>
    <row r="40" spans="1:13" x14ac:dyDescent="0.35">
      <c r="A40" t="s">
        <v>90</v>
      </c>
      <c r="B40" t="s">
        <v>25</v>
      </c>
      <c r="C40" t="s">
        <v>85</v>
      </c>
      <c r="D40" t="str">
        <f>VLOOKUP(Table7[[#This Row],[QuestionID]], FinalQuestions!$A:$C, 3, FALSE)</f>
        <v>Discussability</v>
      </c>
      <c r="E40">
        <f>IF(Table7[[#This Row],[Response]]="","",CHOOSE(MATCH(Table7[[#This Row],[Response]],{"Strongly Agree","Agree","Neutral","Disagree","Strongly Disagree","Not Applicable"},0),5,4,3,2,1,""))</f>
        <v>5</v>
      </c>
      <c r="F40">
        <f>Table7[[#This Row],[Scores]] * 20</f>
        <v>100</v>
      </c>
      <c r="G40">
        <f>IF(OR(Table7[[#This Row],[Response]]="Strongly Agree",Table7[[#This Row],[Response]]="Agree"),1,0)</f>
        <v>1</v>
      </c>
      <c r="H40" t="str">
        <f>_xlfn.XLOOKUP(Table7[[#This Row],[QuestionID]], FinalQuestions!$A:$A, FinalQuestions!$D:$D,"")</f>
        <v>Openness to Sharing Opinions</v>
      </c>
      <c r="I40" t="s">
        <v>266</v>
      </c>
    </row>
    <row r="41" spans="1:13" x14ac:dyDescent="0.35">
      <c r="A41" t="s">
        <v>90</v>
      </c>
      <c r="B41" t="s">
        <v>27</v>
      </c>
      <c r="C41" t="s">
        <v>85</v>
      </c>
      <c r="D41" t="str">
        <f>VLOOKUP(Table7[[#This Row],[QuestionID]], FinalQuestions!$A:$C, 3, FALSE)</f>
        <v>Discussability</v>
      </c>
      <c r="E41">
        <f>IF(Table7[[#This Row],[Response]]="","",CHOOSE(MATCH(Table7[[#This Row],[Response]],{"Strongly Agree","Agree","Neutral","Disagree","Strongly Disagree","Not Applicable"},0),5,4,3,2,1,""))</f>
        <v>5</v>
      </c>
      <c r="F41">
        <f>Table7[[#This Row],[Scores]] * 20</f>
        <v>100</v>
      </c>
      <c r="G41">
        <f>IF(OR(Table7[[#This Row],[Response]]="Strongly Agree",Table7[[#This Row],[Response]]="Agree"),1,0)</f>
        <v>1</v>
      </c>
      <c r="H41" t="str">
        <f>_xlfn.XLOOKUP(Table7[[#This Row],[QuestionID]], FinalQuestions!$A:$A, FinalQuestions!$D:$D,"")</f>
        <v>Comfort in Reporting Risk Dilemmas</v>
      </c>
      <c r="I41" t="s">
        <v>266</v>
      </c>
    </row>
    <row r="42" spans="1:13" x14ac:dyDescent="0.35">
      <c r="A42" t="s">
        <v>90</v>
      </c>
      <c r="B42" t="s">
        <v>29</v>
      </c>
      <c r="C42" t="s">
        <v>85</v>
      </c>
      <c r="D42" t="str">
        <f>VLOOKUP(Table7[[#This Row],[QuestionID]], FinalQuestions!$A:$C, 3, FALSE)</f>
        <v>Achievability</v>
      </c>
      <c r="E42">
        <f>IF(Table7[[#This Row],[Response]]="","",CHOOSE(MATCH(Table7[[#This Row],[Response]],{"Strongly Agree","Agree","Neutral","Disagree","Strongly Disagree","Not Applicable"},0),5,4,3,2,1,""))</f>
        <v>5</v>
      </c>
      <c r="F42">
        <f>Table7[[#This Row],[Scores]] * 20</f>
        <v>100</v>
      </c>
      <c r="G42">
        <f>IF(OR(Table7[[#This Row],[Response]]="Strongly Agree",Table7[[#This Row],[Response]]="Agree"),1,0)</f>
        <v>1</v>
      </c>
      <c r="H42" t="str">
        <f>_xlfn.XLOOKUP(Table7[[#This Row],[QuestionID]], FinalQuestions!$A:$A, FinalQuestions!$D:$D,"")</f>
        <v>Adequacy of Risk Management Training</v>
      </c>
      <c r="I42" t="s">
        <v>266</v>
      </c>
    </row>
    <row r="43" spans="1:13" x14ac:dyDescent="0.35">
      <c r="A43" t="s">
        <v>90</v>
      </c>
      <c r="B43" t="s">
        <v>31</v>
      </c>
      <c r="C43" t="s">
        <v>85</v>
      </c>
      <c r="D43" t="str">
        <f>VLOOKUP(Table7[[#This Row],[QuestionID]], FinalQuestions!$A:$C, 3, FALSE)</f>
        <v>Achievability</v>
      </c>
      <c r="E43">
        <f>IF(Table7[[#This Row],[Response]]="","",CHOOSE(MATCH(Table7[[#This Row],[Response]],{"Strongly Agree","Agree","Neutral","Disagree","Strongly Disagree","Not Applicable"},0),5,4,3,2,1,""))</f>
        <v>5</v>
      </c>
      <c r="F43">
        <f>Table7[[#This Row],[Scores]] * 20</f>
        <v>100</v>
      </c>
      <c r="G43">
        <f>IF(OR(Table7[[#This Row],[Response]]="Strongly Agree",Table7[[#This Row],[Response]]="Agree"),1,0)</f>
        <v>1</v>
      </c>
      <c r="H43" t="str">
        <f>_xlfn.XLOOKUP(Table7[[#This Row],[QuestionID]], FinalQuestions!$A:$A, FinalQuestions!$D:$D,"")</f>
        <v>Workload Balance &amp; Resource Sufficiency</v>
      </c>
      <c r="I43" t="s">
        <v>266</v>
      </c>
    </row>
    <row r="44" spans="1:13" x14ac:dyDescent="0.35">
      <c r="A44" t="s">
        <v>90</v>
      </c>
      <c r="B44" t="s">
        <v>33</v>
      </c>
      <c r="C44" t="s">
        <v>85</v>
      </c>
      <c r="D44" t="str">
        <f>VLOOKUP(Table7[[#This Row],[QuestionID]], FinalQuestions!$A:$C, 3, FALSE)</f>
        <v>Achievability</v>
      </c>
      <c r="E44">
        <f>IF(Table7[[#This Row],[Response]]="","",CHOOSE(MATCH(Table7[[#This Row],[Response]],{"Strongly Agree","Agree","Neutral","Disagree","Strongly Disagree","Not Applicable"},0),5,4,3,2,1,""))</f>
        <v>5</v>
      </c>
      <c r="F44">
        <f>Table7[[#This Row],[Scores]] * 20</f>
        <v>100</v>
      </c>
      <c r="G44">
        <f>IF(OR(Table7[[#This Row],[Response]]="Strongly Agree",Table7[[#This Row],[Response]]="Agree"),1,0)</f>
        <v>1</v>
      </c>
      <c r="H44" t="str">
        <f>_xlfn.XLOOKUP(Table7[[#This Row],[QuestionID]], FinalQuestions!$A:$A, FinalQuestions!$D:$D,"")</f>
        <v>Realistic Target Setting</v>
      </c>
      <c r="I44" t="s">
        <v>266</v>
      </c>
    </row>
    <row r="45" spans="1:13" x14ac:dyDescent="0.35">
      <c r="A45" t="s">
        <v>90</v>
      </c>
      <c r="B45" t="s">
        <v>35</v>
      </c>
      <c r="C45" t="s">
        <v>85</v>
      </c>
      <c r="D45" t="str">
        <f>VLOOKUP(Table7[[#This Row],[QuestionID]], FinalQuestions!$A:$C, 3, FALSE)</f>
        <v>Achievability</v>
      </c>
      <c r="E45">
        <f>IF(Table7[[#This Row],[Response]]="","",CHOOSE(MATCH(Table7[[#This Row],[Response]],{"Strongly Agree","Agree","Neutral","Disagree","Strongly Disagree","Not Applicable"},0),5,4,3,2,1,""))</f>
        <v>5</v>
      </c>
      <c r="F45">
        <f>Table7[[#This Row],[Scores]] * 20</f>
        <v>100</v>
      </c>
      <c r="G45">
        <f>IF(OR(Table7[[#This Row],[Response]]="Strongly Agree",Table7[[#This Row],[Response]]="Agree"),1,0)</f>
        <v>1</v>
      </c>
      <c r="H45" t="str">
        <f>_xlfn.XLOOKUP(Table7[[#This Row],[QuestionID]], FinalQuestions!$A:$A, FinalQuestions!$D:$D,"")</f>
        <v>Risk Insight in Decision Making</v>
      </c>
      <c r="I45" t="s">
        <v>266</v>
      </c>
    </row>
    <row r="46" spans="1:13" x14ac:dyDescent="0.35">
      <c r="A46" t="s">
        <v>90</v>
      </c>
      <c r="B46" t="s">
        <v>37</v>
      </c>
      <c r="C46" t="s">
        <v>85</v>
      </c>
      <c r="D46" t="str">
        <f>VLOOKUP(Table7[[#This Row],[QuestionID]], FinalQuestions!$A:$C, 3, FALSE)</f>
        <v>Enforcement</v>
      </c>
      <c r="E46">
        <f>IF(Table7[[#This Row],[Response]]="","",CHOOSE(MATCH(Table7[[#This Row],[Response]],{"Strongly Agree","Agree","Neutral","Disagree","Strongly Disagree","Not Applicable"},0),5,4,3,2,1,""))</f>
        <v>5</v>
      </c>
      <c r="F46">
        <f>Table7[[#This Row],[Scores]] * 20</f>
        <v>100</v>
      </c>
      <c r="G46">
        <f>IF(OR(Table7[[#This Row],[Response]]="Strongly Agree",Table7[[#This Row],[Response]]="Agree"),1,0)</f>
        <v>1</v>
      </c>
      <c r="H46" t="str">
        <f>_xlfn.XLOOKUP(Table7[[#This Row],[QuestionID]], FinalQuestions!$A:$A, FinalQuestions!$D:$D,"")</f>
        <v>Learning Culture from Non‑Compliance Cases</v>
      </c>
      <c r="I46" t="s">
        <v>266</v>
      </c>
    </row>
    <row r="47" spans="1:13" x14ac:dyDescent="0.35">
      <c r="A47" t="s">
        <v>90</v>
      </c>
      <c r="B47" t="s">
        <v>39</v>
      </c>
      <c r="C47" t="s">
        <v>85</v>
      </c>
      <c r="D47" t="str">
        <f>VLOOKUP(Table7[[#This Row],[QuestionID]], FinalQuestions!$A:$C, 3, FALSE)</f>
        <v>Enforcement</v>
      </c>
      <c r="E47">
        <f>IF(Table7[[#This Row],[Response]]="","",CHOOSE(MATCH(Table7[[#This Row],[Response]],{"Strongly Agree","Agree","Neutral","Disagree","Strongly Disagree","Not Applicable"},0),5,4,3,2,1,""))</f>
        <v>5</v>
      </c>
      <c r="F47">
        <f>Table7[[#This Row],[Scores]] * 20</f>
        <v>100</v>
      </c>
      <c r="G47">
        <f>IF(OR(Table7[[#This Row],[Response]]="Strongly Agree",Table7[[#This Row],[Response]]="Agree"),1,0)</f>
        <v>1</v>
      </c>
      <c r="H47" t="str">
        <f>_xlfn.XLOOKUP(Table7[[#This Row],[QuestionID]], FinalQuestions!$A:$A, FinalQuestions!$D:$D,"")</f>
        <v>Organizational View on Risk Culture</v>
      </c>
      <c r="I47" t="s">
        <v>266</v>
      </c>
    </row>
    <row r="48" spans="1:13" x14ac:dyDescent="0.35">
      <c r="A48" t="s">
        <v>90</v>
      </c>
      <c r="B48" t="s">
        <v>41</v>
      </c>
      <c r="C48" t="s">
        <v>85</v>
      </c>
      <c r="D48" t="str">
        <f>VLOOKUP(Table7[[#This Row],[QuestionID]], FinalQuestions!$A:$C, 3, FALSE)</f>
        <v>Enforcement</v>
      </c>
      <c r="E48">
        <f>IF(Table7[[#This Row],[Response]]="","",CHOOSE(MATCH(Table7[[#This Row],[Response]],{"Strongly Agree","Agree","Neutral","Disagree","Strongly Disagree","Not Applicable"},0),5,4,3,2,1,""))</f>
        <v>5</v>
      </c>
      <c r="F48">
        <f>Table7[[#This Row],[Scores]] * 20</f>
        <v>100</v>
      </c>
      <c r="G48">
        <f>IF(OR(Table7[[#This Row],[Response]]="Strongly Agree",Table7[[#This Row],[Response]]="Agree"),1,0)</f>
        <v>1</v>
      </c>
      <c r="H48" t="str">
        <f>_xlfn.XLOOKUP(Table7[[#This Row],[QuestionID]], FinalQuestions!$A:$A, FinalQuestions!$D:$D,"")</f>
        <v>Compliance Recognition &amp; enforcement</v>
      </c>
      <c r="I48" t="s">
        <v>266</v>
      </c>
    </row>
    <row r="49" spans="1:9" x14ac:dyDescent="0.35">
      <c r="A49" t="s">
        <v>90</v>
      </c>
      <c r="B49" t="s">
        <v>43</v>
      </c>
      <c r="C49" t="s">
        <v>85</v>
      </c>
      <c r="D49" t="str">
        <f>VLOOKUP(Table7[[#This Row],[QuestionID]], FinalQuestions!$A:$C, 3, FALSE)</f>
        <v>Enforcement</v>
      </c>
      <c r="E49">
        <f>IF(Table7[[#This Row],[Response]]="","",CHOOSE(MATCH(Table7[[#This Row],[Response]],{"Strongly Agree","Agree","Neutral","Disagree","Strongly Disagree","Not Applicable"},0),5,4,3,2,1,""))</f>
        <v>5</v>
      </c>
      <c r="F49">
        <f>Table7[[#This Row],[Scores]] * 20</f>
        <v>100</v>
      </c>
      <c r="G49">
        <f>IF(OR(Table7[[#This Row],[Response]]="Strongly Agree",Table7[[#This Row],[Response]]="Agree"),1,0)</f>
        <v>1</v>
      </c>
      <c r="H49" t="str">
        <f>_xlfn.XLOOKUP(Table7[[#This Row],[QuestionID]], FinalQuestions!$A:$A, FinalQuestions!$D:$D,"")</f>
        <v>Sense of Ownership</v>
      </c>
      <c r="I49" t="s">
        <v>266</v>
      </c>
    </row>
    <row r="50" spans="1:9" x14ac:dyDescent="0.35">
      <c r="A50" t="s">
        <v>90</v>
      </c>
      <c r="B50" t="s">
        <v>45</v>
      </c>
      <c r="C50" t="s">
        <v>85</v>
      </c>
      <c r="D50" t="str">
        <f>VLOOKUP(Table7[[#This Row],[QuestionID]], FinalQuestions!$A:$C, 3, FALSE)</f>
        <v>Clarity</v>
      </c>
      <c r="E50">
        <f>IF(Table7[[#This Row],[Response]]="","",CHOOSE(MATCH(Table7[[#This Row],[Response]],{"Strongly Agree","Agree","Neutral","Disagree","Strongly Disagree","Not Applicable"},0),5,4,3,2,1,""))</f>
        <v>5</v>
      </c>
      <c r="F50">
        <f>Table7[[#This Row],[Scores]] * 20</f>
        <v>100</v>
      </c>
      <c r="G50">
        <f>IF(OR(Table7[[#This Row],[Response]]="Strongly Agree",Table7[[#This Row],[Response]]="Agree"),1,0)</f>
        <v>1</v>
      </c>
      <c r="H50" t="str">
        <f>_xlfn.XLOOKUP(Table7[[#This Row],[QuestionID]], FinalQuestions!$A:$A, FinalQuestions!$D:$D,"")</f>
        <v>Clarity of Role and Responsibilities</v>
      </c>
      <c r="I50" t="s">
        <v>266</v>
      </c>
    </row>
    <row r="51" spans="1:9" x14ac:dyDescent="0.35">
      <c r="A51" t="s">
        <v>90</v>
      </c>
      <c r="B51" t="s">
        <v>47</v>
      </c>
      <c r="C51" t="s">
        <v>85</v>
      </c>
      <c r="D51" t="str">
        <f>VLOOKUP(Table7[[#This Row],[QuestionID]], FinalQuestions!$A:$C, 3, FALSE)</f>
        <v>Clarity</v>
      </c>
      <c r="E51">
        <f>IF(Table7[[#This Row],[Response]]="","",CHOOSE(MATCH(Table7[[#This Row],[Response]],{"Strongly Agree","Agree","Neutral","Disagree","Strongly Disagree","Not Applicable"},0),5,4,3,2,1,""))</f>
        <v>5</v>
      </c>
      <c r="F51">
        <f>Table7[[#This Row],[Scores]] * 20</f>
        <v>100</v>
      </c>
      <c r="G51">
        <f>IF(OR(Table7[[#This Row],[Response]]="Strongly Agree",Table7[[#This Row],[Response]]="Agree"),1,0)</f>
        <v>1</v>
      </c>
      <c r="H51" t="str">
        <f>_xlfn.XLOOKUP(Table7[[#This Row],[QuestionID]], FinalQuestions!$A:$A, FinalQuestions!$D:$D,"")</f>
        <v>Understanding of Risk Policies &amp; Procedures</v>
      </c>
      <c r="I51" t="s">
        <v>266</v>
      </c>
    </row>
    <row r="52" spans="1:9" x14ac:dyDescent="0.35">
      <c r="A52" t="s">
        <v>90</v>
      </c>
      <c r="B52" t="s">
        <v>49</v>
      </c>
      <c r="C52" t="s">
        <v>85</v>
      </c>
      <c r="D52" t="str">
        <f>VLOOKUP(Table7[[#This Row],[QuestionID]], FinalQuestions!$A:$C, 3, FALSE)</f>
        <v>Clarity</v>
      </c>
      <c r="E52">
        <f>IF(Table7[[#This Row],[Response]]="","",CHOOSE(MATCH(Table7[[#This Row],[Response]],{"Strongly Agree","Agree","Neutral","Disagree","Strongly Disagree","Not Applicable"},0),5,4,3,2,1,""))</f>
        <v>5</v>
      </c>
      <c r="F52">
        <f>Table7[[#This Row],[Scores]] * 20</f>
        <v>100</v>
      </c>
      <c r="G52">
        <f>IF(OR(Table7[[#This Row],[Response]]="Strongly Agree",Table7[[#This Row],[Response]]="Agree"),1,0)</f>
        <v>1</v>
      </c>
      <c r="H52" t="str">
        <f>_xlfn.XLOOKUP(Table7[[#This Row],[QuestionID]], FinalQuestions!$A:$A, FinalQuestions!$D:$D,"")</f>
        <v>Clarity of Personal Risk Boundaries</v>
      </c>
      <c r="I52" t="s">
        <v>266</v>
      </c>
    </row>
    <row r="53" spans="1:9" x14ac:dyDescent="0.35">
      <c r="A53" t="s">
        <v>90</v>
      </c>
      <c r="B53" t="s">
        <v>51</v>
      </c>
      <c r="C53" t="s">
        <v>85</v>
      </c>
      <c r="D53" t="str">
        <f>VLOOKUP(Table7[[#This Row],[QuestionID]], FinalQuestions!$A:$C, 3, FALSE)</f>
        <v>Clarity</v>
      </c>
      <c r="E53">
        <f>IF(Table7[[#This Row],[Response]]="","",CHOOSE(MATCH(Table7[[#This Row],[Response]],{"Strongly Agree","Agree","Neutral","Disagree","Strongly Disagree","Not Applicable"},0),5,4,3,2,1,""))</f>
        <v>5</v>
      </c>
      <c r="F53">
        <f>Table7[[#This Row],[Scores]] * 20</f>
        <v>100</v>
      </c>
      <c r="G53">
        <f>IF(OR(Table7[[#This Row],[Response]]="Strongly Agree",Table7[[#This Row],[Response]]="Agree"),1,0)</f>
        <v>1</v>
      </c>
      <c r="H53" t="str">
        <f>_xlfn.XLOOKUP(Table7[[#This Row],[QuestionID]], FinalQuestions!$A:$A, FinalQuestions!$D:$D,"")</f>
        <v>Effectiveness of Risk Communication &amp; Training</v>
      </c>
      <c r="I53" t="s">
        <v>266</v>
      </c>
    </row>
    <row r="54" spans="1:9" x14ac:dyDescent="0.35">
      <c r="A54" t="s">
        <v>90</v>
      </c>
      <c r="B54" t="s">
        <v>53</v>
      </c>
      <c r="C54" t="s">
        <v>85</v>
      </c>
      <c r="D54" t="str">
        <f>VLOOKUP(Table7[[#This Row],[QuestionID]], FinalQuestions!$A:$C, 3, FALSE)</f>
        <v>Transparency</v>
      </c>
      <c r="E54">
        <f>IF(Table7[[#This Row],[Response]]="","",CHOOSE(MATCH(Table7[[#This Row],[Response]],{"Strongly Agree","Agree","Neutral","Disagree","Strongly Disagree","Not Applicable"},0),5,4,3,2,1,""))</f>
        <v>5</v>
      </c>
      <c r="F54">
        <f>Table7[[#This Row],[Scores]] * 20</f>
        <v>100</v>
      </c>
      <c r="G54">
        <f>IF(OR(Table7[[#This Row],[Response]]="Strongly Agree",Table7[[#This Row],[Response]]="Agree"),1,0)</f>
        <v>1</v>
      </c>
      <c r="H54" t="str">
        <f>_xlfn.XLOOKUP(Table7[[#This Row],[QuestionID]], FinalQuestions!$A:$A, FinalQuestions!$D:$D,"")</f>
        <v>Compliance Confidence in team</v>
      </c>
      <c r="I54" t="s">
        <v>266</v>
      </c>
    </row>
    <row r="55" spans="1:9" x14ac:dyDescent="0.35">
      <c r="A55" t="s">
        <v>90</v>
      </c>
      <c r="B55" t="s">
        <v>55</v>
      </c>
      <c r="C55" t="s">
        <v>85</v>
      </c>
      <c r="D55" t="str">
        <f>VLOOKUP(Table7[[#This Row],[QuestionID]], FinalQuestions!$A:$C, 3, FALSE)</f>
        <v>Transparency</v>
      </c>
      <c r="E55">
        <f>IF(Table7[[#This Row],[Response]]="","",CHOOSE(MATCH(Table7[[#This Row],[Response]],{"Strongly Agree","Agree","Neutral","Disagree","Strongly Disagree","Not Applicable"},0),5,4,3,2,1,""))</f>
        <v>5</v>
      </c>
      <c r="F55">
        <f>Table7[[#This Row],[Scores]] * 20</f>
        <v>100</v>
      </c>
      <c r="G55">
        <f>IF(OR(Table7[[#This Row],[Response]]="Strongly Agree",Table7[[#This Row],[Response]]="Agree"),1,0)</f>
        <v>1</v>
      </c>
      <c r="H55" t="str">
        <f>_xlfn.XLOOKUP(Table7[[#This Row],[QuestionID]], FinalQuestions!$A:$A, FinalQuestions!$D:$D,"")</f>
        <v>Transparency in Decision‑Making</v>
      </c>
      <c r="I55" t="s">
        <v>266</v>
      </c>
    </row>
    <row r="56" spans="1:9" x14ac:dyDescent="0.35">
      <c r="A56" t="s">
        <v>90</v>
      </c>
      <c r="B56" t="s">
        <v>57</v>
      </c>
      <c r="C56" t="s">
        <v>85</v>
      </c>
      <c r="D56" t="str">
        <f>VLOOKUP(Table7[[#This Row],[QuestionID]], FinalQuestions!$A:$C, 3, FALSE)</f>
        <v>Transparency</v>
      </c>
      <c r="E56">
        <f>IF(Table7[[#This Row],[Response]]="","",CHOOSE(MATCH(Table7[[#This Row],[Response]],{"Strongly Agree","Agree","Neutral","Disagree","Strongly Disagree","Not Applicable"},0),5,4,3,2,1,""))</f>
        <v>5</v>
      </c>
      <c r="F56">
        <f>Table7[[#This Row],[Scores]] * 20</f>
        <v>100</v>
      </c>
      <c r="G56">
        <f>IF(OR(Table7[[#This Row],[Response]]="Strongly Agree",Table7[[#This Row],[Response]]="Agree"),1,0)</f>
        <v>1</v>
      </c>
      <c r="H56" t="str">
        <f>_xlfn.XLOOKUP(Table7[[#This Row],[QuestionID]], FinalQuestions!$A:$A, FinalQuestions!$D:$D,"")</f>
        <v>Fairness &amp; Equity of Expectations</v>
      </c>
      <c r="I56" t="s">
        <v>266</v>
      </c>
    </row>
    <row r="57" spans="1:9" x14ac:dyDescent="0.35">
      <c r="A57" t="s">
        <v>90</v>
      </c>
      <c r="B57" t="s">
        <v>59</v>
      </c>
      <c r="C57" t="s">
        <v>85</v>
      </c>
      <c r="D57" t="str">
        <f>VLOOKUP(Table7[[#This Row],[QuestionID]], FinalQuestions!$A:$C, 3, FALSE)</f>
        <v>Transparency</v>
      </c>
      <c r="E57">
        <f>IF(Table7[[#This Row],[Response]]="","",CHOOSE(MATCH(Table7[[#This Row],[Response]],{"Strongly Agree","Agree","Neutral","Disagree","Strongly Disagree","Not Applicable"},0),5,4,3,2,1,""))</f>
        <v>5</v>
      </c>
      <c r="F57">
        <f>Table7[[#This Row],[Scores]] * 20</f>
        <v>100</v>
      </c>
      <c r="G57">
        <f>IF(OR(Table7[[#This Row],[Response]]="Strongly Agree",Table7[[#This Row],[Response]]="Agree"),1,0)</f>
        <v>1</v>
      </c>
      <c r="H57" t="str">
        <f>_xlfn.XLOOKUP(Table7[[#This Row],[QuestionID]], FinalQuestions!$A:$A, FinalQuestions!$D:$D,"")</f>
        <v>Leadership Awareness in the team</v>
      </c>
      <c r="I57" t="s">
        <v>266</v>
      </c>
    </row>
    <row r="58" spans="1:9" x14ac:dyDescent="0.35">
      <c r="A58" t="s">
        <v>90</v>
      </c>
      <c r="B58" t="s">
        <v>61</v>
      </c>
      <c r="C58" t="s">
        <v>4</v>
      </c>
      <c r="D58" t="str">
        <f>VLOOKUP(Table7[[#This Row],[QuestionID]], FinalQuestions!$A:$C, 3, FALSE)</f>
        <v>Commitment</v>
      </c>
      <c r="E58">
        <f>IF(Table7[[#This Row],[Response]]="","",CHOOSE(MATCH(Table7[[#This Row],[Response]],{"Strongly Agree","Agree","Neutral","Disagree","Strongly Disagree","Not Applicable"},0),5,4,3,2,1,""))</f>
        <v>3</v>
      </c>
      <c r="F58">
        <f>Table7[[#This Row],[Scores]] * 20</f>
        <v>60</v>
      </c>
      <c r="G58">
        <f>IF(OR(Table7[[#This Row],[Response]]="Strongly Agree",Table7[[#This Row],[Response]]="Agree"),1,0)</f>
        <v>0</v>
      </c>
      <c r="H58" t="str">
        <f>_xlfn.XLOOKUP(Table7[[#This Row],[QuestionID]], FinalQuestions!$A:$A, FinalQuestions!$D:$D,"")</f>
        <v>Motivation for Risk Ownership</v>
      </c>
      <c r="I58" t="s">
        <v>266</v>
      </c>
    </row>
    <row r="59" spans="1:9" x14ac:dyDescent="0.35">
      <c r="A59" t="s">
        <v>90</v>
      </c>
      <c r="B59" t="s">
        <v>63</v>
      </c>
      <c r="C59" t="s">
        <v>4</v>
      </c>
      <c r="D59" t="str">
        <f>VLOOKUP(Table7[[#This Row],[QuestionID]], FinalQuestions!$A:$C, 3, FALSE)</f>
        <v>Commitment</v>
      </c>
      <c r="E59">
        <f>IF(Table7[[#This Row],[Response]]="","",CHOOSE(MATCH(Table7[[#This Row],[Response]],{"Strongly Agree","Agree","Neutral","Disagree","Strongly Disagree","Not Applicable"},0),5,4,3,2,1,""))</f>
        <v>3</v>
      </c>
      <c r="F59">
        <f>Table7[[#This Row],[Scores]] * 20</f>
        <v>60</v>
      </c>
      <c r="G59">
        <f>IF(OR(Table7[[#This Row],[Response]]="Strongly Agree",Table7[[#This Row],[Response]]="Agree"),1,0)</f>
        <v>0</v>
      </c>
      <c r="H59" t="str">
        <f>_xlfn.XLOOKUP(Table7[[#This Row],[QuestionID]], FinalQuestions!$A:$A, FinalQuestions!$D:$D,"")</f>
        <v>Sense of Belonging to the Organization</v>
      </c>
      <c r="I59" t="s">
        <v>266</v>
      </c>
    </row>
    <row r="60" spans="1:9" x14ac:dyDescent="0.35">
      <c r="A60" t="s">
        <v>90</v>
      </c>
      <c r="B60" t="s">
        <v>65</v>
      </c>
      <c r="C60" t="s">
        <v>4</v>
      </c>
      <c r="D60" t="str">
        <f>VLOOKUP(Table7[[#This Row],[QuestionID]], FinalQuestions!$A:$C, 3, FALSE)</f>
        <v>Commitment</v>
      </c>
      <c r="E60">
        <f>IF(Table7[[#This Row],[Response]]="","",CHOOSE(MATCH(Table7[[#This Row],[Response]],{"Strongly Agree","Agree","Neutral","Disagree","Strongly Disagree","Not Applicable"},0),5,4,3,2,1,""))</f>
        <v>3</v>
      </c>
      <c r="F60">
        <f>Table7[[#This Row],[Scores]] * 20</f>
        <v>60</v>
      </c>
      <c r="G60">
        <f>IF(OR(Table7[[#This Row],[Response]]="Strongly Agree",Table7[[#This Row],[Response]]="Agree"),1,0)</f>
        <v>0</v>
      </c>
      <c r="H60" t="str">
        <f>_xlfn.XLOOKUP(Table7[[#This Row],[QuestionID]], FinalQuestions!$A:$A, FinalQuestions!$D:$D,"")</f>
        <v>Consideration of Impact on Others</v>
      </c>
      <c r="I60" t="s">
        <v>266</v>
      </c>
    </row>
    <row r="61" spans="1:9" x14ac:dyDescent="0.35">
      <c r="A61" t="s">
        <v>90</v>
      </c>
      <c r="B61" t="s">
        <v>67</v>
      </c>
      <c r="C61" t="s">
        <v>4</v>
      </c>
      <c r="D61" t="str">
        <f>VLOOKUP(Table7[[#This Row],[QuestionID]], FinalQuestions!$A:$C, 3, FALSE)</f>
        <v>Commitment</v>
      </c>
      <c r="E61">
        <f>IF(Table7[[#This Row],[Response]]="","",CHOOSE(MATCH(Table7[[#This Row],[Response]],{"Strongly Agree","Agree","Neutral","Disagree","Strongly Disagree","Not Applicable"},0),5,4,3,2,1,""))</f>
        <v>3</v>
      </c>
      <c r="F61">
        <f>Table7[[#This Row],[Scores]] * 20</f>
        <v>60</v>
      </c>
      <c r="G61">
        <f>IF(OR(Table7[[#This Row],[Response]]="Strongly Agree",Table7[[#This Row],[Response]]="Agree"),1,0)</f>
        <v>0</v>
      </c>
      <c r="H61" t="str">
        <f>_xlfn.XLOOKUP(Table7[[#This Row],[QuestionID]], FinalQuestions!$A:$A, FinalQuestions!$D:$D,"")</f>
        <v>Accountability for Risk Actions</v>
      </c>
      <c r="I61" t="s">
        <v>266</v>
      </c>
    </row>
    <row r="62" spans="1:9" x14ac:dyDescent="0.35">
      <c r="A62" t="s">
        <v>90</v>
      </c>
      <c r="B62" t="s">
        <v>69</v>
      </c>
      <c r="C62" t="s">
        <v>4</v>
      </c>
      <c r="D62" t="str">
        <f>VLOOKUP(Table7[[#This Row],[QuestionID]], FinalQuestions!$A:$C, 3, FALSE)</f>
        <v>Call someone to account</v>
      </c>
      <c r="E62">
        <f>IF(Table7[[#This Row],[Response]]="","",CHOOSE(MATCH(Table7[[#This Row],[Response]],{"Strongly Agree","Agree","Neutral","Disagree","Strongly Disagree","Not Applicable"},0),5,4,3,2,1,""))</f>
        <v>3</v>
      </c>
      <c r="F62">
        <f>Table7[[#This Row],[Scores]] * 20</f>
        <v>60</v>
      </c>
      <c r="G62">
        <f>IF(OR(Table7[[#This Row],[Response]]="Strongly Agree",Table7[[#This Row],[Response]]="Agree"),1,0)</f>
        <v>0</v>
      </c>
      <c r="H62" t="str">
        <f>_xlfn.XLOOKUP(Table7[[#This Row],[QuestionID]], FinalQuestions!$A:$A, FinalQuestions!$D:$D,"")</f>
        <v xml:space="preserve">Peer to peer Accountability </v>
      </c>
      <c r="I62" t="s">
        <v>266</v>
      </c>
    </row>
    <row r="63" spans="1:9" x14ac:dyDescent="0.35">
      <c r="A63" t="s">
        <v>90</v>
      </c>
      <c r="B63" t="s">
        <v>71</v>
      </c>
      <c r="C63" t="s">
        <v>4</v>
      </c>
      <c r="D63" t="str">
        <f>VLOOKUP(Table7[[#This Row],[QuestionID]], FinalQuestions!$A:$C, 3, FALSE)</f>
        <v>Call someone to account</v>
      </c>
      <c r="E63">
        <f>IF(Table7[[#This Row],[Response]]="","",CHOOSE(MATCH(Table7[[#This Row],[Response]],{"Strongly Agree","Agree","Neutral","Disagree","Strongly Disagree","Not Applicable"},0),5,4,3,2,1,""))</f>
        <v>3</v>
      </c>
      <c r="F63">
        <f>Table7[[#This Row],[Scores]] * 20</f>
        <v>60</v>
      </c>
      <c r="G63">
        <f>IF(OR(Table7[[#This Row],[Response]]="Strongly Agree",Table7[[#This Row],[Response]]="Agree"),1,0)</f>
        <v>0</v>
      </c>
      <c r="H63" t="str">
        <f>_xlfn.XLOOKUP(Table7[[#This Row],[QuestionID]], FinalQuestions!$A:$A, FinalQuestions!$D:$D,"")</f>
        <v>Timely Resolution of Accountability Issues</v>
      </c>
      <c r="I63" t="s">
        <v>266</v>
      </c>
    </row>
    <row r="64" spans="1:9" x14ac:dyDescent="0.35">
      <c r="A64" t="s">
        <v>90</v>
      </c>
      <c r="B64" t="s">
        <v>73</v>
      </c>
      <c r="C64" t="s">
        <v>4</v>
      </c>
      <c r="D64" t="str">
        <f>VLOOKUP(Table7[[#This Row],[QuestionID]], FinalQuestions!$A:$C, 3, FALSE)</f>
        <v>Call someone to account</v>
      </c>
      <c r="E64">
        <f>IF(Table7[[#This Row],[Response]]="","",CHOOSE(MATCH(Table7[[#This Row],[Response]],{"Strongly Agree","Agree","Neutral","Disagree","Strongly Disagree","Not Applicable"},0),5,4,3,2,1,""))</f>
        <v>3</v>
      </c>
      <c r="F64">
        <f>Table7[[#This Row],[Scores]] * 20</f>
        <v>60</v>
      </c>
      <c r="G64">
        <f>IF(OR(Table7[[#This Row],[Response]]="Strongly Agree",Table7[[#This Row],[Response]]="Agree"),1,0)</f>
        <v>0</v>
      </c>
      <c r="H64" t="str">
        <f>_xlfn.XLOOKUP(Table7[[#This Row],[QuestionID]], FinalQuestions!$A:$A, FinalQuestions!$D:$D,"")</f>
        <v>Comfort for Reporting Non‑Compliance.</v>
      </c>
      <c r="I64" t="s">
        <v>266</v>
      </c>
    </row>
    <row r="65" spans="1:9" x14ac:dyDescent="0.35">
      <c r="A65" t="s">
        <v>90</v>
      </c>
      <c r="B65" t="s">
        <v>75</v>
      </c>
      <c r="C65" t="s">
        <v>4</v>
      </c>
      <c r="D65" t="str">
        <f>VLOOKUP(Table7[[#This Row],[QuestionID]], FinalQuestions!$A:$C, 3, FALSE)</f>
        <v>Call someone to account</v>
      </c>
      <c r="E65">
        <f>IF(Table7[[#This Row],[Response]]="","",CHOOSE(MATCH(Table7[[#This Row],[Response]],{"Strongly Agree","Agree","Neutral","Disagree","Strongly Disagree","Not Applicable"},0),5,4,3,2,1,""))</f>
        <v>3</v>
      </c>
      <c r="F65">
        <f>Table7[[#This Row],[Scores]] * 20</f>
        <v>60</v>
      </c>
      <c r="G65">
        <f>IF(OR(Table7[[#This Row],[Response]]="Strongly Agree",Table7[[#This Row],[Response]]="Agree"),1,0)</f>
        <v>0</v>
      </c>
      <c r="H65" t="str">
        <f>_xlfn.XLOOKUP(Table7[[#This Row],[QuestionID]], FinalQuestions!$A:$A, FinalQuestions!$D:$D,"")</f>
        <v>Consistency of Conduct Enforcement</v>
      </c>
      <c r="I65" t="s">
        <v>266</v>
      </c>
    </row>
    <row r="66" spans="1:9" x14ac:dyDescent="0.35">
      <c r="A66" t="s">
        <v>91</v>
      </c>
      <c r="B66" t="s">
        <v>13</v>
      </c>
      <c r="C66" t="s">
        <v>4</v>
      </c>
      <c r="D66" t="str">
        <f>VLOOKUP(Table7[[#This Row],[QuestionID]], FinalQuestions!$A:$C, 3, FALSE)</f>
        <v>Role Modelling</v>
      </c>
      <c r="E66">
        <f>IF(Table7[[#This Row],[Response]]="","",CHOOSE(MATCH(Table7[[#This Row],[Response]],{"Strongly Agree","Agree","Neutral","Disagree","Strongly Disagree","Not Applicable"},0),5,4,3,2,1,""))</f>
        <v>3</v>
      </c>
      <c r="F66">
        <f>Table7[[#This Row],[Scores]] * 20</f>
        <v>60</v>
      </c>
      <c r="G66">
        <f>IF(OR(Table7[[#This Row],[Response]]="Strongly Agree",Table7[[#This Row],[Response]]="Agree"),1,0)</f>
        <v>0</v>
      </c>
      <c r="H66" t="str">
        <f>_xlfn.XLOOKUP(Table7[[#This Row],[QuestionID]], FinalQuestions!$A:$A, FinalQuestions!$D:$D,"")</f>
        <v xml:space="preserve">Leadership Example‑Setting in Risk Management </v>
      </c>
      <c r="I66" t="s">
        <v>262</v>
      </c>
    </row>
    <row r="67" spans="1:9" x14ac:dyDescent="0.35">
      <c r="A67" t="s">
        <v>91</v>
      </c>
      <c r="B67" t="s">
        <v>15</v>
      </c>
      <c r="C67" t="s">
        <v>4</v>
      </c>
      <c r="D67" t="str">
        <f>VLOOKUP(Table7[[#This Row],[QuestionID]], FinalQuestions!$A:$C, 3, FALSE)</f>
        <v>Role Modelling</v>
      </c>
      <c r="E67">
        <f>IF(Table7[[#This Row],[Response]]="","",CHOOSE(MATCH(Table7[[#This Row],[Response]],{"Strongly Agree","Agree","Neutral","Disagree","Strongly Disagree","Not Applicable"},0),5,4,3,2,1,""))</f>
        <v>3</v>
      </c>
      <c r="F67">
        <f>Table7[[#This Row],[Scores]] * 20</f>
        <v>60</v>
      </c>
      <c r="G67">
        <f>IF(OR(Table7[[#This Row],[Response]]="Strongly Agree",Table7[[#This Row],[Response]]="Agree"),1,0)</f>
        <v>0</v>
      </c>
      <c r="H67" t="str">
        <f>_xlfn.XLOOKUP(Table7[[#This Row],[QuestionID]], FinalQuestions!$A:$A, FinalQuestions!$D:$D,"")</f>
        <v>Executive Commitment to Risk Culture</v>
      </c>
      <c r="I67" t="s">
        <v>262</v>
      </c>
    </row>
    <row r="68" spans="1:9" x14ac:dyDescent="0.35">
      <c r="A68" t="s">
        <v>91</v>
      </c>
      <c r="B68" t="s">
        <v>17</v>
      </c>
      <c r="C68" t="s">
        <v>4</v>
      </c>
      <c r="D68" t="str">
        <f>VLOOKUP(Table7[[#This Row],[QuestionID]], FinalQuestions!$A:$C, 3, FALSE)</f>
        <v>Role Modelling</v>
      </c>
      <c r="E68">
        <f>IF(Table7[[#This Row],[Response]]="","",CHOOSE(MATCH(Table7[[#This Row],[Response]],{"Strongly Agree","Agree","Neutral","Disagree","Strongly Disagree","Not Applicable"},0),5,4,3,2,1,""))</f>
        <v>3</v>
      </c>
      <c r="F68">
        <f>Table7[[#This Row],[Scores]] * 20</f>
        <v>60</v>
      </c>
      <c r="G68">
        <f>IF(OR(Table7[[#This Row],[Response]]="Strongly Agree",Table7[[#This Row],[Response]]="Agree"),1,0)</f>
        <v>0</v>
      </c>
      <c r="H68" t="str">
        <f>_xlfn.XLOOKUP(Table7[[#This Row],[QuestionID]], FinalQuestions!$A:$A, FinalQuestions!$D:$D,"")</f>
        <v>Leadership Encouragement to Escalate Risks</v>
      </c>
      <c r="I68" t="s">
        <v>262</v>
      </c>
    </row>
    <row r="69" spans="1:9" x14ac:dyDescent="0.35">
      <c r="A69" t="s">
        <v>91</v>
      </c>
      <c r="B69" t="s">
        <v>19</v>
      </c>
      <c r="C69" t="s">
        <v>4</v>
      </c>
      <c r="D69" t="str">
        <f>VLOOKUP(Table7[[#This Row],[QuestionID]], FinalQuestions!$A:$C, 3, FALSE)</f>
        <v>Role Modelling</v>
      </c>
      <c r="E69">
        <f>IF(Table7[[#This Row],[Response]]="","",CHOOSE(MATCH(Table7[[#This Row],[Response]],{"Strongly Agree","Agree","Neutral","Disagree","Strongly Disagree","Not Applicable"},0),5,4,3,2,1,""))</f>
        <v>3</v>
      </c>
      <c r="F69">
        <f>Table7[[#This Row],[Scores]] * 20</f>
        <v>60</v>
      </c>
      <c r="G69">
        <f>IF(OR(Table7[[#This Row],[Response]]="Strongly Agree",Table7[[#This Row],[Response]]="Agree"),1,0)</f>
        <v>0</v>
      </c>
      <c r="H69" t="str">
        <f>_xlfn.XLOOKUP(Table7[[#This Row],[QuestionID]], FinalQuestions!$A:$A, FinalQuestions!$D:$D,"")</f>
        <v>Long-Term Decision Awareness</v>
      </c>
      <c r="I69" t="s">
        <v>262</v>
      </c>
    </row>
    <row r="70" spans="1:9" x14ac:dyDescent="0.35">
      <c r="A70" t="s">
        <v>91</v>
      </c>
      <c r="B70" t="s">
        <v>21</v>
      </c>
      <c r="C70" t="s">
        <v>4</v>
      </c>
      <c r="D70" t="str">
        <f>VLOOKUP(Table7[[#This Row],[QuestionID]], FinalQuestions!$A:$C, 3, FALSE)</f>
        <v>Discussability</v>
      </c>
      <c r="E70">
        <f>IF(Table7[[#This Row],[Response]]="","",CHOOSE(MATCH(Table7[[#This Row],[Response]],{"Strongly Agree","Agree","Neutral","Disagree","Strongly Disagree","Not Applicable"},0),5,4,3,2,1,""))</f>
        <v>3</v>
      </c>
      <c r="F70">
        <f>Table7[[#This Row],[Scores]] * 20</f>
        <v>60</v>
      </c>
      <c r="G70">
        <f>IF(OR(Table7[[#This Row],[Response]]="Strongly Agree",Table7[[#This Row],[Response]]="Agree"),1,0)</f>
        <v>0</v>
      </c>
      <c r="H70" t="str">
        <f>_xlfn.XLOOKUP(Table7[[#This Row],[QuestionID]], FinalQuestions!$A:$A, FinalQuestions!$D:$D,"")</f>
        <v>Openness to Discussions</v>
      </c>
      <c r="I70" t="s">
        <v>262</v>
      </c>
    </row>
    <row r="71" spans="1:9" x14ac:dyDescent="0.35">
      <c r="A71" t="s">
        <v>91</v>
      </c>
      <c r="B71" t="s">
        <v>23</v>
      </c>
      <c r="C71" t="s">
        <v>4</v>
      </c>
      <c r="D71" t="str">
        <f>VLOOKUP(Table7[[#This Row],[QuestionID]], FinalQuestions!$A:$C, 3, FALSE)</f>
        <v>Discussability</v>
      </c>
      <c r="E71">
        <f>IF(Table7[[#This Row],[Response]]="","",CHOOSE(MATCH(Table7[[#This Row],[Response]],{"Strongly Agree","Agree","Neutral","Disagree","Strongly Disagree","Not Applicable"},0),5,4,3,2,1,""))</f>
        <v>3</v>
      </c>
      <c r="F71">
        <f>Table7[[#This Row],[Scores]] * 20</f>
        <v>60</v>
      </c>
      <c r="G71">
        <f>IF(OR(Table7[[#This Row],[Response]]="Strongly Agree",Table7[[#This Row],[Response]]="Agree"),1,0)</f>
        <v>0</v>
      </c>
      <c r="H71" t="str">
        <f>_xlfn.XLOOKUP(Table7[[#This Row],[QuestionID]], FinalQuestions!$A:$A, FinalQuestions!$D:$D,"")</f>
        <v>Access to Guidance</v>
      </c>
      <c r="I71" t="s">
        <v>262</v>
      </c>
    </row>
    <row r="72" spans="1:9" x14ac:dyDescent="0.35">
      <c r="A72" t="s">
        <v>91</v>
      </c>
      <c r="B72" t="s">
        <v>25</v>
      </c>
      <c r="C72" t="s">
        <v>4</v>
      </c>
      <c r="D72" t="str">
        <f>VLOOKUP(Table7[[#This Row],[QuestionID]], FinalQuestions!$A:$C, 3, FALSE)</f>
        <v>Discussability</v>
      </c>
      <c r="E72">
        <f>IF(Table7[[#This Row],[Response]]="","",CHOOSE(MATCH(Table7[[#This Row],[Response]],{"Strongly Agree","Agree","Neutral","Disagree","Strongly Disagree","Not Applicable"},0),5,4,3,2,1,""))</f>
        <v>3</v>
      </c>
      <c r="F72">
        <f>Table7[[#This Row],[Scores]] * 20</f>
        <v>60</v>
      </c>
      <c r="G72">
        <f>IF(OR(Table7[[#This Row],[Response]]="Strongly Agree",Table7[[#This Row],[Response]]="Agree"),1,0)</f>
        <v>0</v>
      </c>
      <c r="H72" t="str">
        <f>_xlfn.XLOOKUP(Table7[[#This Row],[QuestionID]], FinalQuestions!$A:$A, FinalQuestions!$D:$D,"")</f>
        <v>Openness to Sharing Opinions</v>
      </c>
      <c r="I72" t="s">
        <v>262</v>
      </c>
    </row>
    <row r="73" spans="1:9" x14ac:dyDescent="0.35">
      <c r="A73" t="s">
        <v>91</v>
      </c>
      <c r="B73" t="s">
        <v>27</v>
      </c>
      <c r="C73" t="s">
        <v>4</v>
      </c>
      <c r="D73" t="str">
        <f>VLOOKUP(Table7[[#This Row],[QuestionID]], FinalQuestions!$A:$C, 3, FALSE)</f>
        <v>Discussability</v>
      </c>
      <c r="E73">
        <f>IF(Table7[[#This Row],[Response]]="","",CHOOSE(MATCH(Table7[[#This Row],[Response]],{"Strongly Agree","Agree","Neutral","Disagree","Strongly Disagree","Not Applicable"},0),5,4,3,2,1,""))</f>
        <v>3</v>
      </c>
      <c r="F73">
        <f>Table7[[#This Row],[Scores]] * 20</f>
        <v>60</v>
      </c>
      <c r="G73">
        <f>IF(OR(Table7[[#This Row],[Response]]="Strongly Agree",Table7[[#This Row],[Response]]="Agree"),1,0)</f>
        <v>0</v>
      </c>
      <c r="H73" t="str">
        <f>_xlfn.XLOOKUP(Table7[[#This Row],[QuestionID]], FinalQuestions!$A:$A, FinalQuestions!$D:$D,"")</f>
        <v>Comfort in Reporting Risk Dilemmas</v>
      </c>
      <c r="I73" t="s">
        <v>262</v>
      </c>
    </row>
    <row r="74" spans="1:9" x14ac:dyDescent="0.35">
      <c r="A74" t="s">
        <v>91</v>
      </c>
      <c r="B74" t="s">
        <v>29</v>
      </c>
      <c r="C74" t="s">
        <v>4</v>
      </c>
      <c r="D74" t="str">
        <f>VLOOKUP(Table7[[#This Row],[QuestionID]], FinalQuestions!$A:$C, 3, FALSE)</f>
        <v>Achievability</v>
      </c>
      <c r="E74">
        <f>IF(Table7[[#This Row],[Response]]="","",CHOOSE(MATCH(Table7[[#This Row],[Response]],{"Strongly Agree","Agree","Neutral","Disagree","Strongly Disagree","Not Applicable"},0),5,4,3,2,1,""))</f>
        <v>3</v>
      </c>
      <c r="F74">
        <f>Table7[[#This Row],[Scores]] * 20</f>
        <v>60</v>
      </c>
      <c r="G74">
        <f>IF(OR(Table7[[#This Row],[Response]]="Strongly Agree",Table7[[#This Row],[Response]]="Agree"),1,0)</f>
        <v>0</v>
      </c>
      <c r="H74" t="str">
        <f>_xlfn.XLOOKUP(Table7[[#This Row],[QuestionID]], FinalQuestions!$A:$A, FinalQuestions!$D:$D,"")</f>
        <v>Adequacy of Risk Management Training</v>
      </c>
      <c r="I74" t="s">
        <v>262</v>
      </c>
    </row>
    <row r="75" spans="1:9" x14ac:dyDescent="0.35">
      <c r="A75" t="s">
        <v>91</v>
      </c>
      <c r="B75" t="s">
        <v>31</v>
      </c>
      <c r="C75" t="s">
        <v>4</v>
      </c>
      <c r="D75" t="str">
        <f>VLOOKUP(Table7[[#This Row],[QuestionID]], FinalQuestions!$A:$C, 3, FALSE)</f>
        <v>Achievability</v>
      </c>
      <c r="E75">
        <f>IF(Table7[[#This Row],[Response]]="","",CHOOSE(MATCH(Table7[[#This Row],[Response]],{"Strongly Agree","Agree","Neutral","Disagree","Strongly Disagree","Not Applicable"},0),5,4,3,2,1,""))</f>
        <v>3</v>
      </c>
      <c r="F75">
        <f>Table7[[#This Row],[Scores]] * 20</f>
        <v>60</v>
      </c>
      <c r="G75">
        <f>IF(OR(Table7[[#This Row],[Response]]="Strongly Agree",Table7[[#This Row],[Response]]="Agree"),1,0)</f>
        <v>0</v>
      </c>
      <c r="H75" t="str">
        <f>_xlfn.XLOOKUP(Table7[[#This Row],[QuestionID]], FinalQuestions!$A:$A, FinalQuestions!$D:$D,"")</f>
        <v>Workload Balance &amp; Resource Sufficiency</v>
      </c>
      <c r="I75" t="s">
        <v>262</v>
      </c>
    </row>
    <row r="76" spans="1:9" x14ac:dyDescent="0.35">
      <c r="A76" t="s">
        <v>91</v>
      </c>
      <c r="B76" t="s">
        <v>33</v>
      </c>
      <c r="C76" t="s">
        <v>4</v>
      </c>
      <c r="D76" t="str">
        <f>VLOOKUP(Table7[[#This Row],[QuestionID]], FinalQuestions!$A:$C, 3, FALSE)</f>
        <v>Achievability</v>
      </c>
      <c r="E76">
        <f>IF(Table7[[#This Row],[Response]]="","",CHOOSE(MATCH(Table7[[#This Row],[Response]],{"Strongly Agree","Agree","Neutral","Disagree","Strongly Disagree","Not Applicable"},0),5,4,3,2,1,""))</f>
        <v>3</v>
      </c>
      <c r="F76">
        <f>Table7[[#This Row],[Scores]] * 20</f>
        <v>60</v>
      </c>
      <c r="G76">
        <f>IF(OR(Table7[[#This Row],[Response]]="Strongly Agree",Table7[[#This Row],[Response]]="Agree"),1,0)</f>
        <v>0</v>
      </c>
      <c r="H76" t="str">
        <f>_xlfn.XLOOKUP(Table7[[#This Row],[QuestionID]], FinalQuestions!$A:$A, FinalQuestions!$D:$D,"")</f>
        <v>Realistic Target Setting</v>
      </c>
      <c r="I76" t="s">
        <v>262</v>
      </c>
    </row>
    <row r="77" spans="1:9" x14ac:dyDescent="0.35">
      <c r="A77" t="s">
        <v>91</v>
      </c>
      <c r="B77" t="s">
        <v>35</v>
      </c>
      <c r="C77" t="s">
        <v>4</v>
      </c>
      <c r="D77" t="str">
        <f>VLOOKUP(Table7[[#This Row],[QuestionID]], FinalQuestions!$A:$C, 3, FALSE)</f>
        <v>Achievability</v>
      </c>
      <c r="E77">
        <f>IF(Table7[[#This Row],[Response]]="","",CHOOSE(MATCH(Table7[[#This Row],[Response]],{"Strongly Agree","Agree","Neutral","Disagree","Strongly Disagree","Not Applicable"},0),5,4,3,2,1,""))</f>
        <v>3</v>
      </c>
      <c r="F77">
        <f>Table7[[#This Row],[Scores]] * 20</f>
        <v>60</v>
      </c>
      <c r="G77">
        <f>IF(OR(Table7[[#This Row],[Response]]="Strongly Agree",Table7[[#This Row],[Response]]="Agree"),1,0)</f>
        <v>0</v>
      </c>
      <c r="H77" t="str">
        <f>_xlfn.XLOOKUP(Table7[[#This Row],[QuestionID]], FinalQuestions!$A:$A, FinalQuestions!$D:$D,"")</f>
        <v>Risk Insight in Decision Making</v>
      </c>
      <c r="I77" t="s">
        <v>262</v>
      </c>
    </row>
    <row r="78" spans="1:9" x14ac:dyDescent="0.35">
      <c r="A78" t="s">
        <v>91</v>
      </c>
      <c r="B78" t="s">
        <v>37</v>
      </c>
      <c r="C78" t="s">
        <v>4</v>
      </c>
      <c r="D78" t="str">
        <f>VLOOKUP(Table7[[#This Row],[QuestionID]], FinalQuestions!$A:$C, 3, FALSE)</f>
        <v>Enforcement</v>
      </c>
      <c r="E78">
        <f>IF(Table7[[#This Row],[Response]]="","",CHOOSE(MATCH(Table7[[#This Row],[Response]],{"Strongly Agree","Agree","Neutral","Disagree","Strongly Disagree","Not Applicable"},0),5,4,3,2,1,""))</f>
        <v>3</v>
      </c>
      <c r="F78">
        <f>Table7[[#This Row],[Scores]] * 20</f>
        <v>60</v>
      </c>
      <c r="G78">
        <f>IF(OR(Table7[[#This Row],[Response]]="Strongly Agree",Table7[[#This Row],[Response]]="Agree"),1,0)</f>
        <v>0</v>
      </c>
      <c r="H78" t="str">
        <f>_xlfn.XLOOKUP(Table7[[#This Row],[QuestionID]], FinalQuestions!$A:$A, FinalQuestions!$D:$D,"")</f>
        <v>Learning Culture from Non‑Compliance Cases</v>
      </c>
      <c r="I78" t="s">
        <v>262</v>
      </c>
    </row>
    <row r="79" spans="1:9" x14ac:dyDescent="0.35">
      <c r="A79" t="s">
        <v>91</v>
      </c>
      <c r="B79" t="s">
        <v>39</v>
      </c>
      <c r="C79" t="s">
        <v>4</v>
      </c>
      <c r="D79" t="str">
        <f>VLOOKUP(Table7[[#This Row],[QuestionID]], FinalQuestions!$A:$C, 3, FALSE)</f>
        <v>Enforcement</v>
      </c>
      <c r="E79">
        <f>IF(Table7[[#This Row],[Response]]="","",CHOOSE(MATCH(Table7[[#This Row],[Response]],{"Strongly Agree","Agree","Neutral","Disagree","Strongly Disagree","Not Applicable"},0),5,4,3,2,1,""))</f>
        <v>3</v>
      </c>
      <c r="F79">
        <f>Table7[[#This Row],[Scores]] * 20</f>
        <v>60</v>
      </c>
      <c r="G79">
        <f>IF(OR(Table7[[#This Row],[Response]]="Strongly Agree",Table7[[#This Row],[Response]]="Agree"),1,0)</f>
        <v>0</v>
      </c>
      <c r="H79" t="str">
        <f>_xlfn.XLOOKUP(Table7[[#This Row],[QuestionID]], FinalQuestions!$A:$A, FinalQuestions!$D:$D,"")</f>
        <v>Organizational View on Risk Culture</v>
      </c>
      <c r="I79" t="s">
        <v>262</v>
      </c>
    </row>
    <row r="80" spans="1:9" x14ac:dyDescent="0.35">
      <c r="A80" t="s">
        <v>91</v>
      </c>
      <c r="B80" t="s">
        <v>41</v>
      </c>
      <c r="C80" t="s">
        <v>4</v>
      </c>
      <c r="D80" t="str">
        <f>VLOOKUP(Table7[[#This Row],[QuestionID]], FinalQuestions!$A:$C, 3, FALSE)</f>
        <v>Enforcement</v>
      </c>
      <c r="E80">
        <f>IF(Table7[[#This Row],[Response]]="","",CHOOSE(MATCH(Table7[[#This Row],[Response]],{"Strongly Agree","Agree","Neutral","Disagree","Strongly Disagree","Not Applicable"},0),5,4,3,2,1,""))</f>
        <v>3</v>
      </c>
      <c r="F80">
        <f>Table7[[#This Row],[Scores]] * 20</f>
        <v>60</v>
      </c>
      <c r="G80">
        <f>IF(OR(Table7[[#This Row],[Response]]="Strongly Agree",Table7[[#This Row],[Response]]="Agree"),1,0)</f>
        <v>0</v>
      </c>
      <c r="H80" t="str">
        <f>_xlfn.XLOOKUP(Table7[[#This Row],[QuestionID]], FinalQuestions!$A:$A, FinalQuestions!$D:$D,"")</f>
        <v>Compliance Recognition &amp; enforcement</v>
      </c>
      <c r="I80" t="s">
        <v>262</v>
      </c>
    </row>
    <row r="81" spans="1:9" x14ac:dyDescent="0.35">
      <c r="A81" t="s">
        <v>91</v>
      </c>
      <c r="B81" t="s">
        <v>43</v>
      </c>
      <c r="C81" t="s">
        <v>4</v>
      </c>
      <c r="D81" t="str">
        <f>VLOOKUP(Table7[[#This Row],[QuestionID]], FinalQuestions!$A:$C, 3, FALSE)</f>
        <v>Enforcement</v>
      </c>
      <c r="E81">
        <f>IF(Table7[[#This Row],[Response]]="","",CHOOSE(MATCH(Table7[[#This Row],[Response]],{"Strongly Agree","Agree","Neutral","Disagree","Strongly Disagree","Not Applicable"},0),5,4,3,2,1,""))</f>
        <v>3</v>
      </c>
      <c r="F81">
        <f>Table7[[#This Row],[Scores]] * 20</f>
        <v>60</v>
      </c>
      <c r="G81">
        <f>IF(OR(Table7[[#This Row],[Response]]="Strongly Agree",Table7[[#This Row],[Response]]="Agree"),1,0)</f>
        <v>0</v>
      </c>
      <c r="H81" t="str">
        <f>_xlfn.XLOOKUP(Table7[[#This Row],[QuestionID]], FinalQuestions!$A:$A, FinalQuestions!$D:$D,"")</f>
        <v>Sense of Ownership</v>
      </c>
      <c r="I81" t="s">
        <v>262</v>
      </c>
    </row>
    <row r="82" spans="1:9" x14ac:dyDescent="0.35">
      <c r="A82" t="s">
        <v>91</v>
      </c>
      <c r="B82" t="s">
        <v>45</v>
      </c>
      <c r="C82" t="s">
        <v>4</v>
      </c>
      <c r="D82" t="str">
        <f>VLOOKUP(Table7[[#This Row],[QuestionID]], FinalQuestions!$A:$C, 3, FALSE)</f>
        <v>Clarity</v>
      </c>
      <c r="E82">
        <f>IF(Table7[[#This Row],[Response]]="","",CHOOSE(MATCH(Table7[[#This Row],[Response]],{"Strongly Agree","Agree","Neutral","Disagree","Strongly Disagree","Not Applicable"},0),5,4,3,2,1,""))</f>
        <v>3</v>
      </c>
      <c r="F82">
        <f>Table7[[#This Row],[Scores]] * 20</f>
        <v>60</v>
      </c>
      <c r="G82">
        <f>IF(OR(Table7[[#This Row],[Response]]="Strongly Agree",Table7[[#This Row],[Response]]="Agree"),1,0)</f>
        <v>0</v>
      </c>
      <c r="H82" t="str">
        <f>_xlfn.XLOOKUP(Table7[[#This Row],[QuestionID]], FinalQuestions!$A:$A, FinalQuestions!$D:$D,"")</f>
        <v>Clarity of Role and Responsibilities</v>
      </c>
      <c r="I82" t="s">
        <v>262</v>
      </c>
    </row>
    <row r="83" spans="1:9" x14ac:dyDescent="0.35">
      <c r="A83" t="s">
        <v>91</v>
      </c>
      <c r="B83" t="s">
        <v>47</v>
      </c>
      <c r="C83" t="s">
        <v>4</v>
      </c>
      <c r="D83" t="str">
        <f>VLOOKUP(Table7[[#This Row],[QuestionID]], FinalQuestions!$A:$C, 3, FALSE)</f>
        <v>Clarity</v>
      </c>
      <c r="E83">
        <f>IF(Table7[[#This Row],[Response]]="","",CHOOSE(MATCH(Table7[[#This Row],[Response]],{"Strongly Agree","Agree","Neutral","Disagree","Strongly Disagree","Not Applicable"},0),5,4,3,2,1,""))</f>
        <v>3</v>
      </c>
      <c r="F83">
        <f>Table7[[#This Row],[Scores]] * 20</f>
        <v>60</v>
      </c>
      <c r="G83">
        <f>IF(OR(Table7[[#This Row],[Response]]="Strongly Agree",Table7[[#This Row],[Response]]="Agree"),1,0)</f>
        <v>0</v>
      </c>
      <c r="H83" t="str">
        <f>_xlfn.XLOOKUP(Table7[[#This Row],[QuestionID]], FinalQuestions!$A:$A, FinalQuestions!$D:$D,"")</f>
        <v>Understanding of Risk Policies &amp; Procedures</v>
      </c>
      <c r="I83" t="s">
        <v>262</v>
      </c>
    </row>
    <row r="84" spans="1:9" x14ac:dyDescent="0.35">
      <c r="A84" t="s">
        <v>91</v>
      </c>
      <c r="B84" t="s">
        <v>49</v>
      </c>
      <c r="C84" t="s">
        <v>4</v>
      </c>
      <c r="D84" t="str">
        <f>VLOOKUP(Table7[[#This Row],[QuestionID]], FinalQuestions!$A:$C, 3, FALSE)</f>
        <v>Clarity</v>
      </c>
      <c r="E84">
        <f>IF(Table7[[#This Row],[Response]]="","",CHOOSE(MATCH(Table7[[#This Row],[Response]],{"Strongly Agree","Agree","Neutral","Disagree","Strongly Disagree","Not Applicable"},0),5,4,3,2,1,""))</f>
        <v>3</v>
      </c>
      <c r="F84">
        <f>Table7[[#This Row],[Scores]] * 20</f>
        <v>60</v>
      </c>
      <c r="G84">
        <f>IF(OR(Table7[[#This Row],[Response]]="Strongly Agree",Table7[[#This Row],[Response]]="Agree"),1,0)</f>
        <v>0</v>
      </c>
      <c r="H84" t="str">
        <f>_xlfn.XLOOKUP(Table7[[#This Row],[QuestionID]], FinalQuestions!$A:$A, FinalQuestions!$D:$D,"")</f>
        <v>Clarity of Personal Risk Boundaries</v>
      </c>
      <c r="I84" t="s">
        <v>262</v>
      </c>
    </row>
    <row r="85" spans="1:9" x14ac:dyDescent="0.35">
      <c r="A85" t="s">
        <v>91</v>
      </c>
      <c r="B85" t="s">
        <v>51</v>
      </c>
      <c r="C85" t="s">
        <v>4</v>
      </c>
      <c r="D85" t="str">
        <f>VLOOKUP(Table7[[#This Row],[QuestionID]], FinalQuestions!$A:$C, 3, FALSE)</f>
        <v>Clarity</v>
      </c>
      <c r="E85">
        <f>IF(Table7[[#This Row],[Response]]="","",CHOOSE(MATCH(Table7[[#This Row],[Response]],{"Strongly Agree","Agree","Neutral","Disagree","Strongly Disagree","Not Applicable"},0),5,4,3,2,1,""))</f>
        <v>3</v>
      </c>
      <c r="F85">
        <f>Table7[[#This Row],[Scores]] * 20</f>
        <v>60</v>
      </c>
      <c r="G85">
        <f>IF(OR(Table7[[#This Row],[Response]]="Strongly Agree",Table7[[#This Row],[Response]]="Agree"),1,0)</f>
        <v>0</v>
      </c>
      <c r="H85" t="str">
        <f>_xlfn.XLOOKUP(Table7[[#This Row],[QuestionID]], FinalQuestions!$A:$A, FinalQuestions!$D:$D,"")</f>
        <v>Effectiveness of Risk Communication &amp; Training</v>
      </c>
      <c r="I85" t="s">
        <v>262</v>
      </c>
    </row>
    <row r="86" spans="1:9" x14ac:dyDescent="0.35">
      <c r="A86" t="s">
        <v>91</v>
      </c>
      <c r="B86" t="s">
        <v>53</v>
      </c>
      <c r="C86" t="s">
        <v>4</v>
      </c>
      <c r="D86" t="str">
        <f>VLOOKUP(Table7[[#This Row],[QuestionID]], FinalQuestions!$A:$C, 3, FALSE)</f>
        <v>Transparency</v>
      </c>
      <c r="E86">
        <f>IF(Table7[[#This Row],[Response]]="","",CHOOSE(MATCH(Table7[[#This Row],[Response]],{"Strongly Agree","Agree","Neutral","Disagree","Strongly Disagree","Not Applicable"},0),5,4,3,2,1,""))</f>
        <v>3</v>
      </c>
      <c r="F86">
        <f>Table7[[#This Row],[Scores]] * 20</f>
        <v>60</v>
      </c>
      <c r="G86">
        <f>IF(OR(Table7[[#This Row],[Response]]="Strongly Agree",Table7[[#This Row],[Response]]="Agree"),1,0)</f>
        <v>0</v>
      </c>
      <c r="H86" t="str">
        <f>_xlfn.XLOOKUP(Table7[[#This Row],[QuestionID]], FinalQuestions!$A:$A, FinalQuestions!$D:$D,"")</f>
        <v>Compliance Confidence in team</v>
      </c>
      <c r="I86" t="s">
        <v>262</v>
      </c>
    </row>
    <row r="87" spans="1:9" x14ac:dyDescent="0.35">
      <c r="A87" t="s">
        <v>91</v>
      </c>
      <c r="B87" t="s">
        <v>55</v>
      </c>
      <c r="C87" t="s">
        <v>4</v>
      </c>
      <c r="D87" t="str">
        <f>VLOOKUP(Table7[[#This Row],[QuestionID]], FinalQuestions!$A:$C, 3, FALSE)</f>
        <v>Transparency</v>
      </c>
      <c r="E87">
        <f>IF(Table7[[#This Row],[Response]]="","",CHOOSE(MATCH(Table7[[#This Row],[Response]],{"Strongly Agree","Agree","Neutral","Disagree","Strongly Disagree","Not Applicable"},0),5,4,3,2,1,""))</f>
        <v>3</v>
      </c>
      <c r="F87">
        <f>Table7[[#This Row],[Scores]] * 20</f>
        <v>60</v>
      </c>
      <c r="G87">
        <f>IF(OR(Table7[[#This Row],[Response]]="Strongly Agree",Table7[[#This Row],[Response]]="Agree"),1,0)</f>
        <v>0</v>
      </c>
      <c r="H87" t="str">
        <f>_xlfn.XLOOKUP(Table7[[#This Row],[QuestionID]], FinalQuestions!$A:$A, FinalQuestions!$D:$D,"")</f>
        <v>Transparency in Decision‑Making</v>
      </c>
      <c r="I87" t="s">
        <v>262</v>
      </c>
    </row>
    <row r="88" spans="1:9" x14ac:dyDescent="0.35">
      <c r="A88" t="s">
        <v>91</v>
      </c>
      <c r="B88" t="s">
        <v>57</v>
      </c>
      <c r="C88" t="s">
        <v>4</v>
      </c>
      <c r="D88" t="str">
        <f>VLOOKUP(Table7[[#This Row],[QuestionID]], FinalQuestions!$A:$C, 3, FALSE)</f>
        <v>Transparency</v>
      </c>
      <c r="E88">
        <f>IF(Table7[[#This Row],[Response]]="","",CHOOSE(MATCH(Table7[[#This Row],[Response]],{"Strongly Agree","Agree","Neutral","Disagree","Strongly Disagree","Not Applicable"},0),5,4,3,2,1,""))</f>
        <v>3</v>
      </c>
      <c r="F88">
        <f>Table7[[#This Row],[Scores]] * 20</f>
        <v>60</v>
      </c>
      <c r="G88">
        <f>IF(OR(Table7[[#This Row],[Response]]="Strongly Agree",Table7[[#This Row],[Response]]="Agree"),1,0)</f>
        <v>0</v>
      </c>
      <c r="H88" t="str">
        <f>_xlfn.XLOOKUP(Table7[[#This Row],[QuestionID]], FinalQuestions!$A:$A, FinalQuestions!$D:$D,"")</f>
        <v>Fairness &amp; Equity of Expectations</v>
      </c>
      <c r="I88" t="s">
        <v>262</v>
      </c>
    </row>
    <row r="89" spans="1:9" x14ac:dyDescent="0.35">
      <c r="A89" t="s">
        <v>91</v>
      </c>
      <c r="B89" t="s">
        <v>59</v>
      </c>
      <c r="C89" t="s">
        <v>4</v>
      </c>
      <c r="D89" t="str">
        <f>VLOOKUP(Table7[[#This Row],[QuestionID]], FinalQuestions!$A:$C, 3, FALSE)</f>
        <v>Transparency</v>
      </c>
      <c r="E89">
        <f>IF(Table7[[#This Row],[Response]]="","",CHOOSE(MATCH(Table7[[#This Row],[Response]],{"Strongly Agree","Agree","Neutral","Disagree","Strongly Disagree","Not Applicable"},0),5,4,3,2,1,""))</f>
        <v>3</v>
      </c>
      <c r="F89">
        <f>Table7[[#This Row],[Scores]] * 20</f>
        <v>60</v>
      </c>
      <c r="G89">
        <f>IF(OR(Table7[[#This Row],[Response]]="Strongly Agree",Table7[[#This Row],[Response]]="Agree"),1,0)</f>
        <v>0</v>
      </c>
      <c r="H89" t="str">
        <f>_xlfn.XLOOKUP(Table7[[#This Row],[QuestionID]], FinalQuestions!$A:$A, FinalQuestions!$D:$D,"")</f>
        <v>Leadership Awareness in the team</v>
      </c>
      <c r="I89" t="s">
        <v>262</v>
      </c>
    </row>
    <row r="90" spans="1:9" x14ac:dyDescent="0.35">
      <c r="A90" t="s">
        <v>91</v>
      </c>
      <c r="B90" t="s">
        <v>61</v>
      </c>
      <c r="C90" t="s">
        <v>4</v>
      </c>
      <c r="D90" t="str">
        <f>VLOOKUP(Table7[[#This Row],[QuestionID]], FinalQuestions!$A:$C, 3, FALSE)</f>
        <v>Commitment</v>
      </c>
      <c r="E90">
        <f>IF(Table7[[#This Row],[Response]]="","",CHOOSE(MATCH(Table7[[#This Row],[Response]],{"Strongly Agree","Agree","Neutral","Disagree","Strongly Disagree","Not Applicable"},0),5,4,3,2,1,""))</f>
        <v>3</v>
      </c>
      <c r="F90">
        <f>Table7[[#This Row],[Scores]] * 20</f>
        <v>60</v>
      </c>
      <c r="G90">
        <f>IF(OR(Table7[[#This Row],[Response]]="Strongly Agree",Table7[[#This Row],[Response]]="Agree"),1,0)</f>
        <v>0</v>
      </c>
      <c r="H90" t="str">
        <f>_xlfn.XLOOKUP(Table7[[#This Row],[QuestionID]], FinalQuestions!$A:$A, FinalQuestions!$D:$D,"")</f>
        <v>Motivation for Risk Ownership</v>
      </c>
      <c r="I90" t="s">
        <v>262</v>
      </c>
    </row>
    <row r="91" spans="1:9" x14ac:dyDescent="0.35">
      <c r="A91" t="s">
        <v>91</v>
      </c>
      <c r="B91" t="s">
        <v>63</v>
      </c>
      <c r="C91" t="s">
        <v>4</v>
      </c>
      <c r="D91" t="str">
        <f>VLOOKUP(Table7[[#This Row],[QuestionID]], FinalQuestions!$A:$C, 3, FALSE)</f>
        <v>Commitment</v>
      </c>
      <c r="E91">
        <f>IF(Table7[[#This Row],[Response]]="","",CHOOSE(MATCH(Table7[[#This Row],[Response]],{"Strongly Agree","Agree","Neutral","Disagree","Strongly Disagree","Not Applicable"},0),5,4,3,2,1,""))</f>
        <v>3</v>
      </c>
      <c r="F91">
        <f>Table7[[#This Row],[Scores]] * 20</f>
        <v>60</v>
      </c>
      <c r="G91">
        <f>IF(OR(Table7[[#This Row],[Response]]="Strongly Agree",Table7[[#This Row],[Response]]="Agree"),1,0)</f>
        <v>0</v>
      </c>
      <c r="H91" t="str">
        <f>_xlfn.XLOOKUP(Table7[[#This Row],[QuestionID]], FinalQuestions!$A:$A, FinalQuestions!$D:$D,"")</f>
        <v>Sense of Belonging to the Organization</v>
      </c>
      <c r="I91" t="s">
        <v>262</v>
      </c>
    </row>
    <row r="92" spans="1:9" x14ac:dyDescent="0.35">
      <c r="A92" t="s">
        <v>91</v>
      </c>
      <c r="B92" t="s">
        <v>65</v>
      </c>
      <c r="C92" t="s">
        <v>4</v>
      </c>
      <c r="D92" t="str">
        <f>VLOOKUP(Table7[[#This Row],[QuestionID]], FinalQuestions!$A:$C, 3, FALSE)</f>
        <v>Commitment</v>
      </c>
      <c r="E92">
        <f>IF(Table7[[#This Row],[Response]]="","",CHOOSE(MATCH(Table7[[#This Row],[Response]],{"Strongly Agree","Agree","Neutral","Disagree","Strongly Disagree","Not Applicable"},0),5,4,3,2,1,""))</f>
        <v>3</v>
      </c>
      <c r="F92">
        <f>Table7[[#This Row],[Scores]] * 20</f>
        <v>60</v>
      </c>
      <c r="G92">
        <f>IF(OR(Table7[[#This Row],[Response]]="Strongly Agree",Table7[[#This Row],[Response]]="Agree"),1,0)</f>
        <v>0</v>
      </c>
      <c r="H92" t="str">
        <f>_xlfn.XLOOKUP(Table7[[#This Row],[QuestionID]], FinalQuestions!$A:$A, FinalQuestions!$D:$D,"")</f>
        <v>Consideration of Impact on Others</v>
      </c>
      <c r="I92" t="s">
        <v>262</v>
      </c>
    </row>
    <row r="93" spans="1:9" x14ac:dyDescent="0.35">
      <c r="A93" t="s">
        <v>91</v>
      </c>
      <c r="B93" t="s">
        <v>67</v>
      </c>
      <c r="C93" t="s">
        <v>4</v>
      </c>
      <c r="D93" t="str">
        <f>VLOOKUP(Table7[[#This Row],[QuestionID]], FinalQuestions!$A:$C, 3, FALSE)</f>
        <v>Commitment</v>
      </c>
      <c r="E93">
        <f>IF(Table7[[#This Row],[Response]]="","",CHOOSE(MATCH(Table7[[#This Row],[Response]],{"Strongly Agree","Agree","Neutral","Disagree","Strongly Disagree","Not Applicable"},0),5,4,3,2,1,""))</f>
        <v>3</v>
      </c>
      <c r="F93">
        <f>Table7[[#This Row],[Scores]] * 20</f>
        <v>60</v>
      </c>
      <c r="G93">
        <f>IF(OR(Table7[[#This Row],[Response]]="Strongly Agree",Table7[[#This Row],[Response]]="Agree"),1,0)</f>
        <v>0</v>
      </c>
      <c r="H93" t="str">
        <f>_xlfn.XLOOKUP(Table7[[#This Row],[QuestionID]], FinalQuestions!$A:$A, FinalQuestions!$D:$D,"")</f>
        <v>Accountability for Risk Actions</v>
      </c>
      <c r="I93" t="s">
        <v>262</v>
      </c>
    </row>
    <row r="94" spans="1:9" x14ac:dyDescent="0.35">
      <c r="A94" t="s">
        <v>91</v>
      </c>
      <c r="B94" t="s">
        <v>69</v>
      </c>
      <c r="C94" t="s">
        <v>4</v>
      </c>
      <c r="D94" t="str">
        <f>VLOOKUP(Table7[[#This Row],[QuestionID]], FinalQuestions!$A:$C, 3, FALSE)</f>
        <v>Call someone to account</v>
      </c>
      <c r="E94">
        <f>IF(Table7[[#This Row],[Response]]="","",CHOOSE(MATCH(Table7[[#This Row],[Response]],{"Strongly Agree","Agree","Neutral","Disagree","Strongly Disagree","Not Applicable"},0),5,4,3,2,1,""))</f>
        <v>3</v>
      </c>
      <c r="F94">
        <f>Table7[[#This Row],[Scores]] * 20</f>
        <v>60</v>
      </c>
      <c r="G94">
        <f>IF(OR(Table7[[#This Row],[Response]]="Strongly Agree",Table7[[#This Row],[Response]]="Agree"),1,0)</f>
        <v>0</v>
      </c>
      <c r="H94" t="str">
        <f>_xlfn.XLOOKUP(Table7[[#This Row],[QuestionID]], FinalQuestions!$A:$A, FinalQuestions!$D:$D,"")</f>
        <v xml:space="preserve">Peer to peer Accountability </v>
      </c>
      <c r="I94" t="s">
        <v>262</v>
      </c>
    </row>
    <row r="95" spans="1:9" x14ac:dyDescent="0.35">
      <c r="A95" t="s">
        <v>91</v>
      </c>
      <c r="B95" t="s">
        <v>71</v>
      </c>
      <c r="C95" t="s">
        <v>4</v>
      </c>
      <c r="D95" t="str">
        <f>VLOOKUP(Table7[[#This Row],[QuestionID]], FinalQuestions!$A:$C, 3, FALSE)</f>
        <v>Call someone to account</v>
      </c>
      <c r="E95">
        <f>IF(Table7[[#This Row],[Response]]="","",CHOOSE(MATCH(Table7[[#This Row],[Response]],{"Strongly Agree","Agree","Neutral","Disagree","Strongly Disagree","Not Applicable"},0),5,4,3,2,1,""))</f>
        <v>3</v>
      </c>
      <c r="F95">
        <f>Table7[[#This Row],[Scores]] * 20</f>
        <v>60</v>
      </c>
      <c r="G95">
        <f>IF(OR(Table7[[#This Row],[Response]]="Strongly Agree",Table7[[#This Row],[Response]]="Agree"),1,0)</f>
        <v>0</v>
      </c>
      <c r="H95" t="str">
        <f>_xlfn.XLOOKUP(Table7[[#This Row],[QuestionID]], FinalQuestions!$A:$A, FinalQuestions!$D:$D,"")</f>
        <v>Timely Resolution of Accountability Issues</v>
      </c>
      <c r="I95" t="s">
        <v>262</v>
      </c>
    </row>
    <row r="96" spans="1:9" x14ac:dyDescent="0.35">
      <c r="A96" t="s">
        <v>91</v>
      </c>
      <c r="B96" t="s">
        <v>73</v>
      </c>
      <c r="C96" t="s">
        <v>4</v>
      </c>
      <c r="D96" t="str">
        <f>VLOOKUP(Table7[[#This Row],[QuestionID]], FinalQuestions!$A:$C, 3, FALSE)</f>
        <v>Call someone to account</v>
      </c>
      <c r="E96">
        <f>IF(Table7[[#This Row],[Response]]="","",CHOOSE(MATCH(Table7[[#This Row],[Response]],{"Strongly Agree","Agree","Neutral","Disagree","Strongly Disagree","Not Applicable"},0),5,4,3,2,1,""))</f>
        <v>3</v>
      </c>
      <c r="F96">
        <f>Table7[[#This Row],[Scores]] * 20</f>
        <v>60</v>
      </c>
      <c r="G96">
        <f>IF(OR(Table7[[#This Row],[Response]]="Strongly Agree",Table7[[#This Row],[Response]]="Agree"),1,0)</f>
        <v>0</v>
      </c>
      <c r="H96" t="str">
        <f>_xlfn.XLOOKUP(Table7[[#This Row],[QuestionID]], FinalQuestions!$A:$A, FinalQuestions!$D:$D,"")</f>
        <v>Comfort for Reporting Non‑Compliance.</v>
      </c>
      <c r="I96" t="s">
        <v>262</v>
      </c>
    </row>
    <row r="97" spans="1:9" x14ac:dyDescent="0.35">
      <c r="A97" t="s">
        <v>91</v>
      </c>
      <c r="B97" t="s">
        <v>75</v>
      </c>
      <c r="C97" t="s">
        <v>4</v>
      </c>
      <c r="D97" t="str">
        <f>VLOOKUP(Table7[[#This Row],[QuestionID]], FinalQuestions!$A:$C, 3, FALSE)</f>
        <v>Call someone to account</v>
      </c>
      <c r="E97">
        <f>IF(Table7[[#This Row],[Response]]="","",CHOOSE(MATCH(Table7[[#This Row],[Response]],{"Strongly Agree","Agree","Neutral","Disagree","Strongly Disagree","Not Applicable"},0),5,4,3,2,1,""))</f>
        <v>3</v>
      </c>
      <c r="F97">
        <f>Table7[[#This Row],[Scores]] * 20</f>
        <v>60</v>
      </c>
      <c r="G97">
        <f>IF(OR(Table7[[#This Row],[Response]]="Strongly Agree",Table7[[#This Row],[Response]]="Agree"),1,0)</f>
        <v>0</v>
      </c>
      <c r="H97" t="str">
        <f>_xlfn.XLOOKUP(Table7[[#This Row],[QuestionID]], FinalQuestions!$A:$A, FinalQuestions!$D:$D,"")</f>
        <v>Consistency of Conduct Enforcement</v>
      </c>
      <c r="I97" t="s">
        <v>262</v>
      </c>
    </row>
    <row r="98" spans="1:9" x14ac:dyDescent="0.35">
      <c r="A98" t="s">
        <v>92</v>
      </c>
      <c r="B98" t="s">
        <v>13</v>
      </c>
      <c r="C98" t="s">
        <v>4</v>
      </c>
      <c r="D98" t="str">
        <f>VLOOKUP(Table7[[#This Row],[QuestionID]], FinalQuestions!$A:$C, 3, FALSE)</f>
        <v>Role Modelling</v>
      </c>
      <c r="E98">
        <f>IF(Table7[[#This Row],[Response]]="","",CHOOSE(MATCH(Table7[[#This Row],[Response]],{"Strongly Agree","Agree","Neutral","Disagree","Strongly Disagree","Not Applicable"},0),5,4,3,2,1,""))</f>
        <v>3</v>
      </c>
      <c r="F98">
        <f>Table7[[#This Row],[Scores]] * 20</f>
        <v>60</v>
      </c>
      <c r="G98">
        <f>IF(OR(Table7[[#This Row],[Response]]="Strongly Agree",Table7[[#This Row],[Response]]="Agree"),1,0)</f>
        <v>0</v>
      </c>
      <c r="H98" t="str">
        <f>_xlfn.XLOOKUP(Table7[[#This Row],[QuestionID]], FinalQuestions!$A:$A, FinalQuestions!$D:$D,"")</f>
        <v xml:space="preserve">Leadership Example‑Setting in Risk Management </v>
      </c>
      <c r="I98" t="s">
        <v>265</v>
      </c>
    </row>
    <row r="99" spans="1:9" x14ac:dyDescent="0.35">
      <c r="A99" t="s">
        <v>92</v>
      </c>
      <c r="B99" t="s">
        <v>15</v>
      </c>
      <c r="C99" t="s">
        <v>4</v>
      </c>
      <c r="D99" t="str">
        <f>VLOOKUP(Table7[[#This Row],[QuestionID]], FinalQuestions!$A:$C, 3, FALSE)</f>
        <v>Role Modelling</v>
      </c>
      <c r="E99">
        <f>IF(Table7[[#This Row],[Response]]="","",CHOOSE(MATCH(Table7[[#This Row],[Response]],{"Strongly Agree","Agree","Neutral","Disagree","Strongly Disagree","Not Applicable"},0),5,4,3,2,1,""))</f>
        <v>3</v>
      </c>
      <c r="F99">
        <f>Table7[[#This Row],[Scores]] * 20</f>
        <v>60</v>
      </c>
      <c r="G99">
        <f>IF(OR(Table7[[#This Row],[Response]]="Strongly Agree",Table7[[#This Row],[Response]]="Agree"),1,0)</f>
        <v>0</v>
      </c>
      <c r="H99" t="str">
        <f>_xlfn.XLOOKUP(Table7[[#This Row],[QuestionID]], FinalQuestions!$A:$A, FinalQuestions!$D:$D,"")</f>
        <v>Executive Commitment to Risk Culture</v>
      </c>
      <c r="I99" t="s">
        <v>265</v>
      </c>
    </row>
    <row r="100" spans="1:9" x14ac:dyDescent="0.35">
      <c r="A100" t="s">
        <v>92</v>
      </c>
      <c r="B100" t="s">
        <v>17</v>
      </c>
      <c r="C100" t="s">
        <v>4</v>
      </c>
      <c r="D100" t="str">
        <f>VLOOKUP(Table7[[#This Row],[QuestionID]], FinalQuestions!$A:$C, 3, FALSE)</f>
        <v>Role Modelling</v>
      </c>
      <c r="E100">
        <f>IF(Table7[[#This Row],[Response]]="","",CHOOSE(MATCH(Table7[[#This Row],[Response]],{"Strongly Agree","Agree","Neutral","Disagree","Strongly Disagree","Not Applicable"},0),5,4,3,2,1,""))</f>
        <v>3</v>
      </c>
      <c r="F100">
        <f>Table7[[#This Row],[Scores]] * 20</f>
        <v>60</v>
      </c>
      <c r="G100">
        <f>IF(OR(Table7[[#This Row],[Response]]="Strongly Agree",Table7[[#This Row],[Response]]="Agree"),1,0)</f>
        <v>0</v>
      </c>
      <c r="H100" t="str">
        <f>_xlfn.XLOOKUP(Table7[[#This Row],[QuestionID]], FinalQuestions!$A:$A, FinalQuestions!$D:$D,"")</f>
        <v>Leadership Encouragement to Escalate Risks</v>
      </c>
      <c r="I100" t="s">
        <v>265</v>
      </c>
    </row>
    <row r="101" spans="1:9" x14ac:dyDescent="0.35">
      <c r="A101" t="s">
        <v>92</v>
      </c>
      <c r="B101" t="s">
        <v>19</v>
      </c>
      <c r="C101" t="s">
        <v>4</v>
      </c>
      <c r="D101" t="str">
        <f>VLOOKUP(Table7[[#This Row],[QuestionID]], FinalQuestions!$A:$C, 3, FALSE)</f>
        <v>Role Modelling</v>
      </c>
      <c r="E101">
        <f>IF(Table7[[#This Row],[Response]]="","",CHOOSE(MATCH(Table7[[#This Row],[Response]],{"Strongly Agree","Agree","Neutral","Disagree","Strongly Disagree","Not Applicable"},0),5,4,3,2,1,""))</f>
        <v>3</v>
      </c>
      <c r="F101">
        <f>Table7[[#This Row],[Scores]] * 20</f>
        <v>60</v>
      </c>
      <c r="G101">
        <f>IF(OR(Table7[[#This Row],[Response]]="Strongly Agree",Table7[[#This Row],[Response]]="Agree"),1,0)</f>
        <v>0</v>
      </c>
      <c r="H101" t="str">
        <f>_xlfn.XLOOKUP(Table7[[#This Row],[QuestionID]], FinalQuestions!$A:$A, FinalQuestions!$D:$D,"")</f>
        <v>Long-Term Decision Awareness</v>
      </c>
      <c r="I101" t="s">
        <v>265</v>
      </c>
    </row>
    <row r="102" spans="1:9" x14ac:dyDescent="0.35">
      <c r="A102" t="s">
        <v>92</v>
      </c>
      <c r="B102" t="s">
        <v>21</v>
      </c>
      <c r="C102" t="s">
        <v>4</v>
      </c>
      <c r="D102" t="str">
        <f>VLOOKUP(Table7[[#This Row],[QuestionID]], FinalQuestions!$A:$C, 3, FALSE)</f>
        <v>Discussability</v>
      </c>
      <c r="E102">
        <f>IF(Table7[[#This Row],[Response]]="","",CHOOSE(MATCH(Table7[[#This Row],[Response]],{"Strongly Agree","Agree","Neutral","Disagree","Strongly Disagree","Not Applicable"},0),5,4,3,2,1,""))</f>
        <v>3</v>
      </c>
      <c r="F102">
        <f>Table7[[#This Row],[Scores]] * 20</f>
        <v>60</v>
      </c>
      <c r="G102">
        <f>IF(OR(Table7[[#This Row],[Response]]="Strongly Agree",Table7[[#This Row],[Response]]="Agree"),1,0)</f>
        <v>0</v>
      </c>
      <c r="H102" t="str">
        <f>_xlfn.XLOOKUP(Table7[[#This Row],[QuestionID]], FinalQuestions!$A:$A, FinalQuestions!$D:$D,"")</f>
        <v>Openness to Discussions</v>
      </c>
      <c r="I102" t="s">
        <v>265</v>
      </c>
    </row>
    <row r="103" spans="1:9" x14ac:dyDescent="0.35">
      <c r="A103" t="s">
        <v>92</v>
      </c>
      <c r="B103" t="s">
        <v>23</v>
      </c>
      <c r="C103" t="s">
        <v>4</v>
      </c>
      <c r="D103" t="str">
        <f>VLOOKUP(Table7[[#This Row],[QuestionID]], FinalQuestions!$A:$C, 3, FALSE)</f>
        <v>Discussability</v>
      </c>
      <c r="E103">
        <f>IF(Table7[[#This Row],[Response]]="","",CHOOSE(MATCH(Table7[[#This Row],[Response]],{"Strongly Agree","Agree","Neutral","Disagree","Strongly Disagree","Not Applicable"},0),5,4,3,2,1,""))</f>
        <v>3</v>
      </c>
      <c r="F103">
        <f>Table7[[#This Row],[Scores]] * 20</f>
        <v>60</v>
      </c>
      <c r="G103">
        <f>IF(OR(Table7[[#This Row],[Response]]="Strongly Agree",Table7[[#This Row],[Response]]="Agree"),1,0)</f>
        <v>0</v>
      </c>
      <c r="H103" t="str">
        <f>_xlfn.XLOOKUP(Table7[[#This Row],[QuestionID]], FinalQuestions!$A:$A, FinalQuestions!$D:$D,"")</f>
        <v>Access to Guidance</v>
      </c>
      <c r="I103" t="s">
        <v>265</v>
      </c>
    </row>
    <row r="104" spans="1:9" x14ac:dyDescent="0.35">
      <c r="A104" t="s">
        <v>92</v>
      </c>
      <c r="B104" t="s">
        <v>25</v>
      </c>
      <c r="C104" t="s">
        <v>4</v>
      </c>
      <c r="D104" t="str">
        <f>VLOOKUP(Table7[[#This Row],[QuestionID]], FinalQuestions!$A:$C, 3, FALSE)</f>
        <v>Discussability</v>
      </c>
      <c r="E104">
        <f>IF(Table7[[#This Row],[Response]]="","",CHOOSE(MATCH(Table7[[#This Row],[Response]],{"Strongly Agree","Agree","Neutral","Disagree","Strongly Disagree","Not Applicable"},0),5,4,3,2,1,""))</f>
        <v>3</v>
      </c>
      <c r="F104">
        <f>Table7[[#This Row],[Scores]] * 20</f>
        <v>60</v>
      </c>
      <c r="G104">
        <f>IF(OR(Table7[[#This Row],[Response]]="Strongly Agree",Table7[[#This Row],[Response]]="Agree"),1,0)</f>
        <v>0</v>
      </c>
      <c r="H104" t="str">
        <f>_xlfn.XLOOKUP(Table7[[#This Row],[QuestionID]], FinalQuestions!$A:$A, FinalQuestions!$D:$D,"")</f>
        <v>Openness to Sharing Opinions</v>
      </c>
      <c r="I104" t="s">
        <v>265</v>
      </c>
    </row>
    <row r="105" spans="1:9" x14ac:dyDescent="0.35">
      <c r="A105" t="s">
        <v>92</v>
      </c>
      <c r="B105" t="s">
        <v>27</v>
      </c>
      <c r="C105" t="s">
        <v>4</v>
      </c>
      <c r="D105" t="str">
        <f>VLOOKUP(Table7[[#This Row],[QuestionID]], FinalQuestions!$A:$C, 3, FALSE)</f>
        <v>Discussability</v>
      </c>
      <c r="E105">
        <f>IF(Table7[[#This Row],[Response]]="","",CHOOSE(MATCH(Table7[[#This Row],[Response]],{"Strongly Agree","Agree","Neutral","Disagree","Strongly Disagree","Not Applicable"},0),5,4,3,2,1,""))</f>
        <v>3</v>
      </c>
      <c r="F105">
        <f>Table7[[#This Row],[Scores]] * 20</f>
        <v>60</v>
      </c>
      <c r="G105">
        <f>IF(OR(Table7[[#This Row],[Response]]="Strongly Agree",Table7[[#This Row],[Response]]="Agree"),1,0)</f>
        <v>0</v>
      </c>
      <c r="H105" t="str">
        <f>_xlfn.XLOOKUP(Table7[[#This Row],[QuestionID]], FinalQuestions!$A:$A, FinalQuestions!$D:$D,"")</f>
        <v>Comfort in Reporting Risk Dilemmas</v>
      </c>
      <c r="I105" t="s">
        <v>265</v>
      </c>
    </row>
    <row r="106" spans="1:9" x14ac:dyDescent="0.35">
      <c r="A106" t="s">
        <v>92</v>
      </c>
      <c r="B106" t="s">
        <v>29</v>
      </c>
      <c r="C106" t="s">
        <v>4</v>
      </c>
      <c r="D106" t="str">
        <f>VLOOKUP(Table7[[#This Row],[QuestionID]], FinalQuestions!$A:$C, 3, FALSE)</f>
        <v>Achievability</v>
      </c>
      <c r="E106">
        <f>IF(Table7[[#This Row],[Response]]="","",CHOOSE(MATCH(Table7[[#This Row],[Response]],{"Strongly Agree","Agree","Neutral","Disagree","Strongly Disagree","Not Applicable"},0),5,4,3,2,1,""))</f>
        <v>3</v>
      </c>
      <c r="F106">
        <f>Table7[[#This Row],[Scores]] * 20</f>
        <v>60</v>
      </c>
      <c r="G106">
        <f>IF(OR(Table7[[#This Row],[Response]]="Strongly Agree",Table7[[#This Row],[Response]]="Agree"),1,0)</f>
        <v>0</v>
      </c>
      <c r="H106" t="str">
        <f>_xlfn.XLOOKUP(Table7[[#This Row],[QuestionID]], FinalQuestions!$A:$A, FinalQuestions!$D:$D,"")</f>
        <v>Adequacy of Risk Management Training</v>
      </c>
      <c r="I106" t="s">
        <v>265</v>
      </c>
    </row>
    <row r="107" spans="1:9" x14ac:dyDescent="0.35">
      <c r="A107" t="s">
        <v>92</v>
      </c>
      <c r="B107" t="s">
        <v>31</v>
      </c>
      <c r="C107" t="s">
        <v>4</v>
      </c>
      <c r="D107" t="str">
        <f>VLOOKUP(Table7[[#This Row],[QuestionID]], FinalQuestions!$A:$C, 3, FALSE)</f>
        <v>Achievability</v>
      </c>
      <c r="E107">
        <f>IF(Table7[[#This Row],[Response]]="","",CHOOSE(MATCH(Table7[[#This Row],[Response]],{"Strongly Agree","Agree","Neutral","Disagree","Strongly Disagree","Not Applicable"},0),5,4,3,2,1,""))</f>
        <v>3</v>
      </c>
      <c r="F107">
        <f>Table7[[#This Row],[Scores]] * 20</f>
        <v>60</v>
      </c>
      <c r="G107">
        <f>IF(OR(Table7[[#This Row],[Response]]="Strongly Agree",Table7[[#This Row],[Response]]="Agree"),1,0)</f>
        <v>0</v>
      </c>
      <c r="H107" t="str">
        <f>_xlfn.XLOOKUP(Table7[[#This Row],[QuestionID]], FinalQuestions!$A:$A, FinalQuestions!$D:$D,"")</f>
        <v>Workload Balance &amp; Resource Sufficiency</v>
      </c>
      <c r="I107" t="s">
        <v>265</v>
      </c>
    </row>
    <row r="108" spans="1:9" x14ac:dyDescent="0.35">
      <c r="A108" t="s">
        <v>92</v>
      </c>
      <c r="B108" t="s">
        <v>33</v>
      </c>
      <c r="C108" t="s">
        <v>4</v>
      </c>
      <c r="D108" t="str">
        <f>VLOOKUP(Table7[[#This Row],[QuestionID]], FinalQuestions!$A:$C, 3, FALSE)</f>
        <v>Achievability</v>
      </c>
      <c r="E108">
        <f>IF(Table7[[#This Row],[Response]]="","",CHOOSE(MATCH(Table7[[#This Row],[Response]],{"Strongly Agree","Agree","Neutral","Disagree","Strongly Disagree","Not Applicable"},0),5,4,3,2,1,""))</f>
        <v>3</v>
      </c>
      <c r="F108">
        <f>Table7[[#This Row],[Scores]] * 20</f>
        <v>60</v>
      </c>
      <c r="G108">
        <f>IF(OR(Table7[[#This Row],[Response]]="Strongly Agree",Table7[[#This Row],[Response]]="Agree"),1,0)</f>
        <v>0</v>
      </c>
      <c r="H108" t="str">
        <f>_xlfn.XLOOKUP(Table7[[#This Row],[QuestionID]], FinalQuestions!$A:$A, FinalQuestions!$D:$D,"")</f>
        <v>Realistic Target Setting</v>
      </c>
      <c r="I108" t="s">
        <v>265</v>
      </c>
    </row>
    <row r="109" spans="1:9" x14ac:dyDescent="0.35">
      <c r="A109" t="s">
        <v>92</v>
      </c>
      <c r="B109" t="s">
        <v>35</v>
      </c>
      <c r="C109" t="s">
        <v>4</v>
      </c>
      <c r="D109" t="str">
        <f>VLOOKUP(Table7[[#This Row],[QuestionID]], FinalQuestions!$A:$C, 3, FALSE)</f>
        <v>Achievability</v>
      </c>
      <c r="E109">
        <f>IF(Table7[[#This Row],[Response]]="","",CHOOSE(MATCH(Table7[[#This Row],[Response]],{"Strongly Agree","Agree","Neutral","Disagree","Strongly Disagree","Not Applicable"},0),5,4,3,2,1,""))</f>
        <v>3</v>
      </c>
      <c r="F109">
        <f>Table7[[#This Row],[Scores]] * 20</f>
        <v>60</v>
      </c>
      <c r="G109">
        <f>IF(OR(Table7[[#This Row],[Response]]="Strongly Agree",Table7[[#This Row],[Response]]="Agree"),1,0)</f>
        <v>0</v>
      </c>
      <c r="H109" t="str">
        <f>_xlfn.XLOOKUP(Table7[[#This Row],[QuestionID]], FinalQuestions!$A:$A, FinalQuestions!$D:$D,"")</f>
        <v>Risk Insight in Decision Making</v>
      </c>
      <c r="I109" t="s">
        <v>265</v>
      </c>
    </row>
    <row r="110" spans="1:9" x14ac:dyDescent="0.35">
      <c r="A110" t="s">
        <v>92</v>
      </c>
      <c r="B110" t="s">
        <v>37</v>
      </c>
      <c r="C110" t="s">
        <v>4</v>
      </c>
      <c r="D110" t="str">
        <f>VLOOKUP(Table7[[#This Row],[QuestionID]], FinalQuestions!$A:$C, 3, FALSE)</f>
        <v>Enforcement</v>
      </c>
      <c r="E110">
        <f>IF(Table7[[#This Row],[Response]]="","",CHOOSE(MATCH(Table7[[#This Row],[Response]],{"Strongly Agree","Agree","Neutral","Disagree","Strongly Disagree","Not Applicable"},0),5,4,3,2,1,""))</f>
        <v>3</v>
      </c>
      <c r="F110">
        <f>Table7[[#This Row],[Scores]] * 20</f>
        <v>60</v>
      </c>
      <c r="G110">
        <f>IF(OR(Table7[[#This Row],[Response]]="Strongly Agree",Table7[[#This Row],[Response]]="Agree"),1,0)</f>
        <v>0</v>
      </c>
      <c r="H110" t="str">
        <f>_xlfn.XLOOKUP(Table7[[#This Row],[QuestionID]], FinalQuestions!$A:$A, FinalQuestions!$D:$D,"")</f>
        <v>Learning Culture from Non‑Compliance Cases</v>
      </c>
      <c r="I110" t="s">
        <v>265</v>
      </c>
    </row>
    <row r="111" spans="1:9" x14ac:dyDescent="0.35">
      <c r="A111" t="s">
        <v>92</v>
      </c>
      <c r="B111" t="s">
        <v>39</v>
      </c>
      <c r="C111" t="s">
        <v>4</v>
      </c>
      <c r="D111" t="str">
        <f>VLOOKUP(Table7[[#This Row],[QuestionID]], FinalQuestions!$A:$C, 3, FALSE)</f>
        <v>Enforcement</v>
      </c>
      <c r="E111">
        <f>IF(Table7[[#This Row],[Response]]="","",CHOOSE(MATCH(Table7[[#This Row],[Response]],{"Strongly Agree","Agree","Neutral","Disagree","Strongly Disagree","Not Applicable"},0),5,4,3,2,1,""))</f>
        <v>3</v>
      </c>
      <c r="F111">
        <f>Table7[[#This Row],[Scores]] * 20</f>
        <v>60</v>
      </c>
      <c r="G111">
        <f>IF(OR(Table7[[#This Row],[Response]]="Strongly Agree",Table7[[#This Row],[Response]]="Agree"),1,0)</f>
        <v>0</v>
      </c>
      <c r="H111" t="str">
        <f>_xlfn.XLOOKUP(Table7[[#This Row],[QuestionID]], FinalQuestions!$A:$A, FinalQuestions!$D:$D,"")</f>
        <v>Organizational View on Risk Culture</v>
      </c>
      <c r="I111" t="s">
        <v>265</v>
      </c>
    </row>
    <row r="112" spans="1:9" x14ac:dyDescent="0.35">
      <c r="A112" t="s">
        <v>92</v>
      </c>
      <c r="B112" t="s">
        <v>41</v>
      </c>
      <c r="C112" t="s">
        <v>4</v>
      </c>
      <c r="D112" t="str">
        <f>VLOOKUP(Table7[[#This Row],[QuestionID]], FinalQuestions!$A:$C, 3, FALSE)</f>
        <v>Enforcement</v>
      </c>
      <c r="E112">
        <f>IF(Table7[[#This Row],[Response]]="","",CHOOSE(MATCH(Table7[[#This Row],[Response]],{"Strongly Agree","Agree","Neutral","Disagree","Strongly Disagree","Not Applicable"},0),5,4,3,2,1,""))</f>
        <v>3</v>
      </c>
      <c r="F112">
        <f>Table7[[#This Row],[Scores]] * 20</f>
        <v>60</v>
      </c>
      <c r="G112">
        <f>IF(OR(Table7[[#This Row],[Response]]="Strongly Agree",Table7[[#This Row],[Response]]="Agree"),1,0)</f>
        <v>0</v>
      </c>
      <c r="H112" t="str">
        <f>_xlfn.XLOOKUP(Table7[[#This Row],[QuestionID]], FinalQuestions!$A:$A, FinalQuestions!$D:$D,"")</f>
        <v>Compliance Recognition &amp; enforcement</v>
      </c>
      <c r="I112" t="s">
        <v>265</v>
      </c>
    </row>
    <row r="113" spans="1:9" x14ac:dyDescent="0.35">
      <c r="A113" t="s">
        <v>92</v>
      </c>
      <c r="B113" t="s">
        <v>43</v>
      </c>
      <c r="C113" t="s">
        <v>4</v>
      </c>
      <c r="D113" t="str">
        <f>VLOOKUP(Table7[[#This Row],[QuestionID]], FinalQuestions!$A:$C, 3, FALSE)</f>
        <v>Enforcement</v>
      </c>
      <c r="E113">
        <f>IF(Table7[[#This Row],[Response]]="","",CHOOSE(MATCH(Table7[[#This Row],[Response]],{"Strongly Agree","Agree","Neutral","Disagree","Strongly Disagree","Not Applicable"},0),5,4,3,2,1,""))</f>
        <v>3</v>
      </c>
      <c r="F113">
        <f>Table7[[#This Row],[Scores]] * 20</f>
        <v>60</v>
      </c>
      <c r="G113">
        <f>IF(OR(Table7[[#This Row],[Response]]="Strongly Agree",Table7[[#This Row],[Response]]="Agree"),1,0)</f>
        <v>0</v>
      </c>
      <c r="H113" t="str">
        <f>_xlfn.XLOOKUP(Table7[[#This Row],[QuestionID]], FinalQuestions!$A:$A, FinalQuestions!$D:$D,"")</f>
        <v>Sense of Ownership</v>
      </c>
      <c r="I113" t="s">
        <v>265</v>
      </c>
    </row>
    <row r="114" spans="1:9" x14ac:dyDescent="0.35">
      <c r="A114" t="s">
        <v>92</v>
      </c>
      <c r="B114" t="s">
        <v>45</v>
      </c>
      <c r="C114" t="s">
        <v>4</v>
      </c>
      <c r="D114" t="str">
        <f>VLOOKUP(Table7[[#This Row],[QuestionID]], FinalQuestions!$A:$C, 3, FALSE)</f>
        <v>Clarity</v>
      </c>
      <c r="E114">
        <f>IF(Table7[[#This Row],[Response]]="","",CHOOSE(MATCH(Table7[[#This Row],[Response]],{"Strongly Agree","Agree","Neutral","Disagree","Strongly Disagree","Not Applicable"},0),5,4,3,2,1,""))</f>
        <v>3</v>
      </c>
      <c r="F114">
        <f>Table7[[#This Row],[Scores]] * 20</f>
        <v>60</v>
      </c>
      <c r="G114">
        <f>IF(OR(Table7[[#This Row],[Response]]="Strongly Agree",Table7[[#This Row],[Response]]="Agree"),1,0)</f>
        <v>0</v>
      </c>
      <c r="H114" t="str">
        <f>_xlfn.XLOOKUP(Table7[[#This Row],[QuestionID]], FinalQuestions!$A:$A, FinalQuestions!$D:$D,"")</f>
        <v>Clarity of Role and Responsibilities</v>
      </c>
      <c r="I114" t="s">
        <v>265</v>
      </c>
    </row>
    <row r="115" spans="1:9" x14ac:dyDescent="0.35">
      <c r="A115" t="s">
        <v>92</v>
      </c>
      <c r="B115" t="s">
        <v>47</v>
      </c>
      <c r="C115" t="s">
        <v>4</v>
      </c>
      <c r="D115" t="str">
        <f>VLOOKUP(Table7[[#This Row],[QuestionID]], FinalQuestions!$A:$C, 3, FALSE)</f>
        <v>Clarity</v>
      </c>
      <c r="E115">
        <f>IF(Table7[[#This Row],[Response]]="","",CHOOSE(MATCH(Table7[[#This Row],[Response]],{"Strongly Agree","Agree","Neutral","Disagree","Strongly Disagree","Not Applicable"},0),5,4,3,2,1,""))</f>
        <v>3</v>
      </c>
      <c r="F115">
        <f>Table7[[#This Row],[Scores]] * 20</f>
        <v>60</v>
      </c>
      <c r="G115">
        <f>IF(OR(Table7[[#This Row],[Response]]="Strongly Agree",Table7[[#This Row],[Response]]="Agree"),1,0)</f>
        <v>0</v>
      </c>
      <c r="H115" t="str">
        <f>_xlfn.XLOOKUP(Table7[[#This Row],[QuestionID]], FinalQuestions!$A:$A, FinalQuestions!$D:$D,"")</f>
        <v>Understanding of Risk Policies &amp; Procedures</v>
      </c>
      <c r="I115" t="s">
        <v>265</v>
      </c>
    </row>
    <row r="116" spans="1:9" x14ac:dyDescent="0.35">
      <c r="A116" t="s">
        <v>92</v>
      </c>
      <c r="B116" t="s">
        <v>49</v>
      </c>
      <c r="C116" t="s">
        <v>4</v>
      </c>
      <c r="D116" t="str">
        <f>VLOOKUP(Table7[[#This Row],[QuestionID]], FinalQuestions!$A:$C, 3, FALSE)</f>
        <v>Clarity</v>
      </c>
      <c r="E116">
        <f>IF(Table7[[#This Row],[Response]]="","",CHOOSE(MATCH(Table7[[#This Row],[Response]],{"Strongly Agree","Agree","Neutral","Disagree","Strongly Disagree","Not Applicable"},0),5,4,3,2,1,""))</f>
        <v>3</v>
      </c>
      <c r="F116">
        <f>Table7[[#This Row],[Scores]] * 20</f>
        <v>60</v>
      </c>
      <c r="G116">
        <f>IF(OR(Table7[[#This Row],[Response]]="Strongly Agree",Table7[[#This Row],[Response]]="Agree"),1,0)</f>
        <v>0</v>
      </c>
      <c r="H116" t="str">
        <f>_xlfn.XLOOKUP(Table7[[#This Row],[QuestionID]], FinalQuestions!$A:$A, FinalQuestions!$D:$D,"")</f>
        <v>Clarity of Personal Risk Boundaries</v>
      </c>
      <c r="I116" t="s">
        <v>265</v>
      </c>
    </row>
    <row r="117" spans="1:9" x14ac:dyDescent="0.35">
      <c r="A117" t="s">
        <v>92</v>
      </c>
      <c r="B117" t="s">
        <v>51</v>
      </c>
      <c r="C117" t="s">
        <v>4</v>
      </c>
      <c r="D117" t="str">
        <f>VLOOKUP(Table7[[#This Row],[QuestionID]], FinalQuestions!$A:$C, 3, FALSE)</f>
        <v>Clarity</v>
      </c>
      <c r="E117">
        <f>IF(Table7[[#This Row],[Response]]="","",CHOOSE(MATCH(Table7[[#This Row],[Response]],{"Strongly Agree","Agree","Neutral","Disagree","Strongly Disagree","Not Applicable"},0),5,4,3,2,1,""))</f>
        <v>3</v>
      </c>
      <c r="F117">
        <f>Table7[[#This Row],[Scores]] * 20</f>
        <v>60</v>
      </c>
      <c r="G117">
        <f>IF(OR(Table7[[#This Row],[Response]]="Strongly Agree",Table7[[#This Row],[Response]]="Agree"),1,0)</f>
        <v>0</v>
      </c>
      <c r="H117" t="str">
        <f>_xlfn.XLOOKUP(Table7[[#This Row],[QuestionID]], FinalQuestions!$A:$A, FinalQuestions!$D:$D,"")</f>
        <v>Effectiveness of Risk Communication &amp; Training</v>
      </c>
      <c r="I117" t="s">
        <v>265</v>
      </c>
    </row>
    <row r="118" spans="1:9" x14ac:dyDescent="0.35">
      <c r="A118" t="s">
        <v>92</v>
      </c>
      <c r="B118" t="s">
        <v>53</v>
      </c>
      <c r="C118" t="s">
        <v>4</v>
      </c>
      <c r="D118" t="str">
        <f>VLOOKUP(Table7[[#This Row],[QuestionID]], FinalQuestions!$A:$C, 3, FALSE)</f>
        <v>Transparency</v>
      </c>
      <c r="E118">
        <f>IF(Table7[[#This Row],[Response]]="","",CHOOSE(MATCH(Table7[[#This Row],[Response]],{"Strongly Agree","Agree","Neutral","Disagree","Strongly Disagree","Not Applicable"},0),5,4,3,2,1,""))</f>
        <v>3</v>
      </c>
      <c r="F118">
        <f>Table7[[#This Row],[Scores]] * 20</f>
        <v>60</v>
      </c>
      <c r="G118">
        <f>IF(OR(Table7[[#This Row],[Response]]="Strongly Agree",Table7[[#This Row],[Response]]="Agree"),1,0)</f>
        <v>0</v>
      </c>
      <c r="H118" t="str">
        <f>_xlfn.XLOOKUP(Table7[[#This Row],[QuestionID]], FinalQuestions!$A:$A, FinalQuestions!$D:$D,"")</f>
        <v>Compliance Confidence in team</v>
      </c>
      <c r="I118" t="s">
        <v>265</v>
      </c>
    </row>
    <row r="119" spans="1:9" x14ac:dyDescent="0.35">
      <c r="A119" t="s">
        <v>92</v>
      </c>
      <c r="B119" t="s">
        <v>55</v>
      </c>
      <c r="C119" t="s">
        <v>4</v>
      </c>
      <c r="D119" t="str">
        <f>VLOOKUP(Table7[[#This Row],[QuestionID]], FinalQuestions!$A:$C, 3, FALSE)</f>
        <v>Transparency</v>
      </c>
      <c r="E119">
        <f>IF(Table7[[#This Row],[Response]]="","",CHOOSE(MATCH(Table7[[#This Row],[Response]],{"Strongly Agree","Agree","Neutral","Disagree","Strongly Disagree","Not Applicable"},0),5,4,3,2,1,""))</f>
        <v>3</v>
      </c>
      <c r="F119">
        <f>Table7[[#This Row],[Scores]] * 20</f>
        <v>60</v>
      </c>
      <c r="G119">
        <f>IF(OR(Table7[[#This Row],[Response]]="Strongly Agree",Table7[[#This Row],[Response]]="Agree"),1,0)</f>
        <v>0</v>
      </c>
      <c r="H119" t="str">
        <f>_xlfn.XLOOKUP(Table7[[#This Row],[QuestionID]], FinalQuestions!$A:$A, FinalQuestions!$D:$D,"")</f>
        <v>Transparency in Decision‑Making</v>
      </c>
      <c r="I119" t="s">
        <v>265</v>
      </c>
    </row>
    <row r="120" spans="1:9" x14ac:dyDescent="0.35">
      <c r="A120" t="s">
        <v>92</v>
      </c>
      <c r="B120" t="s">
        <v>57</v>
      </c>
      <c r="C120" t="s">
        <v>4</v>
      </c>
      <c r="D120" t="str">
        <f>VLOOKUP(Table7[[#This Row],[QuestionID]], FinalQuestions!$A:$C, 3, FALSE)</f>
        <v>Transparency</v>
      </c>
      <c r="E120">
        <f>IF(Table7[[#This Row],[Response]]="","",CHOOSE(MATCH(Table7[[#This Row],[Response]],{"Strongly Agree","Agree","Neutral","Disagree","Strongly Disagree","Not Applicable"},0),5,4,3,2,1,""))</f>
        <v>3</v>
      </c>
      <c r="F120">
        <f>Table7[[#This Row],[Scores]] * 20</f>
        <v>60</v>
      </c>
      <c r="G120">
        <f>IF(OR(Table7[[#This Row],[Response]]="Strongly Agree",Table7[[#This Row],[Response]]="Agree"),1,0)</f>
        <v>0</v>
      </c>
      <c r="H120" t="str">
        <f>_xlfn.XLOOKUP(Table7[[#This Row],[QuestionID]], FinalQuestions!$A:$A, FinalQuestions!$D:$D,"")</f>
        <v>Fairness &amp; Equity of Expectations</v>
      </c>
      <c r="I120" t="s">
        <v>265</v>
      </c>
    </row>
    <row r="121" spans="1:9" x14ac:dyDescent="0.35">
      <c r="A121" t="s">
        <v>92</v>
      </c>
      <c r="B121" t="s">
        <v>59</v>
      </c>
      <c r="C121" t="s">
        <v>4</v>
      </c>
      <c r="D121" t="str">
        <f>VLOOKUP(Table7[[#This Row],[QuestionID]], FinalQuestions!$A:$C, 3, FALSE)</f>
        <v>Transparency</v>
      </c>
      <c r="E121">
        <f>IF(Table7[[#This Row],[Response]]="","",CHOOSE(MATCH(Table7[[#This Row],[Response]],{"Strongly Agree","Agree","Neutral","Disagree","Strongly Disagree","Not Applicable"},0),5,4,3,2,1,""))</f>
        <v>3</v>
      </c>
      <c r="F121">
        <f>Table7[[#This Row],[Scores]] * 20</f>
        <v>60</v>
      </c>
      <c r="G121">
        <f>IF(OR(Table7[[#This Row],[Response]]="Strongly Agree",Table7[[#This Row],[Response]]="Agree"),1,0)</f>
        <v>0</v>
      </c>
      <c r="H121" t="str">
        <f>_xlfn.XLOOKUP(Table7[[#This Row],[QuestionID]], FinalQuestions!$A:$A, FinalQuestions!$D:$D,"")</f>
        <v>Leadership Awareness in the team</v>
      </c>
      <c r="I121" t="s">
        <v>265</v>
      </c>
    </row>
    <row r="122" spans="1:9" x14ac:dyDescent="0.35">
      <c r="A122" t="s">
        <v>92</v>
      </c>
      <c r="B122" t="s">
        <v>61</v>
      </c>
      <c r="C122" t="s">
        <v>4</v>
      </c>
      <c r="D122" t="str">
        <f>VLOOKUP(Table7[[#This Row],[QuestionID]], FinalQuestions!$A:$C, 3, FALSE)</f>
        <v>Commitment</v>
      </c>
      <c r="E122">
        <f>IF(Table7[[#This Row],[Response]]="","",CHOOSE(MATCH(Table7[[#This Row],[Response]],{"Strongly Agree","Agree","Neutral","Disagree","Strongly Disagree","Not Applicable"},0),5,4,3,2,1,""))</f>
        <v>3</v>
      </c>
      <c r="F122">
        <f>Table7[[#This Row],[Scores]] * 20</f>
        <v>60</v>
      </c>
      <c r="G122">
        <f>IF(OR(Table7[[#This Row],[Response]]="Strongly Agree",Table7[[#This Row],[Response]]="Agree"),1,0)</f>
        <v>0</v>
      </c>
      <c r="H122" t="str">
        <f>_xlfn.XLOOKUP(Table7[[#This Row],[QuestionID]], FinalQuestions!$A:$A, FinalQuestions!$D:$D,"")</f>
        <v>Motivation for Risk Ownership</v>
      </c>
      <c r="I122" t="s">
        <v>265</v>
      </c>
    </row>
    <row r="123" spans="1:9" x14ac:dyDescent="0.35">
      <c r="A123" t="s">
        <v>92</v>
      </c>
      <c r="B123" t="s">
        <v>63</v>
      </c>
      <c r="C123" t="s">
        <v>4</v>
      </c>
      <c r="D123" t="str">
        <f>VLOOKUP(Table7[[#This Row],[QuestionID]], FinalQuestions!$A:$C, 3, FALSE)</f>
        <v>Commitment</v>
      </c>
      <c r="E123">
        <f>IF(Table7[[#This Row],[Response]]="","",CHOOSE(MATCH(Table7[[#This Row],[Response]],{"Strongly Agree","Agree","Neutral","Disagree","Strongly Disagree","Not Applicable"},0),5,4,3,2,1,""))</f>
        <v>3</v>
      </c>
      <c r="F123">
        <f>Table7[[#This Row],[Scores]] * 20</f>
        <v>60</v>
      </c>
      <c r="G123">
        <f>IF(OR(Table7[[#This Row],[Response]]="Strongly Agree",Table7[[#This Row],[Response]]="Agree"),1,0)</f>
        <v>0</v>
      </c>
      <c r="H123" t="str">
        <f>_xlfn.XLOOKUP(Table7[[#This Row],[QuestionID]], FinalQuestions!$A:$A, FinalQuestions!$D:$D,"")</f>
        <v>Sense of Belonging to the Organization</v>
      </c>
      <c r="I123" t="s">
        <v>265</v>
      </c>
    </row>
    <row r="124" spans="1:9" x14ac:dyDescent="0.35">
      <c r="A124" t="s">
        <v>92</v>
      </c>
      <c r="B124" t="s">
        <v>65</v>
      </c>
      <c r="C124" t="s">
        <v>4</v>
      </c>
      <c r="D124" t="str">
        <f>VLOOKUP(Table7[[#This Row],[QuestionID]], FinalQuestions!$A:$C, 3, FALSE)</f>
        <v>Commitment</v>
      </c>
      <c r="E124">
        <f>IF(Table7[[#This Row],[Response]]="","",CHOOSE(MATCH(Table7[[#This Row],[Response]],{"Strongly Agree","Agree","Neutral","Disagree","Strongly Disagree","Not Applicable"},0),5,4,3,2,1,""))</f>
        <v>3</v>
      </c>
      <c r="F124">
        <f>Table7[[#This Row],[Scores]] * 20</f>
        <v>60</v>
      </c>
      <c r="G124">
        <f>IF(OR(Table7[[#This Row],[Response]]="Strongly Agree",Table7[[#This Row],[Response]]="Agree"),1,0)</f>
        <v>0</v>
      </c>
      <c r="H124" t="str">
        <f>_xlfn.XLOOKUP(Table7[[#This Row],[QuestionID]], FinalQuestions!$A:$A, FinalQuestions!$D:$D,"")</f>
        <v>Consideration of Impact on Others</v>
      </c>
      <c r="I124" t="s">
        <v>265</v>
      </c>
    </row>
    <row r="125" spans="1:9" x14ac:dyDescent="0.35">
      <c r="A125" t="s">
        <v>92</v>
      </c>
      <c r="B125" t="s">
        <v>67</v>
      </c>
      <c r="C125" t="s">
        <v>4</v>
      </c>
      <c r="D125" t="str">
        <f>VLOOKUP(Table7[[#This Row],[QuestionID]], FinalQuestions!$A:$C, 3, FALSE)</f>
        <v>Commitment</v>
      </c>
      <c r="E125">
        <f>IF(Table7[[#This Row],[Response]]="","",CHOOSE(MATCH(Table7[[#This Row],[Response]],{"Strongly Agree","Agree","Neutral","Disagree","Strongly Disagree","Not Applicable"},0),5,4,3,2,1,""))</f>
        <v>3</v>
      </c>
      <c r="F125">
        <f>Table7[[#This Row],[Scores]] * 20</f>
        <v>60</v>
      </c>
      <c r="G125">
        <f>IF(OR(Table7[[#This Row],[Response]]="Strongly Agree",Table7[[#This Row],[Response]]="Agree"),1,0)</f>
        <v>0</v>
      </c>
      <c r="H125" t="str">
        <f>_xlfn.XLOOKUP(Table7[[#This Row],[QuestionID]], FinalQuestions!$A:$A, FinalQuestions!$D:$D,"")</f>
        <v>Accountability for Risk Actions</v>
      </c>
      <c r="I125" t="s">
        <v>265</v>
      </c>
    </row>
    <row r="126" spans="1:9" x14ac:dyDescent="0.35">
      <c r="A126" t="s">
        <v>92</v>
      </c>
      <c r="B126" t="s">
        <v>69</v>
      </c>
      <c r="C126" t="s">
        <v>4</v>
      </c>
      <c r="D126" t="str">
        <f>VLOOKUP(Table7[[#This Row],[QuestionID]], FinalQuestions!$A:$C, 3, FALSE)</f>
        <v>Call someone to account</v>
      </c>
      <c r="E126">
        <f>IF(Table7[[#This Row],[Response]]="","",CHOOSE(MATCH(Table7[[#This Row],[Response]],{"Strongly Agree","Agree","Neutral","Disagree","Strongly Disagree","Not Applicable"},0),5,4,3,2,1,""))</f>
        <v>3</v>
      </c>
      <c r="F126">
        <f>Table7[[#This Row],[Scores]] * 20</f>
        <v>60</v>
      </c>
      <c r="G126">
        <f>IF(OR(Table7[[#This Row],[Response]]="Strongly Agree",Table7[[#This Row],[Response]]="Agree"),1,0)</f>
        <v>0</v>
      </c>
      <c r="H126" t="str">
        <f>_xlfn.XLOOKUP(Table7[[#This Row],[QuestionID]], FinalQuestions!$A:$A, FinalQuestions!$D:$D,"")</f>
        <v xml:space="preserve">Peer to peer Accountability </v>
      </c>
      <c r="I126" t="s">
        <v>265</v>
      </c>
    </row>
    <row r="127" spans="1:9" x14ac:dyDescent="0.35">
      <c r="A127" t="s">
        <v>92</v>
      </c>
      <c r="B127" t="s">
        <v>71</v>
      </c>
      <c r="C127" t="s">
        <v>4</v>
      </c>
      <c r="D127" t="str">
        <f>VLOOKUP(Table7[[#This Row],[QuestionID]], FinalQuestions!$A:$C, 3, FALSE)</f>
        <v>Call someone to account</v>
      </c>
      <c r="E127">
        <f>IF(Table7[[#This Row],[Response]]="","",CHOOSE(MATCH(Table7[[#This Row],[Response]],{"Strongly Agree","Agree","Neutral","Disagree","Strongly Disagree","Not Applicable"},0),5,4,3,2,1,""))</f>
        <v>3</v>
      </c>
      <c r="F127">
        <f>Table7[[#This Row],[Scores]] * 20</f>
        <v>60</v>
      </c>
      <c r="G127">
        <f>IF(OR(Table7[[#This Row],[Response]]="Strongly Agree",Table7[[#This Row],[Response]]="Agree"),1,0)</f>
        <v>0</v>
      </c>
      <c r="H127" t="str">
        <f>_xlfn.XLOOKUP(Table7[[#This Row],[QuestionID]], FinalQuestions!$A:$A, FinalQuestions!$D:$D,"")</f>
        <v>Timely Resolution of Accountability Issues</v>
      </c>
      <c r="I127" t="s">
        <v>265</v>
      </c>
    </row>
    <row r="128" spans="1:9" x14ac:dyDescent="0.35">
      <c r="A128" t="s">
        <v>92</v>
      </c>
      <c r="B128" t="s">
        <v>73</v>
      </c>
      <c r="C128" t="s">
        <v>4</v>
      </c>
      <c r="D128" t="str">
        <f>VLOOKUP(Table7[[#This Row],[QuestionID]], FinalQuestions!$A:$C, 3, FALSE)</f>
        <v>Call someone to account</v>
      </c>
      <c r="E128">
        <f>IF(Table7[[#This Row],[Response]]="","",CHOOSE(MATCH(Table7[[#This Row],[Response]],{"Strongly Agree","Agree","Neutral","Disagree","Strongly Disagree","Not Applicable"},0),5,4,3,2,1,""))</f>
        <v>3</v>
      </c>
      <c r="F128">
        <f>Table7[[#This Row],[Scores]] * 20</f>
        <v>60</v>
      </c>
      <c r="G128">
        <f>IF(OR(Table7[[#This Row],[Response]]="Strongly Agree",Table7[[#This Row],[Response]]="Agree"),1,0)</f>
        <v>0</v>
      </c>
      <c r="H128" t="str">
        <f>_xlfn.XLOOKUP(Table7[[#This Row],[QuestionID]], FinalQuestions!$A:$A, FinalQuestions!$D:$D,"")</f>
        <v>Comfort for Reporting Non‑Compliance.</v>
      </c>
      <c r="I128" t="s">
        <v>265</v>
      </c>
    </row>
    <row r="129" spans="1:9" x14ac:dyDescent="0.35">
      <c r="A129" t="s">
        <v>92</v>
      </c>
      <c r="B129" t="s">
        <v>75</v>
      </c>
      <c r="C129" t="s">
        <v>4</v>
      </c>
      <c r="D129" t="str">
        <f>VLOOKUP(Table7[[#This Row],[QuestionID]], FinalQuestions!$A:$C, 3, FALSE)</f>
        <v>Call someone to account</v>
      </c>
      <c r="E129">
        <f>IF(Table7[[#This Row],[Response]]="","",CHOOSE(MATCH(Table7[[#This Row],[Response]],{"Strongly Agree","Agree","Neutral","Disagree","Strongly Disagree","Not Applicable"},0),5,4,3,2,1,""))</f>
        <v>3</v>
      </c>
      <c r="F129">
        <f>Table7[[#This Row],[Scores]] * 20</f>
        <v>60</v>
      </c>
      <c r="G129">
        <f>IF(OR(Table7[[#This Row],[Response]]="Strongly Agree",Table7[[#This Row],[Response]]="Agree"),1,0)</f>
        <v>0</v>
      </c>
      <c r="H129" t="str">
        <f>_xlfn.XLOOKUP(Table7[[#This Row],[QuestionID]], FinalQuestions!$A:$A, FinalQuestions!$D:$D,"")</f>
        <v>Consistency of Conduct Enforcement</v>
      </c>
      <c r="I129" t="s">
        <v>265</v>
      </c>
    </row>
    <row r="130" spans="1:9" x14ac:dyDescent="0.35">
      <c r="A130" t="s">
        <v>92</v>
      </c>
      <c r="B130" t="s">
        <v>13</v>
      </c>
      <c r="C130" t="s">
        <v>4</v>
      </c>
      <c r="D130" t="str">
        <f>VLOOKUP(Table7[[#This Row],[QuestionID]], FinalQuestions!$A:$C, 3, FALSE)</f>
        <v>Role Modelling</v>
      </c>
      <c r="E130">
        <f>IF(Table7[[#This Row],[Response]]="","",CHOOSE(MATCH(Table7[[#This Row],[Response]],{"Strongly Agree","Agree","Neutral","Disagree","Strongly Disagree","Not Applicable"},0),5,4,3,2,1,""))</f>
        <v>3</v>
      </c>
      <c r="F130">
        <f>Table7[[#This Row],[Scores]] * 20</f>
        <v>60</v>
      </c>
      <c r="G130">
        <f>IF(OR(Table7[[#This Row],[Response]]="Strongly Agree",Table7[[#This Row],[Response]]="Agree"),1,0)</f>
        <v>0</v>
      </c>
      <c r="H130" t="str">
        <f>_xlfn.XLOOKUP(Table7[[#This Row],[QuestionID]], FinalQuestions!$A:$A, FinalQuestions!$D:$D,"")</f>
        <v xml:space="preserve">Leadership Example‑Setting in Risk Management </v>
      </c>
      <c r="I130" t="s">
        <v>265</v>
      </c>
    </row>
    <row r="131" spans="1:9" x14ac:dyDescent="0.35">
      <c r="A131" t="s">
        <v>92</v>
      </c>
      <c r="B131" t="s">
        <v>15</v>
      </c>
      <c r="C131" t="s">
        <v>4</v>
      </c>
      <c r="D131" t="str">
        <f>VLOOKUP(Table7[[#This Row],[QuestionID]], FinalQuestions!$A:$C, 3, FALSE)</f>
        <v>Role Modelling</v>
      </c>
      <c r="E131">
        <f>IF(Table7[[#This Row],[Response]]="","",CHOOSE(MATCH(Table7[[#This Row],[Response]],{"Strongly Agree","Agree","Neutral","Disagree","Strongly Disagree","Not Applicable"},0),5,4,3,2,1,""))</f>
        <v>3</v>
      </c>
      <c r="F131">
        <f>Table7[[#This Row],[Scores]] * 20</f>
        <v>60</v>
      </c>
      <c r="G131">
        <f>IF(OR(Table7[[#This Row],[Response]]="Strongly Agree",Table7[[#This Row],[Response]]="Agree"),1,0)</f>
        <v>0</v>
      </c>
      <c r="H131" t="str">
        <f>_xlfn.XLOOKUP(Table7[[#This Row],[QuestionID]], FinalQuestions!$A:$A, FinalQuestions!$D:$D,"")</f>
        <v>Executive Commitment to Risk Culture</v>
      </c>
      <c r="I131" t="s">
        <v>265</v>
      </c>
    </row>
    <row r="132" spans="1:9" x14ac:dyDescent="0.35">
      <c r="A132" t="s">
        <v>92</v>
      </c>
      <c r="B132" t="s">
        <v>17</v>
      </c>
      <c r="C132" t="s">
        <v>4</v>
      </c>
      <c r="D132" t="str">
        <f>VLOOKUP(Table7[[#This Row],[QuestionID]], FinalQuestions!$A:$C, 3, FALSE)</f>
        <v>Role Modelling</v>
      </c>
      <c r="E132">
        <f>IF(Table7[[#This Row],[Response]]="","",CHOOSE(MATCH(Table7[[#This Row],[Response]],{"Strongly Agree","Agree","Neutral","Disagree","Strongly Disagree","Not Applicable"},0),5,4,3,2,1,""))</f>
        <v>3</v>
      </c>
      <c r="F132">
        <f>Table7[[#This Row],[Scores]] * 20</f>
        <v>60</v>
      </c>
      <c r="G132">
        <f>IF(OR(Table7[[#This Row],[Response]]="Strongly Agree",Table7[[#This Row],[Response]]="Agree"),1,0)</f>
        <v>0</v>
      </c>
      <c r="H132" t="str">
        <f>_xlfn.XLOOKUP(Table7[[#This Row],[QuestionID]], FinalQuestions!$A:$A, FinalQuestions!$D:$D,"")</f>
        <v>Leadership Encouragement to Escalate Risks</v>
      </c>
      <c r="I132" t="s">
        <v>265</v>
      </c>
    </row>
    <row r="133" spans="1:9" x14ac:dyDescent="0.35">
      <c r="A133" t="s">
        <v>92</v>
      </c>
      <c r="B133" t="s">
        <v>19</v>
      </c>
      <c r="C133" t="s">
        <v>4</v>
      </c>
      <c r="D133" t="str">
        <f>VLOOKUP(Table7[[#This Row],[QuestionID]], FinalQuestions!$A:$C, 3, FALSE)</f>
        <v>Role Modelling</v>
      </c>
      <c r="E133">
        <f>IF(Table7[[#This Row],[Response]]="","",CHOOSE(MATCH(Table7[[#This Row],[Response]],{"Strongly Agree","Agree","Neutral","Disagree","Strongly Disagree","Not Applicable"},0),5,4,3,2,1,""))</f>
        <v>3</v>
      </c>
      <c r="F133">
        <f>Table7[[#This Row],[Scores]] * 20</f>
        <v>60</v>
      </c>
      <c r="G133">
        <f>IF(OR(Table7[[#This Row],[Response]]="Strongly Agree",Table7[[#This Row],[Response]]="Agree"),1,0)</f>
        <v>0</v>
      </c>
      <c r="H133" t="str">
        <f>_xlfn.XLOOKUP(Table7[[#This Row],[QuestionID]], FinalQuestions!$A:$A, FinalQuestions!$D:$D,"")</f>
        <v>Long-Term Decision Awareness</v>
      </c>
      <c r="I133" t="s">
        <v>265</v>
      </c>
    </row>
    <row r="134" spans="1:9" x14ac:dyDescent="0.35">
      <c r="A134" t="s">
        <v>92</v>
      </c>
      <c r="B134" t="s">
        <v>21</v>
      </c>
      <c r="C134" t="s">
        <v>4</v>
      </c>
      <c r="D134" t="str">
        <f>VLOOKUP(Table7[[#This Row],[QuestionID]], FinalQuestions!$A:$C, 3, FALSE)</f>
        <v>Discussability</v>
      </c>
      <c r="E134">
        <f>IF(Table7[[#This Row],[Response]]="","",CHOOSE(MATCH(Table7[[#This Row],[Response]],{"Strongly Agree","Agree","Neutral","Disagree","Strongly Disagree","Not Applicable"},0),5,4,3,2,1,""))</f>
        <v>3</v>
      </c>
      <c r="F134">
        <f>Table7[[#This Row],[Scores]] * 20</f>
        <v>60</v>
      </c>
      <c r="G134">
        <f>IF(OR(Table7[[#This Row],[Response]]="Strongly Agree",Table7[[#This Row],[Response]]="Agree"),1,0)</f>
        <v>0</v>
      </c>
      <c r="H134" t="str">
        <f>_xlfn.XLOOKUP(Table7[[#This Row],[QuestionID]], FinalQuestions!$A:$A, FinalQuestions!$D:$D,"")</f>
        <v>Openness to Discussions</v>
      </c>
      <c r="I134" t="s">
        <v>265</v>
      </c>
    </row>
    <row r="135" spans="1:9" x14ac:dyDescent="0.35">
      <c r="A135" t="s">
        <v>92</v>
      </c>
      <c r="B135" t="s">
        <v>23</v>
      </c>
      <c r="C135" t="s">
        <v>4</v>
      </c>
      <c r="D135" t="str">
        <f>VLOOKUP(Table7[[#This Row],[QuestionID]], FinalQuestions!$A:$C, 3, FALSE)</f>
        <v>Discussability</v>
      </c>
      <c r="E135">
        <f>IF(Table7[[#This Row],[Response]]="","",CHOOSE(MATCH(Table7[[#This Row],[Response]],{"Strongly Agree","Agree","Neutral","Disagree","Strongly Disagree","Not Applicable"},0),5,4,3,2,1,""))</f>
        <v>3</v>
      </c>
      <c r="F135">
        <f>Table7[[#This Row],[Scores]] * 20</f>
        <v>60</v>
      </c>
      <c r="G135">
        <f>IF(OR(Table7[[#This Row],[Response]]="Strongly Agree",Table7[[#This Row],[Response]]="Agree"),1,0)</f>
        <v>0</v>
      </c>
      <c r="H135" t="str">
        <f>_xlfn.XLOOKUP(Table7[[#This Row],[QuestionID]], FinalQuestions!$A:$A, FinalQuestions!$D:$D,"")</f>
        <v>Access to Guidance</v>
      </c>
      <c r="I135" t="s">
        <v>265</v>
      </c>
    </row>
    <row r="136" spans="1:9" x14ac:dyDescent="0.35">
      <c r="A136" t="s">
        <v>92</v>
      </c>
      <c r="B136" t="s">
        <v>25</v>
      </c>
      <c r="C136" t="s">
        <v>4</v>
      </c>
      <c r="D136" t="str">
        <f>VLOOKUP(Table7[[#This Row],[QuestionID]], FinalQuestions!$A:$C, 3, FALSE)</f>
        <v>Discussability</v>
      </c>
      <c r="E136">
        <f>IF(Table7[[#This Row],[Response]]="","",CHOOSE(MATCH(Table7[[#This Row],[Response]],{"Strongly Agree","Agree","Neutral","Disagree","Strongly Disagree","Not Applicable"},0),5,4,3,2,1,""))</f>
        <v>3</v>
      </c>
      <c r="F136">
        <f>Table7[[#This Row],[Scores]] * 20</f>
        <v>60</v>
      </c>
      <c r="G136">
        <f>IF(OR(Table7[[#This Row],[Response]]="Strongly Agree",Table7[[#This Row],[Response]]="Agree"),1,0)</f>
        <v>0</v>
      </c>
      <c r="H136" t="str">
        <f>_xlfn.XLOOKUP(Table7[[#This Row],[QuestionID]], FinalQuestions!$A:$A, FinalQuestions!$D:$D,"")</f>
        <v>Openness to Sharing Opinions</v>
      </c>
      <c r="I136" t="s">
        <v>265</v>
      </c>
    </row>
    <row r="137" spans="1:9" x14ac:dyDescent="0.35">
      <c r="A137" t="s">
        <v>92</v>
      </c>
      <c r="B137" t="s">
        <v>27</v>
      </c>
      <c r="C137" t="s">
        <v>4</v>
      </c>
      <c r="D137" t="str">
        <f>VLOOKUP(Table7[[#This Row],[QuestionID]], FinalQuestions!$A:$C, 3, FALSE)</f>
        <v>Discussability</v>
      </c>
      <c r="E137">
        <f>IF(Table7[[#This Row],[Response]]="","",CHOOSE(MATCH(Table7[[#This Row],[Response]],{"Strongly Agree","Agree","Neutral","Disagree","Strongly Disagree","Not Applicable"},0),5,4,3,2,1,""))</f>
        <v>3</v>
      </c>
      <c r="F137">
        <f>Table7[[#This Row],[Scores]] * 20</f>
        <v>60</v>
      </c>
      <c r="G137">
        <f>IF(OR(Table7[[#This Row],[Response]]="Strongly Agree",Table7[[#This Row],[Response]]="Agree"),1,0)</f>
        <v>0</v>
      </c>
      <c r="H137" t="str">
        <f>_xlfn.XLOOKUP(Table7[[#This Row],[QuestionID]], FinalQuestions!$A:$A, FinalQuestions!$D:$D,"")</f>
        <v>Comfort in Reporting Risk Dilemmas</v>
      </c>
      <c r="I137" t="s">
        <v>265</v>
      </c>
    </row>
    <row r="138" spans="1:9" x14ac:dyDescent="0.35">
      <c r="A138" t="s">
        <v>92</v>
      </c>
      <c r="B138" t="s">
        <v>29</v>
      </c>
      <c r="C138" t="s">
        <v>4</v>
      </c>
      <c r="D138" t="str">
        <f>VLOOKUP(Table7[[#This Row],[QuestionID]], FinalQuestions!$A:$C, 3, FALSE)</f>
        <v>Achievability</v>
      </c>
      <c r="E138">
        <f>IF(Table7[[#This Row],[Response]]="","",CHOOSE(MATCH(Table7[[#This Row],[Response]],{"Strongly Agree","Agree","Neutral","Disagree","Strongly Disagree","Not Applicable"},0),5,4,3,2,1,""))</f>
        <v>3</v>
      </c>
      <c r="F138">
        <f>Table7[[#This Row],[Scores]] * 20</f>
        <v>60</v>
      </c>
      <c r="G138">
        <f>IF(OR(Table7[[#This Row],[Response]]="Strongly Agree",Table7[[#This Row],[Response]]="Agree"),1,0)</f>
        <v>0</v>
      </c>
      <c r="H138" t="str">
        <f>_xlfn.XLOOKUP(Table7[[#This Row],[QuestionID]], FinalQuestions!$A:$A, FinalQuestions!$D:$D,"")</f>
        <v>Adequacy of Risk Management Training</v>
      </c>
      <c r="I138" t="s">
        <v>265</v>
      </c>
    </row>
    <row r="139" spans="1:9" x14ac:dyDescent="0.35">
      <c r="A139" t="s">
        <v>92</v>
      </c>
      <c r="B139" t="s">
        <v>31</v>
      </c>
      <c r="C139" t="s">
        <v>4</v>
      </c>
      <c r="D139" t="str">
        <f>VLOOKUP(Table7[[#This Row],[QuestionID]], FinalQuestions!$A:$C, 3, FALSE)</f>
        <v>Achievability</v>
      </c>
      <c r="E139">
        <f>IF(Table7[[#This Row],[Response]]="","",CHOOSE(MATCH(Table7[[#This Row],[Response]],{"Strongly Agree","Agree","Neutral","Disagree","Strongly Disagree","Not Applicable"},0),5,4,3,2,1,""))</f>
        <v>3</v>
      </c>
      <c r="F139">
        <f>Table7[[#This Row],[Scores]] * 20</f>
        <v>60</v>
      </c>
      <c r="G139">
        <f>IF(OR(Table7[[#This Row],[Response]]="Strongly Agree",Table7[[#This Row],[Response]]="Agree"),1,0)</f>
        <v>0</v>
      </c>
      <c r="H139" t="str">
        <f>_xlfn.XLOOKUP(Table7[[#This Row],[QuestionID]], FinalQuestions!$A:$A, FinalQuestions!$D:$D,"")</f>
        <v>Workload Balance &amp; Resource Sufficiency</v>
      </c>
      <c r="I139" t="s">
        <v>265</v>
      </c>
    </row>
    <row r="140" spans="1:9" x14ac:dyDescent="0.35">
      <c r="A140" t="s">
        <v>92</v>
      </c>
      <c r="B140" t="s">
        <v>33</v>
      </c>
      <c r="C140" t="s">
        <v>4</v>
      </c>
      <c r="D140" t="str">
        <f>VLOOKUP(Table7[[#This Row],[QuestionID]], FinalQuestions!$A:$C, 3, FALSE)</f>
        <v>Achievability</v>
      </c>
      <c r="E140">
        <f>IF(Table7[[#This Row],[Response]]="","",CHOOSE(MATCH(Table7[[#This Row],[Response]],{"Strongly Agree","Agree","Neutral","Disagree","Strongly Disagree","Not Applicable"},0),5,4,3,2,1,""))</f>
        <v>3</v>
      </c>
      <c r="F140">
        <f>Table7[[#This Row],[Scores]] * 20</f>
        <v>60</v>
      </c>
      <c r="G140">
        <f>IF(OR(Table7[[#This Row],[Response]]="Strongly Agree",Table7[[#This Row],[Response]]="Agree"),1,0)</f>
        <v>0</v>
      </c>
      <c r="H140" t="str">
        <f>_xlfn.XLOOKUP(Table7[[#This Row],[QuestionID]], FinalQuestions!$A:$A, FinalQuestions!$D:$D,"")</f>
        <v>Realistic Target Setting</v>
      </c>
      <c r="I140" t="s">
        <v>265</v>
      </c>
    </row>
    <row r="141" spans="1:9" x14ac:dyDescent="0.35">
      <c r="A141" t="s">
        <v>92</v>
      </c>
      <c r="B141" t="s">
        <v>35</v>
      </c>
      <c r="C141" t="s">
        <v>4</v>
      </c>
      <c r="D141" t="str">
        <f>VLOOKUP(Table7[[#This Row],[QuestionID]], FinalQuestions!$A:$C, 3, FALSE)</f>
        <v>Achievability</v>
      </c>
      <c r="E141">
        <f>IF(Table7[[#This Row],[Response]]="","",CHOOSE(MATCH(Table7[[#This Row],[Response]],{"Strongly Agree","Agree","Neutral","Disagree","Strongly Disagree","Not Applicable"},0),5,4,3,2,1,""))</f>
        <v>3</v>
      </c>
      <c r="F141">
        <f>Table7[[#This Row],[Scores]] * 20</f>
        <v>60</v>
      </c>
      <c r="G141">
        <f>IF(OR(Table7[[#This Row],[Response]]="Strongly Agree",Table7[[#This Row],[Response]]="Agree"),1,0)</f>
        <v>0</v>
      </c>
      <c r="H141" t="str">
        <f>_xlfn.XLOOKUP(Table7[[#This Row],[QuestionID]], FinalQuestions!$A:$A, FinalQuestions!$D:$D,"")</f>
        <v>Risk Insight in Decision Making</v>
      </c>
      <c r="I141" t="s">
        <v>265</v>
      </c>
    </row>
    <row r="142" spans="1:9" x14ac:dyDescent="0.35">
      <c r="A142" t="s">
        <v>92</v>
      </c>
      <c r="B142" t="s">
        <v>37</v>
      </c>
      <c r="C142" t="s">
        <v>4</v>
      </c>
      <c r="D142" t="str">
        <f>VLOOKUP(Table7[[#This Row],[QuestionID]], FinalQuestions!$A:$C, 3, FALSE)</f>
        <v>Enforcement</v>
      </c>
      <c r="E142">
        <f>IF(Table7[[#This Row],[Response]]="","",CHOOSE(MATCH(Table7[[#This Row],[Response]],{"Strongly Agree","Agree","Neutral","Disagree","Strongly Disagree","Not Applicable"},0),5,4,3,2,1,""))</f>
        <v>3</v>
      </c>
      <c r="F142">
        <f>Table7[[#This Row],[Scores]] * 20</f>
        <v>60</v>
      </c>
      <c r="G142">
        <f>IF(OR(Table7[[#This Row],[Response]]="Strongly Agree",Table7[[#This Row],[Response]]="Agree"),1,0)</f>
        <v>0</v>
      </c>
      <c r="H142" t="str">
        <f>_xlfn.XLOOKUP(Table7[[#This Row],[QuestionID]], FinalQuestions!$A:$A, FinalQuestions!$D:$D,"")</f>
        <v>Learning Culture from Non‑Compliance Cases</v>
      </c>
      <c r="I142" t="s">
        <v>265</v>
      </c>
    </row>
    <row r="143" spans="1:9" x14ac:dyDescent="0.35">
      <c r="A143" t="s">
        <v>92</v>
      </c>
      <c r="B143" t="s">
        <v>39</v>
      </c>
      <c r="C143" t="s">
        <v>4</v>
      </c>
      <c r="D143" t="str">
        <f>VLOOKUP(Table7[[#This Row],[QuestionID]], FinalQuestions!$A:$C, 3, FALSE)</f>
        <v>Enforcement</v>
      </c>
      <c r="E143">
        <f>IF(Table7[[#This Row],[Response]]="","",CHOOSE(MATCH(Table7[[#This Row],[Response]],{"Strongly Agree","Agree","Neutral","Disagree","Strongly Disagree","Not Applicable"},0),5,4,3,2,1,""))</f>
        <v>3</v>
      </c>
      <c r="F143">
        <f>Table7[[#This Row],[Scores]] * 20</f>
        <v>60</v>
      </c>
      <c r="G143">
        <f>IF(OR(Table7[[#This Row],[Response]]="Strongly Agree",Table7[[#This Row],[Response]]="Agree"),1,0)</f>
        <v>0</v>
      </c>
      <c r="H143" t="str">
        <f>_xlfn.XLOOKUP(Table7[[#This Row],[QuestionID]], FinalQuestions!$A:$A, FinalQuestions!$D:$D,"")</f>
        <v>Organizational View on Risk Culture</v>
      </c>
      <c r="I143" t="s">
        <v>265</v>
      </c>
    </row>
    <row r="144" spans="1:9" x14ac:dyDescent="0.35">
      <c r="A144" t="s">
        <v>92</v>
      </c>
      <c r="B144" t="s">
        <v>41</v>
      </c>
      <c r="C144" t="s">
        <v>4</v>
      </c>
      <c r="D144" t="str">
        <f>VLOOKUP(Table7[[#This Row],[QuestionID]], FinalQuestions!$A:$C, 3, FALSE)</f>
        <v>Enforcement</v>
      </c>
      <c r="E144">
        <f>IF(Table7[[#This Row],[Response]]="","",CHOOSE(MATCH(Table7[[#This Row],[Response]],{"Strongly Agree","Agree","Neutral","Disagree","Strongly Disagree","Not Applicable"},0),5,4,3,2,1,""))</f>
        <v>3</v>
      </c>
      <c r="F144">
        <f>Table7[[#This Row],[Scores]] * 20</f>
        <v>60</v>
      </c>
      <c r="G144">
        <f>IF(OR(Table7[[#This Row],[Response]]="Strongly Agree",Table7[[#This Row],[Response]]="Agree"),1,0)</f>
        <v>0</v>
      </c>
      <c r="H144" t="str">
        <f>_xlfn.XLOOKUP(Table7[[#This Row],[QuestionID]], FinalQuestions!$A:$A, FinalQuestions!$D:$D,"")</f>
        <v>Compliance Recognition &amp; enforcement</v>
      </c>
      <c r="I144" t="s">
        <v>265</v>
      </c>
    </row>
    <row r="145" spans="1:9" x14ac:dyDescent="0.35">
      <c r="A145" t="s">
        <v>92</v>
      </c>
      <c r="B145" t="s">
        <v>43</v>
      </c>
      <c r="C145" t="s">
        <v>4</v>
      </c>
      <c r="D145" t="str">
        <f>VLOOKUP(Table7[[#This Row],[QuestionID]], FinalQuestions!$A:$C, 3, FALSE)</f>
        <v>Enforcement</v>
      </c>
      <c r="E145">
        <f>IF(Table7[[#This Row],[Response]]="","",CHOOSE(MATCH(Table7[[#This Row],[Response]],{"Strongly Agree","Agree","Neutral","Disagree","Strongly Disagree","Not Applicable"},0),5,4,3,2,1,""))</f>
        <v>3</v>
      </c>
      <c r="F145">
        <f>Table7[[#This Row],[Scores]] * 20</f>
        <v>60</v>
      </c>
      <c r="G145">
        <f>IF(OR(Table7[[#This Row],[Response]]="Strongly Agree",Table7[[#This Row],[Response]]="Agree"),1,0)</f>
        <v>0</v>
      </c>
      <c r="H145" t="str">
        <f>_xlfn.XLOOKUP(Table7[[#This Row],[QuestionID]], FinalQuestions!$A:$A, FinalQuestions!$D:$D,"")</f>
        <v>Sense of Ownership</v>
      </c>
      <c r="I145" t="s">
        <v>265</v>
      </c>
    </row>
    <row r="146" spans="1:9" x14ac:dyDescent="0.35">
      <c r="A146" t="s">
        <v>92</v>
      </c>
      <c r="B146" t="s">
        <v>45</v>
      </c>
      <c r="C146" t="s">
        <v>4</v>
      </c>
      <c r="D146" t="str">
        <f>VLOOKUP(Table7[[#This Row],[QuestionID]], FinalQuestions!$A:$C, 3, FALSE)</f>
        <v>Clarity</v>
      </c>
      <c r="E146">
        <f>IF(Table7[[#This Row],[Response]]="","",CHOOSE(MATCH(Table7[[#This Row],[Response]],{"Strongly Agree","Agree","Neutral","Disagree","Strongly Disagree","Not Applicable"},0),5,4,3,2,1,""))</f>
        <v>3</v>
      </c>
      <c r="F146">
        <f>Table7[[#This Row],[Scores]] * 20</f>
        <v>60</v>
      </c>
      <c r="G146">
        <f>IF(OR(Table7[[#This Row],[Response]]="Strongly Agree",Table7[[#This Row],[Response]]="Agree"),1,0)</f>
        <v>0</v>
      </c>
      <c r="H146" t="str">
        <f>_xlfn.XLOOKUP(Table7[[#This Row],[QuestionID]], FinalQuestions!$A:$A, FinalQuestions!$D:$D,"")</f>
        <v>Clarity of Role and Responsibilities</v>
      </c>
      <c r="I146" t="s">
        <v>265</v>
      </c>
    </row>
    <row r="147" spans="1:9" x14ac:dyDescent="0.35">
      <c r="A147" t="s">
        <v>92</v>
      </c>
      <c r="B147" t="s">
        <v>47</v>
      </c>
      <c r="C147" t="s">
        <v>4</v>
      </c>
      <c r="D147" t="str">
        <f>VLOOKUP(Table7[[#This Row],[QuestionID]], FinalQuestions!$A:$C, 3, FALSE)</f>
        <v>Clarity</v>
      </c>
      <c r="E147">
        <f>IF(Table7[[#This Row],[Response]]="","",CHOOSE(MATCH(Table7[[#This Row],[Response]],{"Strongly Agree","Agree","Neutral","Disagree","Strongly Disagree","Not Applicable"},0),5,4,3,2,1,""))</f>
        <v>3</v>
      </c>
      <c r="F147">
        <f>Table7[[#This Row],[Scores]] * 20</f>
        <v>60</v>
      </c>
      <c r="G147">
        <f>IF(OR(Table7[[#This Row],[Response]]="Strongly Agree",Table7[[#This Row],[Response]]="Agree"),1,0)</f>
        <v>0</v>
      </c>
      <c r="H147" t="str">
        <f>_xlfn.XLOOKUP(Table7[[#This Row],[QuestionID]], FinalQuestions!$A:$A, FinalQuestions!$D:$D,"")</f>
        <v>Understanding of Risk Policies &amp; Procedures</v>
      </c>
      <c r="I147" t="s">
        <v>265</v>
      </c>
    </row>
    <row r="148" spans="1:9" x14ac:dyDescent="0.35">
      <c r="A148" t="s">
        <v>92</v>
      </c>
      <c r="B148" t="s">
        <v>49</v>
      </c>
      <c r="C148" t="s">
        <v>4</v>
      </c>
      <c r="D148" t="str">
        <f>VLOOKUP(Table7[[#This Row],[QuestionID]], FinalQuestions!$A:$C, 3, FALSE)</f>
        <v>Clarity</v>
      </c>
      <c r="E148">
        <f>IF(Table7[[#This Row],[Response]]="","",CHOOSE(MATCH(Table7[[#This Row],[Response]],{"Strongly Agree","Agree","Neutral","Disagree","Strongly Disagree","Not Applicable"},0),5,4,3,2,1,""))</f>
        <v>3</v>
      </c>
      <c r="F148">
        <f>Table7[[#This Row],[Scores]] * 20</f>
        <v>60</v>
      </c>
      <c r="G148">
        <f>IF(OR(Table7[[#This Row],[Response]]="Strongly Agree",Table7[[#This Row],[Response]]="Agree"),1,0)</f>
        <v>0</v>
      </c>
      <c r="H148" t="str">
        <f>_xlfn.XLOOKUP(Table7[[#This Row],[QuestionID]], FinalQuestions!$A:$A, FinalQuestions!$D:$D,"")</f>
        <v>Clarity of Personal Risk Boundaries</v>
      </c>
      <c r="I148" t="s">
        <v>265</v>
      </c>
    </row>
    <row r="149" spans="1:9" x14ac:dyDescent="0.35">
      <c r="A149" t="s">
        <v>92</v>
      </c>
      <c r="B149" t="s">
        <v>51</v>
      </c>
      <c r="C149" t="s">
        <v>4</v>
      </c>
      <c r="D149" t="str">
        <f>VLOOKUP(Table7[[#This Row],[QuestionID]], FinalQuestions!$A:$C, 3, FALSE)</f>
        <v>Clarity</v>
      </c>
      <c r="E149">
        <f>IF(Table7[[#This Row],[Response]]="","",CHOOSE(MATCH(Table7[[#This Row],[Response]],{"Strongly Agree","Agree","Neutral","Disagree","Strongly Disagree","Not Applicable"},0),5,4,3,2,1,""))</f>
        <v>3</v>
      </c>
      <c r="F149">
        <f>Table7[[#This Row],[Scores]] * 20</f>
        <v>60</v>
      </c>
      <c r="G149">
        <f>IF(OR(Table7[[#This Row],[Response]]="Strongly Agree",Table7[[#This Row],[Response]]="Agree"),1,0)</f>
        <v>0</v>
      </c>
      <c r="H149" t="str">
        <f>_xlfn.XLOOKUP(Table7[[#This Row],[QuestionID]], FinalQuestions!$A:$A, FinalQuestions!$D:$D,"")</f>
        <v>Effectiveness of Risk Communication &amp; Training</v>
      </c>
      <c r="I149" t="s">
        <v>265</v>
      </c>
    </row>
    <row r="150" spans="1:9" x14ac:dyDescent="0.35">
      <c r="A150" t="s">
        <v>92</v>
      </c>
      <c r="B150" t="s">
        <v>53</v>
      </c>
      <c r="C150" t="s">
        <v>4</v>
      </c>
      <c r="D150" t="str">
        <f>VLOOKUP(Table7[[#This Row],[QuestionID]], FinalQuestions!$A:$C, 3, FALSE)</f>
        <v>Transparency</v>
      </c>
      <c r="E150">
        <f>IF(Table7[[#This Row],[Response]]="","",CHOOSE(MATCH(Table7[[#This Row],[Response]],{"Strongly Agree","Agree","Neutral","Disagree","Strongly Disagree","Not Applicable"},0),5,4,3,2,1,""))</f>
        <v>3</v>
      </c>
      <c r="F150">
        <f>Table7[[#This Row],[Scores]] * 20</f>
        <v>60</v>
      </c>
      <c r="G150">
        <f>IF(OR(Table7[[#This Row],[Response]]="Strongly Agree",Table7[[#This Row],[Response]]="Agree"),1,0)</f>
        <v>0</v>
      </c>
      <c r="H150" t="str">
        <f>_xlfn.XLOOKUP(Table7[[#This Row],[QuestionID]], FinalQuestions!$A:$A, FinalQuestions!$D:$D,"")</f>
        <v>Compliance Confidence in team</v>
      </c>
      <c r="I150" t="s">
        <v>265</v>
      </c>
    </row>
    <row r="151" spans="1:9" x14ac:dyDescent="0.35">
      <c r="A151" t="s">
        <v>92</v>
      </c>
      <c r="B151" t="s">
        <v>55</v>
      </c>
      <c r="C151" t="s">
        <v>4</v>
      </c>
      <c r="D151" t="str">
        <f>VLOOKUP(Table7[[#This Row],[QuestionID]], FinalQuestions!$A:$C, 3, FALSE)</f>
        <v>Transparency</v>
      </c>
      <c r="E151">
        <f>IF(Table7[[#This Row],[Response]]="","",CHOOSE(MATCH(Table7[[#This Row],[Response]],{"Strongly Agree","Agree","Neutral","Disagree","Strongly Disagree","Not Applicable"},0),5,4,3,2,1,""))</f>
        <v>3</v>
      </c>
      <c r="F151">
        <f>Table7[[#This Row],[Scores]] * 20</f>
        <v>60</v>
      </c>
      <c r="G151">
        <f>IF(OR(Table7[[#This Row],[Response]]="Strongly Agree",Table7[[#This Row],[Response]]="Agree"),1,0)</f>
        <v>0</v>
      </c>
      <c r="H151" t="str">
        <f>_xlfn.XLOOKUP(Table7[[#This Row],[QuestionID]], FinalQuestions!$A:$A, FinalQuestions!$D:$D,"")</f>
        <v>Transparency in Decision‑Making</v>
      </c>
      <c r="I151" t="s">
        <v>265</v>
      </c>
    </row>
    <row r="152" spans="1:9" x14ac:dyDescent="0.35">
      <c r="A152" t="s">
        <v>92</v>
      </c>
      <c r="B152" t="s">
        <v>57</v>
      </c>
      <c r="C152" t="s">
        <v>4</v>
      </c>
      <c r="D152" t="str">
        <f>VLOOKUP(Table7[[#This Row],[QuestionID]], FinalQuestions!$A:$C, 3, FALSE)</f>
        <v>Transparency</v>
      </c>
      <c r="E152">
        <f>IF(Table7[[#This Row],[Response]]="","",CHOOSE(MATCH(Table7[[#This Row],[Response]],{"Strongly Agree","Agree","Neutral","Disagree","Strongly Disagree","Not Applicable"},0),5,4,3,2,1,""))</f>
        <v>3</v>
      </c>
      <c r="F152">
        <f>Table7[[#This Row],[Scores]] * 20</f>
        <v>60</v>
      </c>
      <c r="G152">
        <f>IF(OR(Table7[[#This Row],[Response]]="Strongly Agree",Table7[[#This Row],[Response]]="Agree"),1,0)</f>
        <v>0</v>
      </c>
      <c r="H152" t="str">
        <f>_xlfn.XLOOKUP(Table7[[#This Row],[QuestionID]], FinalQuestions!$A:$A, FinalQuestions!$D:$D,"")</f>
        <v>Fairness &amp; Equity of Expectations</v>
      </c>
      <c r="I152" t="s">
        <v>265</v>
      </c>
    </row>
    <row r="153" spans="1:9" x14ac:dyDescent="0.35">
      <c r="A153" t="s">
        <v>92</v>
      </c>
      <c r="B153" t="s">
        <v>59</v>
      </c>
      <c r="C153" t="s">
        <v>4</v>
      </c>
      <c r="D153" t="str">
        <f>VLOOKUP(Table7[[#This Row],[QuestionID]], FinalQuestions!$A:$C, 3, FALSE)</f>
        <v>Transparency</v>
      </c>
      <c r="E153">
        <f>IF(Table7[[#This Row],[Response]]="","",CHOOSE(MATCH(Table7[[#This Row],[Response]],{"Strongly Agree","Agree","Neutral","Disagree","Strongly Disagree","Not Applicable"},0),5,4,3,2,1,""))</f>
        <v>3</v>
      </c>
      <c r="F153">
        <f>Table7[[#This Row],[Scores]] * 20</f>
        <v>60</v>
      </c>
      <c r="G153">
        <f>IF(OR(Table7[[#This Row],[Response]]="Strongly Agree",Table7[[#This Row],[Response]]="Agree"),1,0)</f>
        <v>0</v>
      </c>
      <c r="H153" t="str">
        <f>_xlfn.XLOOKUP(Table7[[#This Row],[QuestionID]], FinalQuestions!$A:$A, FinalQuestions!$D:$D,"")</f>
        <v>Leadership Awareness in the team</v>
      </c>
      <c r="I153" t="s">
        <v>265</v>
      </c>
    </row>
    <row r="154" spans="1:9" x14ac:dyDescent="0.35">
      <c r="A154" t="s">
        <v>92</v>
      </c>
      <c r="B154" t="s">
        <v>61</v>
      </c>
      <c r="C154" t="s">
        <v>4</v>
      </c>
      <c r="D154" t="str">
        <f>VLOOKUP(Table7[[#This Row],[QuestionID]], FinalQuestions!$A:$C, 3, FALSE)</f>
        <v>Commitment</v>
      </c>
      <c r="E154">
        <f>IF(Table7[[#This Row],[Response]]="","",CHOOSE(MATCH(Table7[[#This Row],[Response]],{"Strongly Agree","Agree","Neutral","Disagree","Strongly Disagree","Not Applicable"},0),5,4,3,2,1,""))</f>
        <v>3</v>
      </c>
      <c r="F154">
        <f>Table7[[#This Row],[Scores]] * 20</f>
        <v>60</v>
      </c>
      <c r="G154">
        <f>IF(OR(Table7[[#This Row],[Response]]="Strongly Agree",Table7[[#This Row],[Response]]="Agree"),1,0)</f>
        <v>0</v>
      </c>
      <c r="H154" t="str">
        <f>_xlfn.XLOOKUP(Table7[[#This Row],[QuestionID]], FinalQuestions!$A:$A, FinalQuestions!$D:$D,"")</f>
        <v>Motivation for Risk Ownership</v>
      </c>
      <c r="I154" t="s">
        <v>265</v>
      </c>
    </row>
    <row r="155" spans="1:9" x14ac:dyDescent="0.35">
      <c r="A155" t="s">
        <v>92</v>
      </c>
      <c r="B155" t="s">
        <v>63</v>
      </c>
      <c r="C155" t="s">
        <v>4</v>
      </c>
      <c r="D155" t="str">
        <f>VLOOKUP(Table7[[#This Row],[QuestionID]], FinalQuestions!$A:$C, 3, FALSE)</f>
        <v>Commitment</v>
      </c>
      <c r="E155">
        <f>IF(Table7[[#This Row],[Response]]="","",CHOOSE(MATCH(Table7[[#This Row],[Response]],{"Strongly Agree","Agree","Neutral","Disagree","Strongly Disagree","Not Applicable"},0),5,4,3,2,1,""))</f>
        <v>3</v>
      </c>
      <c r="F155">
        <f>Table7[[#This Row],[Scores]] * 20</f>
        <v>60</v>
      </c>
      <c r="G155">
        <f>IF(OR(Table7[[#This Row],[Response]]="Strongly Agree",Table7[[#This Row],[Response]]="Agree"),1,0)</f>
        <v>0</v>
      </c>
      <c r="H155" t="str">
        <f>_xlfn.XLOOKUP(Table7[[#This Row],[QuestionID]], FinalQuestions!$A:$A, FinalQuestions!$D:$D,"")</f>
        <v>Sense of Belonging to the Organization</v>
      </c>
      <c r="I155" t="s">
        <v>265</v>
      </c>
    </row>
    <row r="156" spans="1:9" x14ac:dyDescent="0.35">
      <c r="A156" t="s">
        <v>92</v>
      </c>
      <c r="B156" t="s">
        <v>65</v>
      </c>
      <c r="C156" t="s">
        <v>4</v>
      </c>
      <c r="D156" t="str">
        <f>VLOOKUP(Table7[[#This Row],[QuestionID]], FinalQuestions!$A:$C, 3, FALSE)</f>
        <v>Commitment</v>
      </c>
      <c r="E156">
        <f>IF(Table7[[#This Row],[Response]]="","",CHOOSE(MATCH(Table7[[#This Row],[Response]],{"Strongly Agree","Agree","Neutral","Disagree","Strongly Disagree","Not Applicable"},0),5,4,3,2,1,""))</f>
        <v>3</v>
      </c>
      <c r="F156">
        <f>Table7[[#This Row],[Scores]] * 20</f>
        <v>60</v>
      </c>
      <c r="G156">
        <f>IF(OR(Table7[[#This Row],[Response]]="Strongly Agree",Table7[[#This Row],[Response]]="Agree"),1,0)</f>
        <v>0</v>
      </c>
      <c r="H156" t="str">
        <f>_xlfn.XLOOKUP(Table7[[#This Row],[QuestionID]], FinalQuestions!$A:$A, FinalQuestions!$D:$D,"")</f>
        <v>Consideration of Impact on Others</v>
      </c>
      <c r="I156" t="s">
        <v>265</v>
      </c>
    </row>
    <row r="157" spans="1:9" x14ac:dyDescent="0.35">
      <c r="A157" t="s">
        <v>92</v>
      </c>
      <c r="B157" t="s">
        <v>67</v>
      </c>
      <c r="C157" t="s">
        <v>4</v>
      </c>
      <c r="D157" t="str">
        <f>VLOOKUP(Table7[[#This Row],[QuestionID]], FinalQuestions!$A:$C, 3, FALSE)</f>
        <v>Commitment</v>
      </c>
      <c r="E157">
        <f>IF(Table7[[#This Row],[Response]]="","",CHOOSE(MATCH(Table7[[#This Row],[Response]],{"Strongly Agree","Agree","Neutral","Disagree","Strongly Disagree","Not Applicable"},0),5,4,3,2,1,""))</f>
        <v>3</v>
      </c>
      <c r="F157">
        <f>Table7[[#This Row],[Scores]] * 20</f>
        <v>60</v>
      </c>
      <c r="G157">
        <f>IF(OR(Table7[[#This Row],[Response]]="Strongly Agree",Table7[[#This Row],[Response]]="Agree"),1,0)</f>
        <v>0</v>
      </c>
      <c r="H157" t="str">
        <f>_xlfn.XLOOKUP(Table7[[#This Row],[QuestionID]], FinalQuestions!$A:$A, FinalQuestions!$D:$D,"")</f>
        <v>Accountability for Risk Actions</v>
      </c>
      <c r="I157" t="s">
        <v>265</v>
      </c>
    </row>
    <row r="158" spans="1:9" x14ac:dyDescent="0.35">
      <c r="A158" t="s">
        <v>92</v>
      </c>
      <c r="B158" t="s">
        <v>69</v>
      </c>
      <c r="C158" t="s">
        <v>4</v>
      </c>
      <c r="D158" t="str">
        <f>VLOOKUP(Table7[[#This Row],[QuestionID]], FinalQuestions!$A:$C, 3, FALSE)</f>
        <v>Call someone to account</v>
      </c>
      <c r="E158">
        <f>IF(Table7[[#This Row],[Response]]="","",CHOOSE(MATCH(Table7[[#This Row],[Response]],{"Strongly Agree","Agree","Neutral","Disagree","Strongly Disagree","Not Applicable"},0),5,4,3,2,1,""))</f>
        <v>3</v>
      </c>
      <c r="F158">
        <f>Table7[[#This Row],[Scores]] * 20</f>
        <v>60</v>
      </c>
      <c r="G158">
        <f>IF(OR(Table7[[#This Row],[Response]]="Strongly Agree",Table7[[#This Row],[Response]]="Agree"),1,0)</f>
        <v>0</v>
      </c>
      <c r="H158" t="str">
        <f>_xlfn.XLOOKUP(Table7[[#This Row],[QuestionID]], FinalQuestions!$A:$A, FinalQuestions!$D:$D,"")</f>
        <v xml:space="preserve">Peer to peer Accountability </v>
      </c>
      <c r="I158" t="s">
        <v>265</v>
      </c>
    </row>
    <row r="159" spans="1:9" x14ac:dyDescent="0.35">
      <c r="A159" t="s">
        <v>92</v>
      </c>
      <c r="B159" t="s">
        <v>71</v>
      </c>
      <c r="C159" t="s">
        <v>4</v>
      </c>
      <c r="D159" t="str">
        <f>VLOOKUP(Table7[[#This Row],[QuestionID]], FinalQuestions!$A:$C, 3, FALSE)</f>
        <v>Call someone to account</v>
      </c>
      <c r="E159">
        <f>IF(Table7[[#This Row],[Response]]="","",CHOOSE(MATCH(Table7[[#This Row],[Response]],{"Strongly Agree","Agree","Neutral","Disagree","Strongly Disagree","Not Applicable"},0),5,4,3,2,1,""))</f>
        <v>3</v>
      </c>
      <c r="F159">
        <f>Table7[[#This Row],[Scores]] * 20</f>
        <v>60</v>
      </c>
      <c r="G159">
        <f>IF(OR(Table7[[#This Row],[Response]]="Strongly Agree",Table7[[#This Row],[Response]]="Agree"),1,0)</f>
        <v>0</v>
      </c>
      <c r="H159" t="str">
        <f>_xlfn.XLOOKUP(Table7[[#This Row],[QuestionID]], FinalQuestions!$A:$A, FinalQuestions!$D:$D,"")</f>
        <v>Timely Resolution of Accountability Issues</v>
      </c>
      <c r="I159" t="s">
        <v>265</v>
      </c>
    </row>
    <row r="160" spans="1:9" x14ac:dyDescent="0.35">
      <c r="A160" t="s">
        <v>92</v>
      </c>
      <c r="B160" t="s">
        <v>73</v>
      </c>
      <c r="C160" t="s">
        <v>4</v>
      </c>
      <c r="D160" t="str">
        <f>VLOOKUP(Table7[[#This Row],[QuestionID]], FinalQuestions!$A:$C, 3, FALSE)</f>
        <v>Call someone to account</v>
      </c>
      <c r="E160">
        <f>IF(Table7[[#This Row],[Response]]="","",CHOOSE(MATCH(Table7[[#This Row],[Response]],{"Strongly Agree","Agree","Neutral","Disagree","Strongly Disagree","Not Applicable"},0),5,4,3,2,1,""))</f>
        <v>3</v>
      </c>
      <c r="F160">
        <f>Table7[[#This Row],[Scores]] * 20</f>
        <v>60</v>
      </c>
      <c r="G160">
        <f>IF(OR(Table7[[#This Row],[Response]]="Strongly Agree",Table7[[#This Row],[Response]]="Agree"),1,0)</f>
        <v>0</v>
      </c>
      <c r="H160" t="str">
        <f>_xlfn.XLOOKUP(Table7[[#This Row],[QuestionID]], FinalQuestions!$A:$A, FinalQuestions!$D:$D,"")</f>
        <v>Comfort for Reporting Non‑Compliance.</v>
      </c>
      <c r="I160" t="s">
        <v>265</v>
      </c>
    </row>
    <row r="161" spans="1:9" x14ac:dyDescent="0.35">
      <c r="A161" t="s">
        <v>92</v>
      </c>
      <c r="B161" t="s">
        <v>75</v>
      </c>
      <c r="C161" t="s">
        <v>4</v>
      </c>
      <c r="D161" t="str">
        <f>VLOOKUP(Table7[[#This Row],[QuestionID]], FinalQuestions!$A:$C, 3, FALSE)</f>
        <v>Call someone to account</v>
      </c>
      <c r="E161">
        <f>IF(Table7[[#This Row],[Response]]="","",CHOOSE(MATCH(Table7[[#This Row],[Response]],{"Strongly Agree","Agree","Neutral","Disagree","Strongly Disagree","Not Applicable"},0),5,4,3,2,1,""))</f>
        <v>3</v>
      </c>
      <c r="F161">
        <f>Table7[[#This Row],[Scores]] * 20</f>
        <v>60</v>
      </c>
      <c r="G161">
        <f>IF(OR(Table7[[#This Row],[Response]]="Strongly Agree",Table7[[#This Row],[Response]]="Agree"),1,0)</f>
        <v>0</v>
      </c>
      <c r="H161" t="str">
        <f>_xlfn.XLOOKUP(Table7[[#This Row],[QuestionID]], FinalQuestions!$A:$A, FinalQuestions!$D:$D,"")</f>
        <v>Consistency of Conduct Enforcement</v>
      </c>
      <c r="I161" t="s">
        <v>265</v>
      </c>
    </row>
    <row r="162" spans="1:9" x14ac:dyDescent="0.35">
      <c r="A162" t="s">
        <v>93</v>
      </c>
      <c r="B162" t="s">
        <v>13</v>
      </c>
      <c r="C162" t="s">
        <v>4</v>
      </c>
      <c r="D162" t="str">
        <f>VLOOKUP(Table7[[#This Row],[QuestionID]], FinalQuestions!$A:$C, 3, FALSE)</f>
        <v>Role Modelling</v>
      </c>
      <c r="E162">
        <f>IF(Table7[[#This Row],[Response]]="","",CHOOSE(MATCH(Table7[[#This Row],[Response]],{"Strongly Agree","Agree","Neutral","Disagree","Strongly Disagree","Not Applicable"},0),5,4,3,2,1,""))</f>
        <v>3</v>
      </c>
      <c r="F162">
        <f>Table7[[#This Row],[Scores]] * 20</f>
        <v>60</v>
      </c>
      <c r="G162">
        <f>IF(OR(Table7[[#This Row],[Response]]="Strongly Agree",Table7[[#This Row],[Response]]="Agree"),1,0)</f>
        <v>0</v>
      </c>
      <c r="H162" t="str">
        <f>_xlfn.XLOOKUP(Table7[[#This Row],[QuestionID]], FinalQuestions!$A:$A, FinalQuestions!$D:$D,"")</f>
        <v xml:space="preserve">Leadership Example‑Setting in Risk Management </v>
      </c>
      <c r="I162" t="s">
        <v>265</v>
      </c>
    </row>
    <row r="163" spans="1:9" x14ac:dyDescent="0.35">
      <c r="A163" t="s">
        <v>93</v>
      </c>
      <c r="B163" t="s">
        <v>15</v>
      </c>
      <c r="C163" t="s">
        <v>4</v>
      </c>
      <c r="D163" t="str">
        <f>VLOOKUP(Table7[[#This Row],[QuestionID]], FinalQuestions!$A:$C, 3, FALSE)</f>
        <v>Role Modelling</v>
      </c>
      <c r="E163">
        <f>IF(Table7[[#This Row],[Response]]="","",CHOOSE(MATCH(Table7[[#This Row],[Response]],{"Strongly Agree","Agree","Neutral","Disagree","Strongly Disagree","Not Applicable"},0),5,4,3,2,1,""))</f>
        <v>3</v>
      </c>
      <c r="F163">
        <f>Table7[[#This Row],[Scores]] * 20</f>
        <v>60</v>
      </c>
      <c r="G163">
        <f>IF(OR(Table7[[#This Row],[Response]]="Strongly Agree",Table7[[#This Row],[Response]]="Agree"),1,0)</f>
        <v>0</v>
      </c>
      <c r="H163" t="str">
        <f>_xlfn.XLOOKUP(Table7[[#This Row],[QuestionID]], FinalQuestions!$A:$A, FinalQuestions!$D:$D,"")</f>
        <v>Executive Commitment to Risk Culture</v>
      </c>
      <c r="I163" t="s">
        <v>265</v>
      </c>
    </row>
    <row r="164" spans="1:9" x14ac:dyDescent="0.35">
      <c r="A164" t="s">
        <v>93</v>
      </c>
      <c r="B164" t="s">
        <v>17</v>
      </c>
      <c r="C164" t="s">
        <v>4</v>
      </c>
      <c r="D164" t="str">
        <f>VLOOKUP(Table7[[#This Row],[QuestionID]], FinalQuestions!$A:$C, 3, FALSE)</f>
        <v>Role Modelling</v>
      </c>
      <c r="E164">
        <f>IF(Table7[[#This Row],[Response]]="","",CHOOSE(MATCH(Table7[[#This Row],[Response]],{"Strongly Agree","Agree","Neutral","Disagree","Strongly Disagree","Not Applicable"},0),5,4,3,2,1,""))</f>
        <v>3</v>
      </c>
      <c r="F164">
        <f>Table7[[#This Row],[Scores]] * 20</f>
        <v>60</v>
      </c>
      <c r="G164">
        <f>IF(OR(Table7[[#This Row],[Response]]="Strongly Agree",Table7[[#This Row],[Response]]="Agree"),1,0)</f>
        <v>0</v>
      </c>
      <c r="H164" t="str">
        <f>_xlfn.XLOOKUP(Table7[[#This Row],[QuestionID]], FinalQuestions!$A:$A, FinalQuestions!$D:$D,"")</f>
        <v>Leadership Encouragement to Escalate Risks</v>
      </c>
      <c r="I164" t="s">
        <v>265</v>
      </c>
    </row>
    <row r="165" spans="1:9" x14ac:dyDescent="0.35">
      <c r="A165" t="s">
        <v>93</v>
      </c>
      <c r="B165" t="s">
        <v>19</v>
      </c>
      <c r="C165" t="s">
        <v>4</v>
      </c>
      <c r="D165" t="str">
        <f>VLOOKUP(Table7[[#This Row],[QuestionID]], FinalQuestions!$A:$C, 3, FALSE)</f>
        <v>Role Modelling</v>
      </c>
      <c r="E165">
        <f>IF(Table7[[#This Row],[Response]]="","",CHOOSE(MATCH(Table7[[#This Row],[Response]],{"Strongly Agree","Agree","Neutral","Disagree","Strongly Disagree","Not Applicable"},0),5,4,3,2,1,""))</f>
        <v>3</v>
      </c>
      <c r="F165">
        <f>Table7[[#This Row],[Scores]] * 20</f>
        <v>60</v>
      </c>
      <c r="G165">
        <f>IF(OR(Table7[[#This Row],[Response]]="Strongly Agree",Table7[[#This Row],[Response]]="Agree"),1,0)</f>
        <v>0</v>
      </c>
      <c r="H165" t="str">
        <f>_xlfn.XLOOKUP(Table7[[#This Row],[QuestionID]], FinalQuestions!$A:$A, FinalQuestions!$D:$D,"")</f>
        <v>Long-Term Decision Awareness</v>
      </c>
      <c r="I165" t="s">
        <v>265</v>
      </c>
    </row>
    <row r="166" spans="1:9" x14ac:dyDescent="0.35">
      <c r="A166" t="s">
        <v>93</v>
      </c>
      <c r="B166" t="s">
        <v>21</v>
      </c>
      <c r="C166" t="s">
        <v>4</v>
      </c>
      <c r="D166" t="str">
        <f>VLOOKUP(Table7[[#This Row],[QuestionID]], FinalQuestions!$A:$C, 3, FALSE)</f>
        <v>Discussability</v>
      </c>
      <c r="E166">
        <f>IF(Table7[[#This Row],[Response]]="","",CHOOSE(MATCH(Table7[[#This Row],[Response]],{"Strongly Agree","Agree","Neutral","Disagree","Strongly Disagree","Not Applicable"},0),5,4,3,2,1,""))</f>
        <v>3</v>
      </c>
      <c r="F166">
        <f>Table7[[#This Row],[Scores]] * 20</f>
        <v>60</v>
      </c>
      <c r="G166">
        <f>IF(OR(Table7[[#This Row],[Response]]="Strongly Agree",Table7[[#This Row],[Response]]="Agree"),1,0)</f>
        <v>0</v>
      </c>
      <c r="H166" t="str">
        <f>_xlfn.XLOOKUP(Table7[[#This Row],[QuestionID]], FinalQuestions!$A:$A, FinalQuestions!$D:$D,"")</f>
        <v>Openness to Discussions</v>
      </c>
      <c r="I166" t="s">
        <v>265</v>
      </c>
    </row>
    <row r="167" spans="1:9" x14ac:dyDescent="0.35">
      <c r="A167" t="s">
        <v>93</v>
      </c>
      <c r="B167" t="s">
        <v>23</v>
      </c>
      <c r="C167" t="s">
        <v>4</v>
      </c>
      <c r="D167" t="str">
        <f>VLOOKUP(Table7[[#This Row],[QuestionID]], FinalQuestions!$A:$C, 3, FALSE)</f>
        <v>Discussability</v>
      </c>
      <c r="E167">
        <f>IF(Table7[[#This Row],[Response]]="","",CHOOSE(MATCH(Table7[[#This Row],[Response]],{"Strongly Agree","Agree","Neutral","Disagree","Strongly Disagree","Not Applicable"},0),5,4,3,2,1,""))</f>
        <v>3</v>
      </c>
      <c r="F167">
        <f>Table7[[#This Row],[Scores]] * 20</f>
        <v>60</v>
      </c>
      <c r="G167">
        <f>IF(OR(Table7[[#This Row],[Response]]="Strongly Agree",Table7[[#This Row],[Response]]="Agree"),1,0)</f>
        <v>0</v>
      </c>
      <c r="H167" t="str">
        <f>_xlfn.XLOOKUP(Table7[[#This Row],[QuestionID]], FinalQuestions!$A:$A, FinalQuestions!$D:$D,"")</f>
        <v>Access to Guidance</v>
      </c>
      <c r="I167" t="s">
        <v>265</v>
      </c>
    </row>
    <row r="168" spans="1:9" x14ac:dyDescent="0.35">
      <c r="A168" t="s">
        <v>93</v>
      </c>
      <c r="B168" t="s">
        <v>25</v>
      </c>
      <c r="C168" t="s">
        <v>4</v>
      </c>
      <c r="D168" t="str">
        <f>VLOOKUP(Table7[[#This Row],[QuestionID]], FinalQuestions!$A:$C, 3, FALSE)</f>
        <v>Discussability</v>
      </c>
      <c r="E168">
        <f>IF(Table7[[#This Row],[Response]]="","",CHOOSE(MATCH(Table7[[#This Row],[Response]],{"Strongly Agree","Agree","Neutral","Disagree","Strongly Disagree","Not Applicable"},0),5,4,3,2,1,""))</f>
        <v>3</v>
      </c>
      <c r="F168">
        <f>Table7[[#This Row],[Scores]] * 20</f>
        <v>60</v>
      </c>
      <c r="G168">
        <f>IF(OR(Table7[[#This Row],[Response]]="Strongly Agree",Table7[[#This Row],[Response]]="Agree"),1,0)</f>
        <v>0</v>
      </c>
      <c r="H168" t="str">
        <f>_xlfn.XLOOKUP(Table7[[#This Row],[QuestionID]], FinalQuestions!$A:$A, FinalQuestions!$D:$D,"")</f>
        <v>Openness to Sharing Opinions</v>
      </c>
      <c r="I168" t="s">
        <v>265</v>
      </c>
    </row>
    <row r="169" spans="1:9" x14ac:dyDescent="0.35">
      <c r="A169" t="s">
        <v>93</v>
      </c>
      <c r="B169" t="s">
        <v>27</v>
      </c>
      <c r="C169" t="s">
        <v>4</v>
      </c>
      <c r="D169" t="str">
        <f>VLOOKUP(Table7[[#This Row],[QuestionID]], FinalQuestions!$A:$C, 3, FALSE)</f>
        <v>Discussability</v>
      </c>
      <c r="E169">
        <f>IF(Table7[[#This Row],[Response]]="","",CHOOSE(MATCH(Table7[[#This Row],[Response]],{"Strongly Agree","Agree","Neutral","Disagree","Strongly Disagree","Not Applicable"},0),5,4,3,2,1,""))</f>
        <v>3</v>
      </c>
      <c r="F169">
        <f>Table7[[#This Row],[Scores]] * 20</f>
        <v>60</v>
      </c>
      <c r="G169">
        <f>IF(OR(Table7[[#This Row],[Response]]="Strongly Agree",Table7[[#This Row],[Response]]="Agree"),1,0)</f>
        <v>0</v>
      </c>
      <c r="H169" t="str">
        <f>_xlfn.XLOOKUP(Table7[[#This Row],[QuestionID]], FinalQuestions!$A:$A, FinalQuestions!$D:$D,"")</f>
        <v>Comfort in Reporting Risk Dilemmas</v>
      </c>
      <c r="I169" t="s">
        <v>265</v>
      </c>
    </row>
    <row r="170" spans="1:9" x14ac:dyDescent="0.35">
      <c r="A170" t="s">
        <v>93</v>
      </c>
      <c r="B170" t="s">
        <v>29</v>
      </c>
      <c r="C170" t="s">
        <v>4</v>
      </c>
      <c r="D170" t="str">
        <f>VLOOKUP(Table7[[#This Row],[QuestionID]], FinalQuestions!$A:$C, 3, FALSE)</f>
        <v>Achievability</v>
      </c>
      <c r="E170">
        <f>IF(Table7[[#This Row],[Response]]="","",CHOOSE(MATCH(Table7[[#This Row],[Response]],{"Strongly Agree","Agree","Neutral","Disagree","Strongly Disagree","Not Applicable"},0),5,4,3,2,1,""))</f>
        <v>3</v>
      </c>
      <c r="F170">
        <f>Table7[[#This Row],[Scores]] * 20</f>
        <v>60</v>
      </c>
      <c r="G170">
        <f>IF(OR(Table7[[#This Row],[Response]]="Strongly Agree",Table7[[#This Row],[Response]]="Agree"),1,0)</f>
        <v>0</v>
      </c>
      <c r="H170" t="str">
        <f>_xlfn.XLOOKUP(Table7[[#This Row],[QuestionID]], FinalQuestions!$A:$A, FinalQuestions!$D:$D,"")</f>
        <v>Adequacy of Risk Management Training</v>
      </c>
      <c r="I170" t="s">
        <v>265</v>
      </c>
    </row>
    <row r="171" spans="1:9" x14ac:dyDescent="0.35">
      <c r="A171" t="s">
        <v>93</v>
      </c>
      <c r="B171" t="s">
        <v>31</v>
      </c>
      <c r="C171" t="s">
        <v>4</v>
      </c>
      <c r="D171" t="str">
        <f>VLOOKUP(Table7[[#This Row],[QuestionID]], FinalQuestions!$A:$C, 3, FALSE)</f>
        <v>Achievability</v>
      </c>
      <c r="E171">
        <f>IF(Table7[[#This Row],[Response]]="","",CHOOSE(MATCH(Table7[[#This Row],[Response]],{"Strongly Agree","Agree","Neutral","Disagree","Strongly Disagree","Not Applicable"},0),5,4,3,2,1,""))</f>
        <v>3</v>
      </c>
      <c r="F171">
        <f>Table7[[#This Row],[Scores]] * 20</f>
        <v>60</v>
      </c>
      <c r="G171">
        <f>IF(OR(Table7[[#This Row],[Response]]="Strongly Agree",Table7[[#This Row],[Response]]="Agree"),1,0)</f>
        <v>0</v>
      </c>
      <c r="H171" t="str">
        <f>_xlfn.XLOOKUP(Table7[[#This Row],[QuestionID]], FinalQuestions!$A:$A, FinalQuestions!$D:$D,"")</f>
        <v>Workload Balance &amp; Resource Sufficiency</v>
      </c>
      <c r="I171" t="s">
        <v>265</v>
      </c>
    </row>
    <row r="172" spans="1:9" x14ac:dyDescent="0.35">
      <c r="A172" t="s">
        <v>93</v>
      </c>
      <c r="B172" t="s">
        <v>33</v>
      </c>
      <c r="C172" t="s">
        <v>4</v>
      </c>
      <c r="D172" t="str">
        <f>VLOOKUP(Table7[[#This Row],[QuestionID]], FinalQuestions!$A:$C, 3, FALSE)</f>
        <v>Achievability</v>
      </c>
      <c r="E172">
        <f>IF(Table7[[#This Row],[Response]]="","",CHOOSE(MATCH(Table7[[#This Row],[Response]],{"Strongly Agree","Agree","Neutral","Disagree","Strongly Disagree","Not Applicable"},0),5,4,3,2,1,""))</f>
        <v>3</v>
      </c>
      <c r="F172">
        <f>Table7[[#This Row],[Scores]] * 20</f>
        <v>60</v>
      </c>
      <c r="G172">
        <f>IF(OR(Table7[[#This Row],[Response]]="Strongly Agree",Table7[[#This Row],[Response]]="Agree"),1,0)</f>
        <v>0</v>
      </c>
      <c r="H172" t="str">
        <f>_xlfn.XLOOKUP(Table7[[#This Row],[QuestionID]], FinalQuestions!$A:$A, FinalQuestions!$D:$D,"")</f>
        <v>Realistic Target Setting</v>
      </c>
      <c r="I172" t="s">
        <v>265</v>
      </c>
    </row>
    <row r="173" spans="1:9" x14ac:dyDescent="0.35">
      <c r="A173" t="s">
        <v>93</v>
      </c>
      <c r="B173" t="s">
        <v>35</v>
      </c>
      <c r="C173" t="s">
        <v>4</v>
      </c>
      <c r="D173" t="str">
        <f>VLOOKUP(Table7[[#This Row],[QuestionID]], FinalQuestions!$A:$C, 3, FALSE)</f>
        <v>Achievability</v>
      </c>
      <c r="E173">
        <f>IF(Table7[[#This Row],[Response]]="","",CHOOSE(MATCH(Table7[[#This Row],[Response]],{"Strongly Agree","Agree","Neutral","Disagree","Strongly Disagree","Not Applicable"},0),5,4,3,2,1,""))</f>
        <v>3</v>
      </c>
      <c r="F173">
        <f>Table7[[#This Row],[Scores]] * 20</f>
        <v>60</v>
      </c>
      <c r="G173">
        <f>IF(OR(Table7[[#This Row],[Response]]="Strongly Agree",Table7[[#This Row],[Response]]="Agree"),1,0)</f>
        <v>0</v>
      </c>
      <c r="H173" t="str">
        <f>_xlfn.XLOOKUP(Table7[[#This Row],[QuestionID]], FinalQuestions!$A:$A, FinalQuestions!$D:$D,"")</f>
        <v>Risk Insight in Decision Making</v>
      </c>
      <c r="I173" t="s">
        <v>265</v>
      </c>
    </row>
    <row r="174" spans="1:9" x14ac:dyDescent="0.35">
      <c r="A174" t="s">
        <v>93</v>
      </c>
      <c r="B174" t="s">
        <v>37</v>
      </c>
      <c r="C174" t="s">
        <v>4</v>
      </c>
      <c r="D174" t="str">
        <f>VLOOKUP(Table7[[#This Row],[QuestionID]], FinalQuestions!$A:$C, 3, FALSE)</f>
        <v>Enforcement</v>
      </c>
      <c r="E174">
        <f>IF(Table7[[#This Row],[Response]]="","",CHOOSE(MATCH(Table7[[#This Row],[Response]],{"Strongly Agree","Agree","Neutral","Disagree","Strongly Disagree","Not Applicable"},0),5,4,3,2,1,""))</f>
        <v>3</v>
      </c>
      <c r="F174">
        <f>Table7[[#This Row],[Scores]] * 20</f>
        <v>60</v>
      </c>
      <c r="G174">
        <f>IF(OR(Table7[[#This Row],[Response]]="Strongly Agree",Table7[[#This Row],[Response]]="Agree"),1,0)</f>
        <v>0</v>
      </c>
      <c r="H174" t="str">
        <f>_xlfn.XLOOKUP(Table7[[#This Row],[QuestionID]], FinalQuestions!$A:$A, FinalQuestions!$D:$D,"")</f>
        <v>Learning Culture from Non‑Compliance Cases</v>
      </c>
      <c r="I174" t="s">
        <v>265</v>
      </c>
    </row>
    <row r="175" spans="1:9" x14ac:dyDescent="0.35">
      <c r="A175" t="s">
        <v>93</v>
      </c>
      <c r="B175" t="s">
        <v>39</v>
      </c>
      <c r="C175" t="s">
        <v>4</v>
      </c>
      <c r="D175" t="str">
        <f>VLOOKUP(Table7[[#This Row],[QuestionID]], FinalQuestions!$A:$C, 3, FALSE)</f>
        <v>Enforcement</v>
      </c>
      <c r="E175">
        <f>IF(Table7[[#This Row],[Response]]="","",CHOOSE(MATCH(Table7[[#This Row],[Response]],{"Strongly Agree","Agree","Neutral","Disagree","Strongly Disagree","Not Applicable"},0),5,4,3,2,1,""))</f>
        <v>3</v>
      </c>
      <c r="F175">
        <f>Table7[[#This Row],[Scores]] * 20</f>
        <v>60</v>
      </c>
      <c r="G175">
        <f>IF(OR(Table7[[#This Row],[Response]]="Strongly Agree",Table7[[#This Row],[Response]]="Agree"),1,0)</f>
        <v>0</v>
      </c>
      <c r="H175" t="str">
        <f>_xlfn.XLOOKUP(Table7[[#This Row],[QuestionID]], FinalQuestions!$A:$A, FinalQuestions!$D:$D,"")</f>
        <v>Organizational View on Risk Culture</v>
      </c>
      <c r="I175" t="s">
        <v>265</v>
      </c>
    </row>
    <row r="176" spans="1:9" x14ac:dyDescent="0.35">
      <c r="A176" t="s">
        <v>93</v>
      </c>
      <c r="B176" t="s">
        <v>41</v>
      </c>
      <c r="C176" t="s">
        <v>4</v>
      </c>
      <c r="D176" t="str">
        <f>VLOOKUP(Table7[[#This Row],[QuestionID]], FinalQuestions!$A:$C, 3, FALSE)</f>
        <v>Enforcement</v>
      </c>
      <c r="E176">
        <f>IF(Table7[[#This Row],[Response]]="","",CHOOSE(MATCH(Table7[[#This Row],[Response]],{"Strongly Agree","Agree","Neutral","Disagree","Strongly Disagree","Not Applicable"},0),5,4,3,2,1,""))</f>
        <v>3</v>
      </c>
      <c r="F176">
        <f>Table7[[#This Row],[Scores]] * 20</f>
        <v>60</v>
      </c>
      <c r="G176">
        <f>IF(OR(Table7[[#This Row],[Response]]="Strongly Agree",Table7[[#This Row],[Response]]="Agree"),1,0)</f>
        <v>0</v>
      </c>
      <c r="H176" t="str">
        <f>_xlfn.XLOOKUP(Table7[[#This Row],[QuestionID]], FinalQuestions!$A:$A, FinalQuestions!$D:$D,"")</f>
        <v>Compliance Recognition &amp; enforcement</v>
      </c>
      <c r="I176" t="s">
        <v>265</v>
      </c>
    </row>
    <row r="177" spans="1:9" x14ac:dyDescent="0.35">
      <c r="A177" t="s">
        <v>93</v>
      </c>
      <c r="B177" t="s">
        <v>43</v>
      </c>
      <c r="C177" t="s">
        <v>4</v>
      </c>
      <c r="D177" t="str">
        <f>VLOOKUP(Table7[[#This Row],[QuestionID]], FinalQuestions!$A:$C, 3, FALSE)</f>
        <v>Enforcement</v>
      </c>
      <c r="E177">
        <f>IF(Table7[[#This Row],[Response]]="","",CHOOSE(MATCH(Table7[[#This Row],[Response]],{"Strongly Agree","Agree","Neutral","Disagree","Strongly Disagree","Not Applicable"},0),5,4,3,2,1,""))</f>
        <v>3</v>
      </c>
      <c r="F177">
        <f>Table7[[#This Row],[Scores]] * 20</f>
        <v>60</v>
      </c>
      <c r="G177">
        <f>IF(OR(Table7[[#This Row],[Response]]="Strongly Agree",Table7[[#This Row],[Response]]="Agree"),1,0)</f>
        <v>0</v>
      </c>
      <c r="H177" t="str">
        <f>_xlfn.XLOOKUP(Table7[[#This Row],[QuestionID]], FinalQuestions!$A:$A, FinalQuestions!$D:$D,"")</f>
        <v>Sense of Ownership</v>
      </c>
      <c r="I177" t="s">
        <v>265</v>
      </c>
    </row>
    <row r="178" spans="1:9" x14ac:dyDescent="0.35">
      <c r="A178" t="s">
        <v>93</v>
      </c>
      <c r="B178" t="s">
        <v>45</v>
      </c>
      <c r="C178" t="s">
        <v>4</v>
      </c>
      <c r="D178" t="str">
        <f>VLOOKUP(Table7[[#This Row],[QuestionID]], FinalQuestions!$A:$C, 3, FALSE)</f>
        <v>Clarity</v>
      </c>
      <c r="E178">
        <f>IF(Table7[[#This Row],[Response]]="","",CHOOSE(MATCH(Table7[[#This Row],[Response]],{"Strongly Agree","Agree","Neutral","Disagree","Strongly Disagree","Not Applicable"},0),5,4,3,2,1,""))</f>
        <v>3</v>
      </c>
      <c r="F178">
        <f>Table7[[#This Row],[Scores]] * 20</f>
        <v>60</v>
      </c>
      <c r="G178">
        <f>IF(OR(Table7[[#This Row],[Response]]="Strongly Agree",Table7[[#This Row],[Response]]="Agree"),1,0)</f>
        <v>0</v>
      </c>
      <c r="H178" t="str">
        <f>_xlfn.XLOOKUP(Table7[[#This Row],[QuestionID]], FinalQuestions!$A:$A, FinalQuestions!$D:$D,"")</f>
        <v>Clarity of Role and Responsibilities</v>
      </c>
      <c r="I178" t="s">
        <v>265</v>
      </c>
    </row>
    <row r="179" spans="1:9" x14ac:dyDescent="0.35">
      <c r="A179" t="s">
        <v>93</v>
      </c>
      <c r="B179" t="s">
        <v>47</v>
      </c>
      <c r="C179" t="s">
        <v>4</v>
      </c>
      <c r="D179" t="str">
        <f>VLOOKUP(Table7[[#This Row],[QuestionID]], FinalQuestions!$A:$C, 3, FALSE)</f>
        <v>Clarity</v>
      </c>
      <c r="E179">
        <f>IF(Table7[[#This Row],[Response]]="","",CHOOSE(MATCH(Table7[[#This Row],[Response]],{"Strongly Agree","Agree","Neutral","Disagree","Strongly Disagree","Not Applicable"},0),5,4,3,2,1,""))</f>
        <v>3</v>
      </c>
      <c r="F179">
        <f>Table7[[#This Row],[Scores]] * 20</f>
        <v>60</v>
      </c>
      <c r="G179">
        <f>IF(OR(Table7[[#This Row],[Response]]="Strongly Agree",Table7[[#This Row],[Response]]="Agree"),1,0)</f>
        <v>0</v>
      </c>
      <c r="H179" t="str">
        <f>_xlfn.XLOOKUP(Table7[[#This Row],[QuestionID]], FinalQuestions!$A:$A, FinalQuestions!$D:$D,"")</f>
        <v>Understanding of Risk Policies &amp; Procedures</v>
      </c>
      <c r="I179" t="s">
        <v>265</v>
      </c>
    </row>
    <row r="180" spans="1:9" x14ac:dyDescent="0.35">
      <c r="A180" t="s">
        <v>93</v>
      </c>
      <c r="B180" t="s">
        <v>49</v>
      </c>
      <c r="C180" t="s">
        <v>4</v>
      </c>
      <c r="D180" t="str">
        <f>VLOOKUP(Table7[[#This Row],[QuestionID]], FinalQuestions!$A:$C, 3, FALSE)</f>
        <v>Clarity</v>
      </c>
      <c r="E180">
        <f>IF(Table7[[#This Row],[Response]]="","",CHOOSE(MATCH(Table7[[#This Row],[Response]],{"Strongly Agree","Agree","Neutral","Disagree","Strongly Disagree","Not Applicable"},0),5,4,3,2,1,""))</f>
        <v>3</v>
      </c>
      <c r="F180">
        <f>Table7[[#This Row],[Scores]] * 20</f>
        <v>60</v>
      </c>
      <c r="G180">
        <f>IF(OR(Table7[[#This Row],[Response]]="Strongly Agree",Table7[[#This Row],[Response]]="Agree"),1,0)</f>
        <v>0</v>
      </c>
      <c r="H180" t="str">
        <f>_xlfn.XLOOKUP(Table7[[#This Row],[QuestionID]], FinalQuestions!$A:$A, FinalQuestions!$D:$D,"")</f>
        <v>Clarity of Personal Risk Boundaries</v>
      </c>
      <c r="I180" t="s">
        <v>265</v>
      </c>
    </row>
    <row r="181" spans="1:9" x14ac:dyDescent="0.35">
      <c r="A181" t="s">
        <v>93</v>
      </c>
      <c r="B181" t="s">
        <v>51</v>
      </c>
      <c r="C181" t="s">
        <v>2</v>
      </c>
      <c r="D181" t="str">
        <f>VLOOKUP(Table7[[#This Row],[QuestionID]], FinalQuestions!$A:$C, 3, FALSE)</f>
        <v>Clarity</v>
      </c>
      <c r="E181">
        <f>IF(Table7[[#This Row],[Response]]="","",CHOOSE(MATCH(Table7[[#This Row],[Response]],{"Strongly Agree","Agree","Neutral","Disagree","Strongly Disagree","Not Applicable"},0),5,4,3,2,1,""))</f>
        <v>4</v>
      </c>
      <c r="F181">
        <f>Table7[[#This Row],[Scores]] * 20</f>
        <v>80</v>
      </c>
      <c r="G181">
        <f>IF(OR(Table7[[#This Row],[Response]]="Strongly Agree",Table7[[#This Row],[Response]]="Agree"),1,0)</f>
        <v>1</v>
      </c>
      <c r="H181" t="str">
        <f>_xlfn.XLOOKUP(Table7[[#This Row],[QuestionID]], FinalQuestions!$A:$A, FinalQuestions!$D:$D,"")</f>
        <v>Effectiveness of Risk Communication &amp; Training</v>
      </c>
      <c r="I181" t="s">
        <v>265</v>
      </c>
    </row>
    <row r="182" spans="1:9" x14ac:dyDescent="0.35">
      <c r="A182" t="s">
        <v>93</v>
      </c>
      <c r="B182" t="s">
        <v>53</v>
      </c>
      <c r="C182" t="s">
        <v>2</v>
      </c>
      <c r="D182" t="str">
        <f>VLOOKUP(Table7[[#This Row],[QuestionID]], FinalQuestions!$A:$C, 3, FALSE)</f>
        <v>Transparency</v>
      </c>
      <c r="E182">
        <f>IF(Table7[[#This Row],[Response]]="","",CHOOSE(MATCH(Table7[[#This Row],[Response]],{"Strongly Agree","Agree","Neutral","Disagree","Strongly Disagree","Not Applicable"},0),5,4,3,2,1,""))</f>
        <v>4</v>
      </c>
      <c r="F182">
        <f>Table7[[#This Row],[Scores]] * 20</f>
        <v>80</v>
      </c>
      <c r="G182">
        <f>IF(OR(Table7[[#This Row],[Response]]="Strongly Agree",Table7[[#This Row],[Response]]="Agree"),1,0)</f>
        <v>1</v>
      </c>
      <c r="H182" t="str">
        <f>_xlfn.XLOOKUP(Table7[[#This Row],[QuestionID]], FinalQuestions!$A:$A, FinalQuestions!$D:$D,"")</f>
        <v>Compliance Confidence in team</v>
      </c>
      <c r="I182" t="s">
        <v>265</v>
      </c>
    </row>
    <row r="183" spans="1:9" x14ac:dyDescent="0.35">
      <c r="A183" t="s">
        <v>93</v>
      </c>
      <c r="B183" t="s">
        <v>55</v>
      </c>
      <c r="C183" t="s">
        <v>2</v>
      </c>
      <c r="D183" t="str">
        <f>VLOOKUP(Table7[[#This Row],[QuestionID]], FinalQuestions!$A:$C, 3, FALSE)</f>
        <v>Transparency</v>
      </c>
      <c r="E183">
        <f>IF(Table7[[#This Row],[Response]]="","",CHOOSE(MATCH(Table7[[#This Row],[Response]],{"Strongly Agree","Agree","Neutral","Disagree","Strongly Disagree","Not Applicable"},0),5,4,3,2,1,""))</f>
        <v>4</v>
      </c>
      <c r="F183">
        <f>Table7[[#This Row],[Scores]] * 20</f>
        <v>80</v>
      </c>
      <c r="G183">
        <f>IF(OR(Table7[[#This Row],[Response]]="Strongly Agree",Table7[[#This Row],[Response]]="Agree"),1,0)</f>
        <v>1</v>
      </c>
      <c r="H183" t="str">
        <f>_xlfn.XLOOKUP(Table7[[#This Row],[QuestionID]], FinalQuestions!$A:$A, FinalQuestions!$D:$D,"")</f>
        <v>Transparency in Decision‑Making</v>
      </c>
      <c r="I183" t="s">
        <v>265</v>
      </c>
    </row>
    <row r="184" spans="1:9" x14ac:dyDescent="0.35">
      <c r="A184" t="s">
        <v>93</v>
      </c>
      <c r="B184" t="s">
        <v>57</v>
      </c>
      <c r="C184" t="s">
        <v>2</v>
      </c>
      <c r="D184" t="str">
        <f>VLOOKUP(Table7[[#This Row],[QuestionID]], FinalQuestions!$A:$C, 3, FALSE)</f>
        <v>Transparency</v>
      </c>
      <c r="E184">
        <f>IF(Table7[[#This Row],[Response]]="","",CHOOSE(MATCH(Table7[[#This Row],[Response]],{"Strongly Agree","Agree","Neutral","Disagree","Strongly Disagree","Not Applicable"},0),5,4,3,2,1,""))</f>
        <v>4</v>
      </c>
      <c r="F184">
        <f>Table7[[#This Row],[Scores]] * 20</f>
        <v>80</v>
      </c>
      <c r="G184">
        <f>IF(OR(Table7[[#This Row],[Response]]="Strongly Agree",Table7[[#This Row],[Response]]="Agree"),1,0)</f>
        <v>1</v>
      </c>
      <c r="H184" t="str">
        <f>_xlfn.XLOOKUP(Table7[[#This Row],[QuestionID]], FinalQuestions!$A:$A, FinalQuestions!$D:$D,"")</f>
        <v>Fairness &amp; Equity of Expectations</v>
      </c>
      <c r="I184" t="s">
        <v>265</v>
      </c>
    </row>
    <row r="185" spans="1:9" x14ac:dyDescent="0.35">
      <c r="A185" t="s">
        <v>93</v>
      </c>
      <c r="B185" t="s">
        <v>59</v>
      </c>
      <c r="C185" t="s">
        <v>2</v>
      </c>
      <c r="D185" t="str">
        <f>VLOOKUP(Table7[[#This Row],[QuestionID]], FinalQuestions!$A:$C, 3, FALSE)</f>
        <v>Transparency</v>
      </c>
      <c r="E185">
        <f>IF(Table7[[#This Row],[Response]]="","",CHOOSE(MATCH(Table7[[#This Row],[Response]],{"Strongly Agree","Agree","Neutral","Disagree","Strongly Disagree","Not Applicable"},0),5,4,3,2,1,""))</f>
        <v>4</v>
      </c>
      <c r="F185">
        <f>Table7[[#This Row],[Scores]] * 20</f>
        <v>80</v>
      </c>
      <c r="G185">
        <f>IF(OR(Table7[[#This Row],[Response]]="Strongly Agree",Table7[[#This Row],[Response]]="Agree"),1,0)</f>
        <v>1</v>
      </c>
      <c r="H185" t="str">
        <f>_xlfn.XLOOKUP(Table7[[#This Row],[QuestionID]], FinalQuestions!$A:$A, FinalQuestions!$D:$D,"")</f>
        <v>Leadership Awareness in the team</v>
      </c>
      <c r="I185" t="s">
        <v>265</v>
      </c>
    </row>
    <row r="186" spans="1:9" x14ac:dyDescent="0.35">
      <c r="A186" t="s">
        <v>93</v>
      </c>
      <c r="B186" t="s">
        <v>61</v>
      </c>
      <c r="C186" t="s">
        <v>2</v>
      </c>
      <c r="D186" t="str">
        <f>VLOOKUP(Table7[[#This Row],[QuestionID]], FinalQuestions!$A:$C, 3, FALSE)</f>
        <v>Commitment</v>
      </c>
      <c r="E186">
        <f>IF(Table7[[#This Row],[Response]]="","",CHOOSE(MATCH(Table7[[#This Row],[Response]],{"Strongly Agree","Agree","Neutral","Disagree","Strongly Disagree","Not Applicable"},0),5,4,3,2,1,""))</f>
        <v>4</v>
      </c>
      <c r="F186">
        <f>Table7[[#This Row],[Scores]] * 20</f>
        <v>80</v>
      </c>
      <c r="G186">
        <f>IF(OR(Table7[[#This Row],[Response]]="Strongly Agree",Table7[[#This Row],[Response]]="Agree"),1,0)</f>
        <v>1</v>
      </c>
      <c r="H186" t="str">
        <f>_xlfn.XLOOKUP(Table7[[#This Row],[QuestionID]], FinalQuestions!$A:$A, FinalQuestions!$D:$D,"")</f>
        <v>Motivation for Risk Ownership</v>
      </c>
      <c r="I186" t="s">
        <v>265</v>
      </c>
    </row>
    <row r="187" spans="1:9" x14ac:dyDescent="0.35">
      <c r="A187" t="s">
        <v>93</v>
      </c>
      <c r="B187" t="s">
        <v>63</v>
      </c>
      <c r="C187" t="s">
        <v>2</v>
      </c>
      <c r="D187" t="str">
        <f>VLOOKUP(Table7[[#This Row],[QuestionID]], FinalQuestions!$A:$C, 3, FALSE)</f>
        <v>Commitment</v>
      </c>
      <c r="E187">
        <f>IF(Table7[[#This Row],[Response]]="","",CHOOSE(MATCH(Table7[[#This Row],[Response]],{"Strongly Agree","Agree","Neutral","Disagree","Strongly Disagree","Not Applicable"},0),5,4,3,2,1,""))</f>
        <v>4</v>
      </c>
      <c r="F187">
        <f>Table7[[#This Row],[Scores]] * 20</f>
        <v>80</v>
      </c>
      <c r="G187">
        <f>IF(OR(Table7[[#This Row],[Response]]="Strongly Agree",Table7[[#This Row],[Response]]="Agree"),1,0)</f>
        <v>1</v>
      </c>
      <c r="H187" t="str">
        <f>_xlfn.XLOOKUP(Table7[[#This Row],[QuestionID]], FinalQuestions!$A:$A, FinalQuestions!$D:$D,"")</f>
        <v>Sense of Belonging to the Organization</v>
      </c>
      <c r="I187" t="s">
        <v>265</v>
      </c>
    </row>
    <row r="188" spans="1:9" x14ac:dyDescent="0.35">
      <c r="A188" t="s">
        <v>93</v>
      </c>
      <c r="B188" t="s">
        <v>65</v>
      </c>
      <c r="C188" t="s">
        <v>2</v>
      </c>
      <c r="D188" t="str">
        <f>VLOOKUP(Table7[[#This Row],[QuestionID]], FinalQuestions!$A:$C, 3, FALSE)</f>
        <v>Commitment</v>
      </c>
      <c r="E188">
        <f>IF(Table7[[#This Row],[Response]]="","",CHOOSE(MATCH(Table7[[#This Row],[Response]],{"Strongly Agree","Agree","Neutral","Disagree","Strongly Disagree","Not Applicable"},0),5,4,3,2,1,""))</f>
        <v>4</v>
      </c>
      <c r="F188">
        <f>Table7[[#This Row],[Scores]] * 20</f>
        <v>80</v>
      </c>
      <c r="G188">
        <f>IF(OR(Table7[[#This Row],[Response]]="Strongly Agree",Table7[[#This Row],[Response]]="Agree"),1,0)</f>
        <v>1</v>
      </c>
      <c r="H188" t="str">
        <f>_xlfn.XLOOKUP(Table7[[#This Row],[QuestionID]], FinalQuestions!$A:$A, FinalQuestions!$D:$D,"")</f>
        <v>Consideration of Impact on Others</v>
      </c>
      <c r="I188" t="s">
        <v>265</v>
      </c>
    </row>
    <row r="189" spans="1:9" x14ac:dyDescent="0.35">
      <c r="A189" t="s">
        <v>93</v>
      </c>
      <c r="B189" t="s">
        <v>67</v>
      </c>
      <c r="C189" t="s">
        <v>2</v>
      </c>
      <c r="D189" t="str">
        <f>VLOOKUP(Table7[[#This Row],[QuestionID]], FinalQuestions!$A:$C, 3, FALSE)</f>
        <v>Commitment</v>
      </c>
      <c r="E189">
        <f>IF(Table7[[#This Row],[Response]]="","",CHOOSE(MATCH(Table7[[#This Row],[Response]],{"Strongly Agree","Agree","Neutral","Disagree","Strongly Disagree","Not Applicable"},0),5,4,3,2,1,""))</f>
        <v>4</v>
      </c>
      <c r="F189">
        <f>Table7[[#This Row],[Scores]] * 20</f>
        <v>80</v>
      </c>
      <c r="G189">
        <f>IF(OR(Table7[[#This Row],[Response]]="Strongly Agree",Table7[[#This Row],[Response]]="Agree"),1,0)</f>
        <v>1</v>
      </c>
      <c r="H189" t="str">
        <f>_xlfn.XLOOKUP(Table7[[#This Row],[QuestionID]], FinalQuestions!$A:$A, FinalQuestions!$D:$D,"")</f>
        <v>Accountability for Risk Actions</v>
      </c>
      <c r="I189" t="s">
        <v>265</v>
      </c>
    </row>
    <row r="190" spans="1:9" x14ac:dyDescent="0.35">
      <c r="A190" t="s">
        <v>93</v>
      </c>
      <c r="B190" t="s">
        <v>69</v>
      </c>
      <c r="C190" t="s">
        <v>2</v>
      </c>
      <c r="D190" t="str">
        <f>VLOOKUP(Table7[[#This Row],[QuestionID]], FinalQuestions!$A:$C, 3, FALSE)</f>
        <v>Call someone to account</v>
      </c>
      <c r="E190">
        <f>IF(Table7[[#This Row],[Response]]="","",CHOOSE(MATCH(Table7[[#This Row],[Response]],{"Strongly Agree","Agree","Neutral","Disagree","Strongly Disagree","Not Applicable"},0),5,4,3,2,1,""))</f>
        <v>4</v>
      </c>
      <c r="F190">
        <f>Table7[[#This Row],[Scores]] * 20</f>
        <v>80</v>
      </c>
      <c r="G190">
        <f>IF(OR(Table7[[#This Row],[Response]]="Strongly Agree",Table7[[#This Row],[Response]]="Agree"),1,0)</f>
        <v>1</v>
      </c>
      <c r="H190" t="str">
        <f>_xlfn.XLOOKUP(Table7[[#This Row],[QuestionID]], FinalQuestions!$A:$A, FinalQuestions!$D:$D,"")</f>
        <v xml:space="preserve">Peer to peer Accountability </v>
      </c>
      <c r="I190" t="s">
        <v>265</v>
      </c>
    </row>
    <row r="191" spans="1:9" x14ac:dyDescent="0.35">
      <c r="A191" t="s">
        <v>93</v>
      </c>
      <c r="B191" t="s">
        <v>71</v>
      </c>
      <c r="C191" t="s">
        <v>2</v>
      </c>
      <c r="D191" t="str">
        <f>VLOOKUP(Table7[[#This Row],[QuestionID]], FinalQuestions!$A:$C, 3, FALSE)</f>
        <v>Call someone to account</v>
      </c>
      <c r="E191">
        <f>IF(Table7[[#This Row],[Response]]="","",CHOOSE(MATCH(Table7[[#This Row],[Response]],{"Strongly Agree","Agree","Neutral","Disagree","Strongly Disagree","Not Applicable"},0),5,4,3,2,1,""))</f>
        <v>4</v>
      </c>
      <c r="F191">
        <f>Table7[[#This Row],[Scores]] * 20</f>
        <v>80</v>
      </c>
      <c r="G191">
        <f>IF(OR(Table7[[#This Row],[Response]]="Strongly Agree",Table7[[#This Row],[Response]]="Agree"),1,0)</f>
        <v>1</v>
      </c>
      <c r="H191" t="str">
        <f>_xlfn.XLOOKUP(Table7[[#This Row],[QuestionID]], FinalQuestions!$A:$A, FinalQuestions!$D:$D,"")</f>
        <v>Timely Resolution of Accountability Issues</v>
      </c>
      <c r="I191" t="s">
        <v>265</v>
      </c>
    </row>
    <row r="192" spans="1:9" x14ac:dyDescent="0.35">
      <c r="A192" t="s">
        <v>93</v>
      </c>
      <c r="B192" t="s">
        <v>73</v>
      </c>
      <c r="C192" t="s">
        <v>2</v>
      </c>
      <c r="D192" t="str">
        <f>VLOOKUP(Table7[[#This Row],[QuestionID]], FinalQuestions!$A:$C, 3, FALSE)</f>
        <v>Call someone to account</v>
      </c>
      <c r="E192">
        <f>IF(Table7[[#This Row],[Response]]="","",CHOOSE(MATCH(Table7[[#This Row],[Response]],{"Strongly Agree","Agree","Neutral","Disagree","Strongly Disagree","Not Applicable"},0),5,4,3,2,1,""))</f>
        <v>4</v>
      </c>
      <c r="F192">
        <f>Table7[[#This Row],[Scores]] * 20</f>
        <v>80</v>
      </c>
      <c r="G192">
        <f>IF(OR(Table7[[#This Row],[Response]]="Strongly Agree",Table7[[#This Row],[Response]]="Agree"),1,0)</f>
        <v>1</v>
      </c>
      <c r="H192" t="str">
        <f>_xlfn.XLOOKUP(Table7[[#This Row],[QuestionID]], FinalQuestions!$A:$A, FinalQuestions!$D:$D,"")</f>
        <v>Comfort for Reporting Non‑Compliance.</v>
      </c>
      <c r="I192" t="s">
        <v>265</v>
      </c>
    </row>
    <row r="193" spans="1:9" x14ac:dyDescent="0.35">
      <c r="A193" t="s">
        <v>93</v>
      </c>
      <c r="B193" t="s">
        <v>75</v>
      </c>
      <c r="C193" t="s">
        <v>2</v>
      </c>
      <c r="D193" t="str">
        <f>VLOOKUP(Table7[[#This Row],[QuestionID]], FinalQuestions!$A:$C, 3, FALSE)</f>
        <v>Call someone to account</v>
      </c>
      <c r="E193">
        <f>IF(Table7[[#This Row],[Response]]="","",CHOOSE(MATCH(Table7[[#This Row],[Response]],{"Strongly Agree","Agree","Neutral","Disagree","Strongly Disagree","Not Applicable"},0),5,4,3,2,1,""))</f>
        <v>4</v>
      </c>
      <c r="F193">
        <f>Table7[[#This Row],[Scores]] * 20</f>
        <v>80</v>
      </c>
      <c r="G193">
        <f>IF(OR(Table7[[#This Row],[Response]]="Strongly Agree",Table7[[#This Row],[Response]]="Agree"),1,0)</f>
        <v>1</v>
      </c>
      <c r="H193" t="str">
        <f>_xlfn.XLOOKUP(Table7[[#This Row],[QuestionID]], FinalQuestions!$A:$A, FinalQuestions!$D:$D,"")</f>
        <v>Consistency of Conduct Enforcement</v>
      </c>
      <c r="I193" t="s">
        <v>265</v>
      </c>
    </row>
    <row r="194" spans="1:9" x14ac:dyDescent="0.35">
      <c r="A194" t="s">
        <v>94</v>
      </c>
      <c r="B194" t="s">
        <v>13</v>
      </c>
      <c r="C194" t="s">
        <v>2</v>
      </c>
      <c r="D194" t="str">
        <f>VLOOKUP(Table7[[#This Row],[QuestionID]], FinalQuestions!$A:$C, 3, FALSE)</f>
        <v>Role Modelling</v>
      </c>
      <c r="E194">
        <f>IF(Table7[[#This Row],[Response]]="","",CHOOSE(MATCH(Table7[[#This Row],[Response]],{"Strongly Agree","Agree","Neutral","Disagree","Strongly Disagree","Not Applicable"},0),5,4,3,2,1,""))</f>
        <v>4</v>
      </c>
      <c r="F194">
        <f>Table7[[#This Row],[Scores]] * 20</f>
        <v>80</v>
      </c>
      <c r="G194">
        <f>IF(OR(Table7[[#This Row],[Response]]="Strongly Agree",Table7[[#This Row],[Response]]="Agree"),1,0)</f>
        <v>1</v>
      </c>
      <c r="H194" t="str">
        <f>_xlfn.XLOOKUP(Table7[[#This Row],[QuestionID]], FinalQuestions!$A:$A, FinalQuestions!$D:$D,"")</f>
        <v xml:space="preserve">Leadership Example‑Setting in Risk Management </v>
      </c>
      <c r="I194" t="s">
        <v>263</v>
      </c>
    </row>
    <row r="195" spans="1:9" x14ac:dyDescent="0.35">
      <c r="A195" t="s">
        <v>94</v>
      </c>
      <c r="B195" t="s">
        <v>15</v>
      </c>
      <c r="C195" t="s">
        <v>2</v>
      </c>
      <c r="D195" t="str">
        <f>VLOOKUP(Table7[[#This Row],[QuestionID]], FinalQuestions!$A:$C, 3, FALSE)</f>
        <v>Role Modelling</v>
      </c>
      <c r="E195">
        <f>IF(Table7[[#This Row],[Response]]="","",CHOOSE(MATCH(Table7[[#This Row],[Response]],{"Strongly Agree","Agree","Neutral","Disagree","Strongly Disagree","Not Applicable"},0),5,4,3,2,1,""))</f>
        <v>4</v>
      </c>
      <c r="F195">
        <f>Table7[[#This Row],[Scores]] * 20</f>
        <v>80</v>
      </c>
      <c r="G195">
        <f>IF(OR(Table7[[#This Row],[Response]]="Strongly Agree",Table7[[#This Row],[Response]]="Agree"),1,0)</f>
        <v>1</v>
      </c>
      <c r="H195" t="str">
        <f>_xlfn.XLOOKUP(Table7[[#This Row],[QuestionID]], FinalQuestions!$A:$A, FinalQuestions!$D:$D,"")</f>
        <v>Executive Commitment to Risk Culture</v>
      </c>
      <c r="I195" t="s">
        <v>263</v>
      </c>
    </row>
    <row r="196" spans="1:9" x14ac:dyDescent="0.35">
      <c r="A196" t="s">
        <v>94</v>
      </c>
      <c r="B196" t="s">
        <v>17</v>
      </c>
      <c r="C196" t="s">
        <v>2</v>
      </c>
      <c r="D196" t="str">
        <f>VLOOKUP(Table7[[#This Row],[QuestionID]], FinalQuestions!$A:$C, 3, FALSE)</f>
        <v>Role Modelling</v>
      </c>
      <c r="E196">
        <f>IF(Table7[[#This Row],[Response]]="","",CHOOSE(MATCH(Table7[[#This Row],[Response]],{"Strongly Agree","Agree","Neutral","Disagree","Strongly Disagree","Not Applicable"},0),5,4,3,2,1,""))</f>
        <v>4</v>
      </c>
      <c r="F196">
        <f>Table7[[#This Row],[Scores]] * 20</f>
        <v>80</v>
      </c>
      <c r="G196">
        <f>IF(OR(Table7[[#This Row],[Response]]="Strongly Agree",Table7[[#This Row],[Response]]="Agree"),1,0)</f>
        <v>1</v>
      </c>
      <c r="H196" t="str">
        <f>_xlfn.XLOOKUP(Table7[[#This Row],[QuestionID]], FinalQuestions!$A:$A, FinalQuestions!$D:$D,"")</f>
        <v>Leadership Encouragement to Escalate Risks</v>
      </c>
      <c r="I196" t="s">
        <v>263</v>
      </c>
    </row>
    <row r="197" spans="1:9" x14ac:dyDescent="0.35">
      <c r="A197" t="s">
        <v>94</v>
      </c>
      <c r="B197" t="s">
        <v>19</v>
      </c>
      <c r="C197" t="s">
        <v>2</v>
      </c>
      <c r="D197" t="str">
        <f>VLOOKUP(Table7[[#This Row],[QuestionID]], FinalQuestions!$A:$C, 3, FALSE)</f>
        <v>Role Modelling</v>
      </c>
      <c r="E197">
        <f>IF(Table7[[#This Row],[Response]]="","",CHOOSE(MATCH(Table7[[#This Row],[Response]],{"Strongly Agree","Agree","Neutral","Disagree","Strongly Disagree","Not Applicable"},0),5,4,3,2,1,""))</f>
        <v>4</v>
      </c>
      <c r="F197">
        <f>Table7[[#This Row],[Scores]] * 20</f>
        <v>80</v>
      </c>
      <c r="G197">
        <f>IF(OR(Table7[[#This Row],[Response]]="Strongly Agree",Table7[[#This Row],[Response]]="Agree"),1,0)</f>
        <v>1</v>
      </c>
      <c r="H197" t="str">
        <f>_xlfn.XLOOKUP(Table7[[#This Row],[QuestionID]], FinalQuestions!$A:$A, FinalQuestions!$D:$D,"")</f>
        <v>Long-Term Decision Awareness</v>
      </c>
      <c r="I197" t="s">
        <v>263</v>
      </c>
    </row>
    <row r="198" spans="1:9" x14ac:dyDescent="0.35">
      <c r="A198" t="s">
        <v>94</v>
      </c>
      <c r="B198" t="s">
        <v>21</v>
      </c>
      <c r="C198" t="s">
        <v>2</v>
      </c>
      <c r="D198" t="str">
        <f>VLOOKUP(Table7[[#This Row],[QuestionID]], FinalQuestions!$A:$C, 3, FALSE)</f>
        <v>Discussability</v>
      </c>
      <c r="E198">
        <f>IF(Table7[[#This Row],[Response]]="","",CHOOSE(MATCH(Table7[[#This Row],[Response]],{"Strongly Agree","Agree","Neutral","Disagree","Strongly Disagree","Not Applicable"},0),5,4,3,2,1,""))</f>
        <v>4</v>
      </c>
      <c r="F198">
        <f>Table7[[#This Row],[Scores]] * 20</f>
        <v>80</v>
      </c>
      <c r="G198">
        <f>IF(OR(Table7[[#This Row],[Response]]="Strongly Agree",Table7[[#This Row],[Response]]="Agree"),1,0)</f>
        <v>1</v>
      </c>
      <c r="H198" t="str">
        <f>_xlfn.XLOOKUP(Table7[[#This Row],[QuestionID]], FinalQuestions!$A:$A, FinalQuestions!$D:$D,"")</f>
        <v>Openness to Discussions</v>
      </c>
      <c r="I198" t="s">
        <v>263</v>
      </c>
    </row>
    <row r="199" spans="1:9" x14ac:dyDescent="0.35">
      <c r="A199" t="s">
        <v>94</v>
      </c>
      <c r="B199" t="s">
        <v>23</v>
      </c>
      <c r="C199" t="s">
        <v>2</v>
      </c>
      <c r="D199" t="str">
        <f>VLOOKUP(Table7[[#This Row],[QuestionID]], FinalQuestions!$A:$C, 3, FALSE)</f>
        <v>Discussability</v>
      </c>
      <c r="E199">
        <f>IF(Table7[[#This Row],[Response]]="","",CHOOSE(MATCH(Table7[[#This Row],[Response]],{"Strongly Agree","Agree","Neutral","Disagree","Strongly Disagree","Not Applicable"},0),5,4,3,2,1,""))</f>
        <v>4</v>
      </c>
      <c r="F199">
        <f>Table7[[#This Row],[Scores]] * 20</f>
        <v>80</v>
      </c>
      <c r="G199">
        <f>IF(OR(Table7[[#This Row],[Response]]="Strongly Agree",Table7[[#This Row],[Response]]="Agree"),1,0)</f>
        <v>1</v>
      </c>
      <c r="H199" t="str">
        <f>_xlfn.XLOOKUP(Table7[[#This Row],[QuestionID]], FinalQuestions!$A:$A, FinalQuestions!$D:$D,"")</f>
        <v>Access to Guidance</v>
      </c>
      <c r="I199" t="s">
        <v>263</v>
      </c>
    </row>
    <row r="200" spans="1:9" x14ac:dyDescent="0.35">
      <c r="A200" t="s">
        <v>94</v>
      </c>
      <c r="B200" t="s">
        <v>25</v>
      </c>
      <c r="C200" t="s">
        <v>2</v>
      </c>
      <c r="D200" t="str">
        <f>VLOOKUP(Table7[[#This Row],[QuestionID]], FinalQuestions!$A:$C, 3, FALSE)</f>
        <v>Discussability</v>
      </c>
      <c r="E200">
        <f>IF(Table7[[#This Row],[Response]]="","",CHOOSE(MATCH(Table7[[#This Row],[Response]],{"Strongly Agree","Agree","Neutral","Disagree","Strongly Disagree","Not Applicable"},0),5,4,3,2,1,""))</f>
        <v>4</v>
      </c>
      <c r="F200">
        <f>Table7[[#This Row],[Scores]] * 20</f>
        <v>80</v>
      </c>
      <c r="G200">
        <f>IF(OR(Table7[[#This Row],[Response]]="Strongly Agree",Table7[[#This Row],[Response]]="Agree"),1,0)</f>
        <v>1</v>
      </c>
      <c r="H200" t="str">
        <f>_xlfn.XLOOKUP(Table7[[#This Row],[QuestionID]], FinalQuestions!$A:$A, FinalQuestions!$D:$D,"")</f>
        <v>Openness to Sharing Opinions</v>
      </c>
      <c r="I200" t="s">
        <v>263</v>
      </c>
    </row>
    <row r="201" spans="1:9" x14ac:dyDescent="0.35">
      <c r="A201" t="s">
        <v>94</v>
      </c>
      <c r="B201" t="s">
        <v>27</v>
      </c>
      <c r="C201" t="s">
        <v>2</v>
      </c>
      <c r="D201" t="str">
        <f>VLOOKUP(Table7[[#This Row],[QuestionID]], FinalQuestions!$A:$C, 3, FALSE)</f>
        <v>Discussability</v>
      </c>
      <c r="E201">
        <f>IF(Table7[[#This Row],[Response]]="","",CHOOSE(MATCH(Table7[[#This Row],[Response]],{"Strongly Agree","Agree","Neutral","Disagree","Strongly Disagree","Not Applicable"},0),5,4,3,2,1,""))</f>
        <v>4</v>
      </c>
      <c r="F201">
        <f>Table7[[#This Row],[Scores]] * 20</f>
        <v>80</v>
      </c>
      <c r="G201">
        <f>IF(OR(Table7[[#This Row],[Response]]="Strongly Agree",Table7[[#This Row],[Response]]="Agree"),1,0)</f>
        <v>1</v>
      </c>
      <c r="H201" t="str">
        <f>_xlfn.XLOOKUP(Table7[[#This Row],[QuestionID]], FinalQuestions!$A:$A, FinalQuestions!$D:$D,"")</f>
        <v>Comfort in Reporting Risk Dilemmas</v>
      </c>
      <c r="I201" t="s">
        <v>263</v>
      </c>
    </row>
    <row r="202" spans="1:9" x14ac:dyDescent="0.35">
      <c r="A202" t="s">
        <v>94</v>
      </c>
      <c r="B202" t="s">
        <v>29</v>
      </c>
      <c r="C202" t="s">
        <v>2</v>
      </c>
      <c r="D202" t="str">
        <f>VLOOKUP(Table7[[#This Row],[QuestionID]], FinalQuestions!$A:$C, 3, FALSE)</f>
        <v>Achievability</v>
      </c>
      <c r="E202">
        <f>IF(Table7[[#This Row],[Response]]="","",CHOOSE(MATCH(Table7[[#This Row],[Response]],{"Strongly Agree","Agree","Neutral","Disagree","Strongly Disagree","Not Applicable"},0),5,4,3,2,1,""))</f>
        <v>4</v>
      </c>
      <c r="F202">
        <f>Table7[[#This Row],[Scores]] * 20</f>
        <v>80</v>
      </c>
      <c r="G202">
        <f>IF(OR(Table7[[#This Row],[Response]]="Strongly Agree",Table7[[#This Row],[Response]]="Agree"),1,0)</f>
        <v>1</v>
      </c>
      <c r="H202" t="str">
        <f>_xlfn.XLOOKUP(Table7[[#This Row],[QuestionID]], FinalQuestions!$A:$A, FinalQuestions!$D:$D,"")</f>
        <v>Adequacy of Risk Management Training</v>
      </c>
      <c r="I202" t="s">
        <v>263</v>
      </c>
    </row>
    <row r="203" spans="1:9" x14ac:dyDescent="0.35">
      <c r="A203" t="s">
        <v>94</v>
      </c>
      <c r="B203" t="s">
        <v>31</v>
      </c>
      <c r="C203" t="s">
        <v>4</v>
      </c>
      <c r="D203" t="str">
        <f>VLOOKUP(Table7[[#This Row],[QuestionID]], FinalQuestions!$A:$C, 3, FALSE)</f>
        <v>Achievability</v>
      </c>
      <c r="E203">
        <f>IF(Table7[[#This Row],[Response]]="","",CHOOSE(MATCH(Table7[[#This Row],[Response]],{"Strongly Agree","Agree","Neutral","Disagree","Strongly Disagree","Not Applicable"},0),5,4,3,2,1,""))</f>
        <v>3</v>
      </c>
      <c r="F203">
        <f>Table7[[#This Row],[Scores]] * 20</f>
        <v>60</v>
      </c>
      <c r="G203">
        <f>IF(OR(Table7[[#This Row],[Response]]="Strongly Agree",Table7[[#This Row],[Response]]="Agree"),1,0)</f>
        <v>0</v>
      </c>
      <c r="H203" t="str">
        <f>_xlfn.XLOOKUP(Table7[[#This Row],[QuestionID]], FinalQuestions!$A:$A, FinalQuestions!$D:$D,"")</f>
        <v>Workload Balance &amp; Resource Sufficiency</v>
      </c>
      <c r="I203" t="s">
        <v>263</v>
      </c>
    </row>
    <row r="204" spans="1:9" x14ac:dyDescent="0.35">
      <c r="A204" t="s">
        <v>94</v>
      </c>
      <c r="B204" t="s">
        <v>33</v>
      </c>
      <c r="C204" t="s">
        <v>4</v>
      </c>
      <c r="D204" t="str">
        <f>VLOOKUP(Table7[[#This Row],[QuestionID]], FinalQuestions!$A:$C, 3, FALSE)</f>
        <v>Achievability</v>
      </c>
      <c r="E204">
        <f>IF(Table7[[#This Row],[Response]]="","",CHOOSE(MATCH(Table7[[#This Row],[Response]],{"Strongly Agree","Agree","Neutral","Disagree","Strongly Disagree","Not Applicable"},0),5,4,3,2,1,""))</f>
        <v>3</v>
      </c>
      <c r="F204">
        <f>Table7[[#This Row],[Scores]] * 20</f>
        <v>60</v>
      </c>
      <c r="G204">
        <f>IF(OR(Table7[[#This Row],[Response]]="Strongly Agree",Table7[[#This Row],[Response]]="Agree"),1,0)</f>
        <v>0</v>
      </c>
      <c r="H204" t="str">
        <f>_xlfn.XLOOKUP(Table7[[#This Row],[QuestionID]], FinalQuestions!$A:$A, FinalQuestions!$D:$D,"")</f>
        <v>Realistic Target Setting</v>
      </c>
      <c r="I204" t="s">
        <v>263</v>
      </c>
    </row>
    <row r="205" spans="1:9" x14ac:dyDescent="0.35">
      <c r="A205" t="s">
        <v>94</v>
      </c>
      <c r="B205" t="s">
        <v>35</v>
      </c>
      <c r="C205" t="s">
        <v>4</v>
      </c>
      <c r="D205" t="str">
        <f>VLOOKUP(Table7[[#This Row],[QuestionID]], FinalQuestions!$A:$C, 3, FALSE)</f>
        <v>Achievability</v>
      </c>
      <c r="E205">
        <f>IF(Table7[[#This Row],[Response]]="","",CHOOSE(MATCH(Table7[[#This Row],[Response]],{"Strongly Agree","Agree","Neutral","Disagree","Strongly Disagree","Not Applicable"},0),5,4,3,2,1,""))</f>
        <v>3</v>
      </c>
      <c r="F205">
        <f>Table7[[#This Row],[Scores]] * 20</f>
        <v>60</v>
      </c>
      <c r="G205">
        <f>IF(OR(Table7[[#This Row],[Response]]="Strongly Agree",Table7[[#This Row],[Response]]="Agree"),1,0)</f>
        <v>0</v>
      </c>
      <c r="H205" t="str">
        <f>_xlfn.XLOOKUP(Table7[[#This Row],[QuestionID]], FinalQuestions!$A:$A, FinalQuestions!$D:$D,"")</f>
        <v>Risk Insight in Decision Making</v>
      </c>
      <c r="I205" t="s">
        <v>263</v>
      </c>
    </row>
    <row r="206" spans="1:9" x14ac:dyDescent="0.35">
      <c r="A206" t="s">
        <v>94</v>
      </c>
      <c r="B206" t="s">
        <v>37</v>
      </c>
      <c r="C206" t="s">
        <v>4</v>
      </c>
      <c r="D206" t="str">
        <f>VLOOKUP(Table7[[#This Row],[QuestionID]], FinalQuestions!$A:$C, 3, FALSE)</f>
        <v>Enforcement</v>
      </c>
      <c r="E206">
        <f>IF(Table7[[#This Row],[Response]]="","",CHOOSE(MATCH(Table7[[#This Row],[Response]],{"Strongly Agree","Agree","Neutral","Disagree","Strongly Disagree","Not Applicable"},0),5,4,3,2,1,""))</f>
        <v>3</v>
      </c>
      <c r="F206">
        <f>Table7[[#This Row],[Scores]] * 20</f>
        <v>60</v>
      </c>
      <c r="G206">
        <f>IF(OR(Table7[[#This Row],[Response]]="Strongly Agree",Table7[[#This Row],[Response]]="Agree"),1,0)</f>
        <v>0</v>
      </c>
      <c r="H206" t="str">
        <f>_xlfn.XLOOKUP(Table7[[#This Row],[QuestionID]], FinalQuestions!$A:$A, FinalQuestions!$D:$D,"")</f>
        <v>Learning Culture from Non‑Compliance Cases</v>
      </c>
      <c r="I206" t="s">
        <v>263</v>
      </c>
    </row>
    <row r="207" spans="1:9" x14ac:dyDescent="0.35">
      <c r="A207" t="s">
        <v>94</v>
      </c>
      <c r="B207" t="s">
        <v>39</v>
      </c>
      <c r="C207" t="s">
        <v>4</v>
      </c>
      <c r="D207" t="str">
        <f>VLOOKUP(Table7[[#This Row],[QuestionID]], FinalQuestions!$A:$C, 3, FALSE)</f>
        <v>Enforcement</v>
      </c>
      <c r="E207">
        <f>IF(Table7[[#This Row],[Response]]="","",CHOOSE(MATCH(Table7[[#This Row],[Response]],{"Strongly Agree","Agree","Neutral","Disagree","Strongly Disagree","Not Applicable"},0),5,4,3,2,1,""))</f>
        <v>3</v>
      </c>
      <c r="F207">
        <f>Table7[[#This Row],[Scores]] * 20</f>
        <v>60</v>
      </c>
      <c r="G207">
        <f>IF(OR(Table7[[#This Row],[Response]]="Strongly Agree",Table7[[#This Row],[Response]]="Agree"),1,0)</f>
        <v>0</v>
      </c>
      <c r="H207" t="str">
        <f>_xlfn.XLOOKUP(Table7[[#This Row],[QuestionID]], FinalQuestions!$A:$A, FinalQuestions!$D:$D,"")</f>
        <v>Organizational View on Risk Culture</v>
      </c>
      <c r="I207" t="s">
        <v>263</v>
      </c>
    </row>
    <row r="208" spans="1:9" x14ac:dyDescent="0.35">
      <c r="A208" t="s">
        <v>94</v>
      </c>
      <c r="B208" t="s">
        <v>41</v>
      </c>
      <c r="C208" t="s">
        <v>4</v>
      </c>
      <c r="D208" t="str">
        <f>VLOOKUP(Table7[[#This Row],[QuestionID]], FinalQuestions!$A:$C, 3, FALSE)</f>
        <v>Enforcement</v>
      </c>
      <c r="E208">
        <f>IF(Table7[[#This Row],[Response]]="","",CHOOSE(MATCH(Table7[[#This Row],[Response]],{"Strongly Agree","Agree","Neutral","Disagree","Strongly Disagree","Not Applicable"},0),5,4,3,2,1,""))</f>
        <v>3</v>
      </c>
      <c r="F208">
        <f>Table7[[#This Row],[Scores]] * 20</f>
        <v>60</v>
      </c>
      <c r="G208">
        <f>IF(OR(Table7[[#This Row],[Response]]="Strongly Agree",Table7[[#This Row],[Response]]="Agree"),1,0)</f>
        <v>0</v>
      </c>
      <c r="H208" t="str">
        <f>_xlfn.XLOOKUP(Table7[[#This Row],[QuestionID]], FinalQuestions!$A:$A, FinalQuestions!$D:$D,"")</f>
        <v>Compliance Recognition &amp; enforcement</v>
      </c>
      <c r="I208" t="s">
        <v>263</v>
      </c>
    </row>
    <row r="209" spans="1:9" x14ac:dyDescent="0.35">
      <c r="A209" t="s">
        <v>94</v>
      </c>
      <c r="B209" t="s">
        <v>43</v>
      </c>
      <c r="C209" t="s">
        <v>4</v>
      </c>
      <c r="D209" t="str">
        <f>VLOOKUP(Table7[[#This Row],[QuestionID]], FinalQuestions!$A:$C, 3, FALSE)</f>
        <v>Enforcement</v>
      </c>
      <c r="E209">
        <f>IF(Table7[[#This Row],[Response]]="","",CHOOSE(MATCH(Table7[[#This Row],[Response]],{"Strongly Agree","Agree","Neutral","Disagree","Strongly Disagree","Not Applicable"},0),5,4,3,2,1,""))</f>
        <v>3</v>
      </c>
      <c r="F209">
        <f>Table7[[#This Row],[Scores]] * 20</f>
        <v>60</v>
      </c>
      <c r="G209">
        <f>IF(OR(Table7[[#This Row],[Response]]="Strongly Agree",Table7[[#This Row],[Response]]="Agree"),1,0)</f>
        <v>0</v>
      </c>
      <c r="H209" t="str">
        <f>_xlfn.XLOOKUP(Table7[[#This Row],[QuestionID]], FinalQuestions!$A:$A, FinalQuestions!$D:$D,"")</f>
        <v>Sense of Ownership</v>
      </c>
      <c r="I209" t="s">
        <v>263</v>
      </c>
    </row>
    <row r="210" spans="1:9" x14ac:dyDescent="0.35">
      <c r="A210" t="s">
        <v>94</v>
      </c>
      <c r="B210" t="s">
        <v>45</v>
      </c>
      <c r="C210" t="s">
        <v>4</v>
      </c>
      <c r="D210" t="str">
        <f>VLOOKUP(Table7[[#This Row],[QuestionID]], FinalQuestions!$A:$C, 3, FALSE)</f>
        <v>Clarity</v>
      </c>
      <c r="E210">
        <f>IF(Table7[[#This Row],[Response]]="","",CHOOSE(MATCH(Table7[[#This Row],[Response]],{"Strongly Agree","Agree","Neutral","Disagree","Strongly Disagree","Not Applicable"},0),5,4,3,2,1,""))</f>
        <v>3</v>
      </c>
      <c r="F210">
        <f>Table7[[#This Row],[Scores]] * 20</f>
        <v>60</v>
      </c>
      <c r="G210">
        <f>IF(OR(Table7[[#This Row],[Response]]="Strongly Agree",Table7[[#This Row],[Response]]="Agree"),1,0)</f>
        <v>0</v>
      </c>
      <c r="H210" t="str">
        <f>_xlfn.XLOOKUP(Table7[[#This Row],[QuestionID]], FinalQuestions!$A:$A, FinalQuestions!$D:$D,"")</f>
        <v>Clarity of Role and Responsibilities</v>
      </c>
      <c r="I210" t="s">
        <v>263</v>
      </c>
    </row>
    <row r="211" spans="1:9" x14ac:dyDescent="0.35">
      <c r="A211" t="s">
        <v>94</v>
      </c>
      <c r="B211" t="s">
        <v>47</v>
      </c>
      <c r="C211" t="s">
        <v>4</v>
      </c>
      <c r="D211" t="str">
        <f>VLOOKUP(Table7[[#This Row],[QuestionID]], FinalQuestions!$A:$C, 3, FALSE)</f>
        <v>Clarity</v>
      </c>
      <c r="E211">
        <f>IF(Table7[[#This Row],[Response]]="","",CHOOSE(MATCH(Table7[[#This Row],[Response]],{"Strongly Agree","Agree","Neutral","Disagree","Strongly Disagree","Not Applicable"},0),5,4,3,2,1,""))</f>
        <v>3</v>
      </c>
      <c r="F211">
        <f>Table7[[#This Row],[Scores]] * 20</f>
        <v>60</v>
      </c>
      <c r="G211">
        <f>IF(OR(Table7[[#This Row],[Response]]="Strongly Agree",Table7[[#This Row],[Response]]="Agree"),1,0)</f>
        <v>0</v>
      </c>
      <c r="H211" t="str">
        <f>_xlfn.XLOOKUP(Table7[[#This Row],[QuestionID]], FinalQuestions!$A:$A, FinalQuestions!$D:$D,"")</f>
        <v>Understanding of Risk Policies &amp; Procedures</v>
      </c>
      <c r="I211" t="s">
        <v>263</v>
      </c>
    </row>
    <row r="212" spans="1:9" x14ac:dyDescent="0.35">
      <c r="A212" t="s">
        <v>94</v>
      </c>
      <c r="B212" t="s">
        <v>49</v>
      </c>
      <c r="C212" t="s">
        <v>4</v>
      </c>
      <c r="D212" t="str">
        <f>VLOOKUP(Table7[[#This Row],[QuestionID]], FinalQuestions!$A:$C, 3, FALSE)</f>
        <v>Clarity</v>
      </c>
      <c r="E212">
        <f>IF(Table7[[#This Row],[Response]]="","",CHOOSE(MATCH(Table7[[#This Row],[Response]],{"Strongly Agree","Agree","Neutral","Disagree","Strongly Disagree","Not Applicable"},0),5,4,3,2,1,""))</f>
        <v>3</v>
      </c>
      <c r="F212">
        <f>Table7[[#This Row],[Scores]] * 20</f>
        <v>60</v>
      </c>
      <c r="G212">
        <f>IF(OR(Table7[[#This Row],[Response]]="Strongly Agree",Table7[[#This Row],[Response]]="Agree"),1,0)</f>
        <v>0</v>
      </c>
      <c r="H212" t="str">
        <f>_xlfn.XLOOKUP(Table7[[#This Row],[QuestionID]], FinalQuestions!$A:$A, FinalQuestions!$D:$D,"")</f>
        <v>Clarity of Personal Risk Boundaries</v>
      </c>
      <c r="I212" t="s">
        <v>263</v>
      </c>
    </row>
    <row r="213" spans="1:9" x14ac:dyDescent="0.35">
      <c r="A213" t="s">
        <v>94</v>
      </c>
      <c r="B213" t="s">
        <v>51</v>
      </c>
      <c r="C213" t="s">
        <v>4</v>
      </c>
      <c r="D213" t="str">
        <f>VLOOKUP(Table7[[#This Row],[QuestionID]], FinalQuestions!$A:$C, 3, FALSE)</f>
        <v>Clarity</v>
      </c>
      <c r="E213">
        <f>IF(Table7[[#This Row],[Response]]="","",CHOOSE(MATCH(Table7[[#This Row],[Response]],{"Strongly Agree","Agree","Neutral","Disagree","Strongly Disagree","Not Applicable"},0),5,4,3,2,1,""))</f>
        <v>3</v>
      </c>
      <c r="F213">
        <f>Table7[[#This Row],[Scores]] * 20</f>
        <v>60</v>
      </c>
      <c r="G213">
        <f>IF(OR(Table7[[#This Row],[Response]]="Strongly Agree",Table7[[#This Row],[Response]]="Agree"),1,0)</f>
        <v>0</v>
      </c>
      <c r="H213" t="str">
        <f>_xlfn.XLOOKUP(Table7[[#This Row],[QuestionID]], FinalQuestions!$A:$A, FinalQuestions!$D:$D,"")</f>
        <v>Effectiveness of Risk Communication &amp; Training</v>
      </c>
      <c r="I213" t="s">
        <v>263</v>
      </c>
    </row>
    <row r="214" spans="1:9" x14ac:dyDescent="0.35">
      <c r="A214" t="s">
        <v>94</v>
      </c>
      <c r="B214" t="s">
        <v>53</v>
      </c>
      <c r="C214" t="s">
        <v>4</v>
      </c>
      <c r="D214" t="str">
        <f>VLOOKUP(Table7[[#This Row],[QuestionID]], FinalQuestions!$A:$C, 3, FALSE)</f>
        <v>Transparency</v>
      </c>
      <c r="E214">
        <f>IF(Table7[[#This Row],[Response]]="","",CHOOSE(MATCH(Table7[[#This Row],[Response]],{"Strongly Agree","Agree","Neutral","Disagree","Strongly Disagree","Not Applicable"},0),5,4,3,2,1,""))</f>
        <v>3</v>
      </c>
      <c r="F214">
        <f>Table7[[#This Row],[Scores]] * 20</f>
        <v>60</v>
      </c>
      <c r="G214">
        <f>IF(OR(Table7[[#This Row],[Response]]="Strongly Agree",Table7[[#This Row],[Response]]="Agree"),1,0)</f>
        <v>0</v>
      </c>
      <c r="H214" t="str">
        <f>_xlfn.XLOOKUP(Table7[[#This Row],[QuestionID]], FinalQuestions!$A:$A, FinalQuestions!$D:$D,"")</f>
        <v>Compliance Confidence in team</v>
      </c>
      <c r="I214" t="s">
        <v>263</v>
      </c>
    </row>
    <row r="215" spans="1:9" x14ac:dyDescent="0.35">
      <c r="A215" t="s">
        <v>94</v>
      </c>
      <c r="B215" t="s">
        <v>55</v>
      </c>
      <c r="C215" t="s">
        <v>4</v>
      </c>
      <c r="D215" t="str">
        <f>VLOOKUP(Table7[[#This Row],[QuestionID]], FinalQuestions!$A:$C, 3, FALSE)</f>
        <v>Transparency</v>
      </c>
      <c r="E215">
        <f>IF(Table7[[#This Row],[Response]]="","",CHOOSE(MATCH(Table7[[#This Row],[Response]],{"Strongly Agree","Agree","Neutral","Disagree","Strongly Disagree","Not Applicable"},0),5,4,3,2,1,""))</f>
        <v>3</v>
      </c>
      <c r="F215">
        <f>Table7[[#This Row],[Scores]] * 20</f>
        <v>60</v>
      </c>
      <c r="G215">
        <f>IF(OR(Table7[[#This Row],[Response]]="Strongly Agree",Table7[[#This Row],[Response]]="Agree"),1,0)</f>
        <v>0</v>
      </c>
      <c r="H215" t="str">
        <f>_xlfn.XLOOKUP(Table7[[#This Row],[QuestionID]], FinalQuestions!$A:$A, FinalQuestions!$D:$D,"")</f>
        <v>Transparency in Decision‑Making</v>
      </c>
      <c r="I215" t="s">
        <v>263</v>
      </c>
    </row>
    <row r="216" spans="1:9" x14ac:dyDescent="0.35">
      <c r="A216" t="s">
        <v>94</v>
      </c>
      <c r="B216" t="s">
        <v>57</v>
      </c>
      <c r="C216" t="s">
        <v>4</v>
      </c>
      <c r="D216" t="str">
        <f>VLOOKUP(Table7[[#This Row],[QuestionID]], FinalQuestions!$A:$C, 3, FALSE)</f>
        <v>Transparency</v>
      </c>
      <c r="E216">
        <f>IF(Table7[[#This Row],[Response]]="","",CHOOSE(MATCH(Table7[[#This Row],[Response]],{"Strongly Agree","Agree","Neutral","Disagree","Strongly Disagree","Not Applicable"},0),5,4,3,2,1,""))</f>
        <v>3</v>
      </c>
      <c r="F216">
        <f>Table7[[#This Row],[Scores]] * 20</f>
        <v>60</v>
      </c>
      <c r="G216">
        <f>IF(OR(Table7[[#This Row],[Response]]="Strongly Agree",Table7[[#This Row],[Response]]="Agree"),1,0)</f>
        <v>0</v>
      </c>
      <c r="H216" t="str">
        <f>_xlfn.XLOOKUP(Table7[[#This Row],[QuestionID]], FinalQuestions!$A:$A, FinalQuestions!$D:$D,"")</f>
        <v>Fairness &amp; Equity of Expectations</v>
      </c>
      <c r="I216" t="s">
        <v>263</v>
      </c>
    </row>
    <row r="217" spans="1:9" x14ac:dyDescent="0.35">
      <c r="A217" t="s">
        <v>94</v>
      </c>
      <c r="B217" t="s">
        <v>59</v>
      </c>
      <c r="C217" t="s">
        <v>4</v>
      </c>
      <c r="D217" t="str">
        <f>VLOOKUP(Table7[[#This Row],[QuestionID]], FinalQuestions!$A:$C, 3, FALSE)</f>
        <v>Transparency</v>
      </c>
      <c r="E217">
        <f>IF(Table7[[#This Row],[Response]]="","",CHOOSE(MATCH(Table7[[#This Row],[Response]],{"Strongly Agree","Agree","Neutral","Disagree","Strongly Disagree","Not Applicable"},0),5,4,3,2,1,""))</f>
        <v>3</v>
      </c>
      <c r="F217">
        <f>Table7[[#This Row],[Scores]] * 20</f>
        <v>60</v>
      </c>
      <c r="G217">
        <f>IF(OR(Table7[[#This Row],[Response]]="Strongly Agree",Table7[[#This Row],[Response]]="Agree"),1,0)</f>
        <v>0</v>
      </c>
      <c r="H217" t="str">
        <f>_xlfn.XLOOKUP(Table7[[#This Row],[QuestionID]], FinalQuestions!$A:$A, FinalQuestions!$D:$D,"")</f>
        <v>Leadership Awareness in the team</v>
      </c>
      <c r="I217" t="s">
        <v>263</v>
      </c>
    </row>
    <row r="218" spans="1:9" x14ac:dyDescent="0.35">
      <c r="A218" t="s">
        <v>94</v>
      </c>
      <c r="B218" t="s">
        <v>61</v>
      </c>
      <c r="C218" t="s">
        <v>4</v>
      </c>
      <c r="D218" t="str">
        <f>VLOOKUP(Table7[[#This Row],[QuestionID]], FinalQuestions!$A:$C, 3, FALSE)</f>
        <v>Commitment</v>
      </c>
      <c r="E218">
        <f>IF(Table7[[#This Row],[Response]]="","",CHOOSE(MATCH(Table7[[#This Row],[Response]],{"Strongly Agree","Agree","Neutral","Disagree","Strongly Disagree","Not Applicable"},0),5,4,3,2,1,""))</f>
        <v>3</v>
      </c>
      <c r="F218">
        <f>Table7[[#This Row],[Scores]] * 20</f>
        <v>60</v>
      </c>
      <c r="G218">
        <f>IF(OR(Table7[[#This Row],[Response]]="Strongly Agree",Table7[[#This Row],[Response]]="Agree"),1,0)</f>
        <v>0</v>
      </c>
      <c r="H218" t="str">
        <f>_xlfn.XLOOKUP(Table7[[#This Row],[QuestionID]], FinalQuestions!$A:$A, FinalQuestions!$D:$D,"")</f>
        <v>Motivation for Risk Ownership</v>
      </c>
      <c r="I218" t="s">
        <v>263</v>
      </c>
    </row>
    <row r="219" spans="1:9" x14ac:dyDescent="0.35">
      <c r="A219" t="s">
        <v>94</v>
      </c>
      <c r="B219" t="s">
        <v>63</v>
      </c>
      <c r="C219" t="s">
        <v>4</v>
      </c>
      <c r="D219" t="str">
        <f>VLOOKUP(Table7[[#This Row],[QuestionID]], FinalQuestions!$A:$C, 3, FALSE)</f>
        <v>Commitment</v>
      </c>
      <c r="E219">
        <f>IF(Table7[[#This Row],[Response]]="","",CHOOSE(MATCH(Table7[[#This Row],[Response]],{"Strongly Agree","Agree","Neutral","Disagree","Strongly Disagree","Not Applicable"},0),5,4,3,2,1,""))</f>
        <v>3</v>
      </c>
      <c r="F219">
        <f>Table7[[#This Row],[Scores]] * 20</f>
        <v>60</v>
      </c>
      <c r="G219">
        <f>IF(OR(Table7[[#This Row],[Response]]="Strongly Agree",Table7[[#This Row],[Response]]="Agree"),1,0)</f>
        <v>0</v>
      </c>
      <c r="H219" t="str">
        <f>_xlfn.XLOOKUP(Table7[[#This Row],[QuestionID]], FinalQuestions!$A:$A, FinalQuestions!$D:$D,"")</f>
        <v>Sense of Belonging to the Organization</v>
      </c>
      <c r="I219" t="s">
        <v>263</v>
      </c>
    </row>
    <row r="220" spans="1:9" x14ac:dyDescent="0.35">
      <c r="A220" t="s">
        <v>94</v>
      </c>
      <c r="B220" t="s">
        <v>65</v>
      </c>
      <c r="C220" t="s">
        <v>4</v>
      </c>
      <c r="D220" t="str">
        <f>VLOOKUP(Table7[[#This Row],[QuestionID]], FinalQuestions!$A:$C, 3, FALSE)</f>
        <v>Commitment</v>
      </c>
      <c r="E220">
        <f>IF(Table7[[#This Row],[Response]]="","",CHOOSE(MATCH(Table7[[#This Row],[Response]],{"Strongly Agree","Agree","Neutral","Disagree","Strongly Disagree","Not Applicable"},0),5,4,3,2,1,""))</f>
        <v>3</v>
      </c>
      <c r="F220">
        <f>Table7[[#This Row],[Scores]] * 20</f>
        <v>60</v>
      </c>
      <c r="G220">
        <f>IF(OR(Table7[[#This Row],[Response]]="Strongly Agree",Table7[[#This Row],[Response]]="Agree"),1,0)</f>
        <v>0</v>
      </c>
      <c r="H220" t="str">
        <f>_xlfn.XLOOKUP(Table7[[#This Row],[QuestionID]], FinalQuestions!$A:$A, FinalQuestions!$D:$D,"")</f>
        <v>Consideration of Impact on Others</v>
      </c>
      <c r="I220" t="s">
        <v>263</v>
      </c>
    </row>
    <row r="221" spans="1:9" x14ac:dyDescent="0.35">
      <c r="A221" t="s">
        <v>94</v>
      </c>
      <c r="B221" t="s">
        <v>67</v>
      </c>
      <c r="C221" t="s">
        <v>4</v>
      </c>
      <c r="D221" t="str">
        <f>VLOOKUP(Table7[[#This Row],[QuestionID]], FinalQuestions!$A:$C, 3, FALSE)</f>
        <v>Commitment</v>
      </c>
      <c r="E221">
        <f>IF(Table7[[#This Row],[Response]]="","",CHOOSE(MATCH(Table7[[#This Row],[Response]],{"Strongly Agree","Agree","Neutral","Disagree","Strongly Disagree","Not Applicable"},0),5,4,3,2,1,""))</f>
        <v>3</v>
      </c>
      <c r="F221">
        <f>Table7[[#This Row],[Scores]] * 20</f>
        <v>60</v>
      </c>
      <c r="G221">
        <f>IF(OR(Table7[[#This Row],[Response]]="Strongly Agree",Table7[[#This Row],[Response]]="Agree"),1,0)</f>
        <v>0</v>
      </c>
      <c r="H221" t="str">
        <f>_xlfn.XLOOKUP(Table7[[#This Row],[QuestionID]], FinalQuestions!$A:$A, FinalQuestions!$D:$D,"")</f>
        <v>Accountability for Risk Actions</v>
      </c>
      <c r="I221" t="s">
        <v>263</v>
      </c>
    </row>
    <row r="222" spans="1:9" x14ac:dyDescent="0.35">
      <c r="A222" t="s">
        <v>94</v>
      </c>
      <c r="B222" t="s">
        <v>69</v>
      </c>
      <c r="C222" t="s">
        <v>4</v>
      </c>
      <c r="D222" t="str">
        <f>VLOOKUP(Table7[[#This Row],[QuestionID]], FinalQuestions!$A:$C, 3, FALSE)</f>
        <v>Call someone to account</v>
      </c>
      <c r="E222">
        <f>IF(Table7[[#This Row],[Response]]="","",CHOOSE(MATCH(Table7[[#This Row],[Response]],{"Strongly Agree","Agree","Neutral","Disagree","Strongly Disagree","Not Applicable"},0),5,4,3,2,1,""))</f>
        <v>3</v>
      </c>
      <c r="F222">
        <f>Table7[[#This Row],[Scores]] * 20</f>
        <v>60</v>
      </c>
      <c r="G222">
        <f>IF(OR(Table7[[#This Row],[Response]]="Strongly Agree",Table7[[#This Row],[Response]]="Agree"),1,0)</f>
        <v>0</v>
      </c>
      <c r="H222" t="str">
        <f>_xlfn.XLOOKUP(Table7[[#This Row],[QuestionID]], FinalQuestions!$A:$A, FinalQuestions!$D:$D,"")</f>
        <v xml:space="preserve">Peer to peer Accountability </v>
      </c>
      <c r="I222" t="s">
        <v>263</v>
      </c>
    </row>
    <row r="223" spans="1:9" x14ac:dyDescent="0.35">
      <c r="A223" t="s">
        <v>94</v>
      </c>
      <c r="B223" t="s">
        <v>71</v>
      </c>
      <c r="C223" t="s">
        <v>4</v>
      </c>
      <c r="D223" t="str">
        <f>VLOOKUP(Table7[[#This Row],[QuestionID]], FinalQuestions!$A:$C, 3, FALSE)</f>
        <v>Call someone to account</v>
      </c>
      <c r="E223">
        <f>IF(Table7[[#This Row],[Response]]="","",CHOOSE(MATCH(Table7[[#This Row],[Response]],{"Strongly Agree","Agree","Neutral","Disagree","Strongly Disagree","Not Applicable"},0),5,4,3,2,1,""))</f>
        <v>3</v>
      </c>
      <c r="F223">
        <f>Table7[[#This Row],[Scores]] * 20</f>
        <v>60</v>
      </c>
      <c r="G223">
        <f>IF(OR(Table7[[#This Row],[Response]]="Strongly Agree",Table7[[#This Row],[Response]]="Agree"),1,0)</f>
        <v>0</v>
      </c>
      <c r="H223" t="str">
        <f>_xlfn.XLOOKUP(Table7[[#This Row],[QuestionID]], FinalQuestions!$A:$A, FinalQuestions!$D:$D,"")</f>
        <v>Timely Resolution of Accountability Issues</v>
      </c>
      <c r="I223" t="s">
        <v>263</v>
      </c>
    </row>
    <row r="224" spans="1:9" x14ac:dyDescent="0.35">
      <c r="A224" t="s">
        <v>94</v>
      </c>
      <c r="B224" t="s">
        <v>73</v>
      </c>
      <c r="C224" t="s">
        <v>4</v>
      </c>
      <c r="D224" t="str">
        <f>VLOOKUP(Table7[[#This Row],[QuestionID]], FinalQuestions!$A:$C, 3, FALSE)</f>
        <v>Call someone to account</v>
      </c>
      <c r="E224">
        <f>IF(Table7[[#This Row],[Response]]="","",CHOOSE(MATCH(Table7[[#This Row],[Response]],{"Strongly Agree","Agree","Neutral","Disagree","Strongly Disagree","Not Applicable"},0),5,4,3,2,1,""))</f>
        <v>3</v>
      </c>
      <c r="F224">
        <f>Table7[[#This Row],[Scores]] * 20</f>
        <v>60</v>
      </c>
      <c r="G224">
        <f>IF(OR(Table7[[#This Row],[Response]]="Strongly Agree",Table7[[#This Row],[Response]]="Agree"),1,0)</f>
        <v>0</v>
      </c>
      <c r="H224" t="str">
        <f>_xlfn.XLOOKUP(Table7[[#This Row],[QuestionID]], FinalQuestions!$A:$A, FinalQuestions!$D:$D,"")</f>
        <v>Comfort for Reporting Non‑Compliance.</v>
      </c>
      <c r="I224" t="s">
        <v>263</v>
      </c>
    </row>
    <row r="225" spans="1:9" x14ac:dyDescent="0.35">
      <c r="A225" t="s">
        <v>94</v>
      </c>
      <c r="B225" t="s">
        <v>75</v>
      </c>
      <c r="C225" t="s">
        <v>4</v>
      </c>
      <c r="D225" t="str">
        <f>VLOOKUP(Table7[[#This Row],[QuestionID]], FinalQuestions!$A:$C, 3, FALSE)</f>
        <v>Call someone to account</v>
      </c>
      <c r="E225">
        <f>IF(Table7[[#This Row],[Response]]="","",CHOOSE(MATCH(Table7[[#This Row],[Response]],{"Strongly Agree","Agree","Neutral","Disagree","Strongly Disagree","Not Applicable"},0),5,4,3,2,1,""))</f>
        <v>3</v>
      </c>
      <c r="F225">
        <f>Table7[[#This Row],[Scores]] * 20</f>
        <v>60</v>
      </c>
      <c r="G225">
        <f>IF(OR(Table7[[#This Row],[Response]]="Strongly Agree",Table7[[#This Row],[Response]]="Agree"),1,0)</f>
        <v>0</v>
      </c>
      <c r="H225" t="str">
        <f>_xlfn.XLOOKUP(Table7[[#This Row],[QuestionID]], FinalQuestions!$A:$A, FinalQuestions!$D:$D,"")</f>
        <v>Consistency of Conduct Enforcement</v>
      </c>
      <c r="I225" t="s">
        <v>263</v>
      </c>
    </row>
    <row r="226" spans="1:9" x14ac:dyDescent="0.35">
      <c r="A226" t="s">
        <v>95</v>
      </c>
      <c r="B226" t="s">
        <v>13</v>
      </c>
      <c r="C226" t="s">
        <v>4</v>
      </c>
      <c r="D226" t="str">
        <f>VLOOKUP(Table7[[#This Row],[QuestionID]], FinalQuestions!$A:$C, 3, FALSE)</f>
        <v>Role Modelling</v>
      </c>
      <c r="E226">
        <f>IF(Table7[[#This Row],[Response]]="","",CHOOSE(MATCH(Table7[[#This Row],[Response]],{"Strongly Agree","Agree","Neutral","Disagree","Strongly Disagree","Not Applicable"},0),5,4,3,2,1,""))</f>
        <v>3</v>
      </c>
      <c r="F226">
        <f>Table7[[#This Row],[Scores]] * 20</f>
        <v>60</v>
      </c>
      <c r="G226">
        <f>IF(OR(Table7[[#This Row],[Response]]="Strongly Agree",Table7[[#This Row],[Response]]="Agree"),1,0)</f>
        <v>0</v>
      </c>
      <c r="H226" t="str">
        <f>_xlfn.XLOOKUP(Table7[[#This Row],[QuestionID]], FinalQuestions!$A:$A, FinalQuestions!$D:$D,"")</f>
        <v xml:space="preserve">Leadership Example‑Setting in Risk Management </v>
      </c>
      <c r="I226" t="s">
        <v>266</v>
      </c>
    </row>
    <row r="227" spans="1:9" x14ac:dyDescent="0.35">
      <c r="A227" t="s">
        <v>95</v>
      </c>
      <c r="B227" t="s">
        <v>15</v>
      </c>
      <c r="C227" t="s">
        <v>4</v>
      </c>
      <c r="D227" t="str">
        <f>VLOOKUP(Table7[[#This Row],[QuestionID]], FinalQuestions!$A:$C, 3, FALSE)</f>
        <v>Role Modelling</v>
      </c>
      <c r="E227">
        <f>IF(Table7[[#This Row],[Response]]="","",CHOOSE(MATCH(Table7[[#This Row],[Response]],{"Strongly Agree","Agree","Neutral","Disagree","Strongly Disagree","Not Applicable"},0),5,4,3,2,1,""))</f>
        <v>3</v>
      </c>
      <c r="F227">
        <f>Table7[[#This Row],[Scores]] * 20</f>
        <v>60</v>
      </c>
      <c r="G227">
        <f>IF(OR(Table7[[#This Row],[Response]]="Strongly Agree",Table7[[#This Row],[Response]]="Agree"),1,0)</f>
        <v>0</v>
      </c>
      <c r="H227" t="str">
        <f>_xlfn.XLOOKUP(Table7[[#This Row],[QuestionID]], FinalQuestions!$A:$A, FinalQuestions!$D:$D,"")</f>
        <v>Executive Commitment to Risk Culture</v>
      </c>
      <c r="I227" t="s">
        <v>266</v>
      </c>
    </row>
    <row r="228" spans="1:9" x14ac:dyDescent="0.35">
      <c r="A228" t="s">
        <v>95</v>
      </c>
      <c r="B228" t="s">
        <v>17</v>
      </c>
      <c r="C228" t="s">
        <v>4</v>
      </c>
      <c r="D228" t="str">
        <f>VLOOKUP(Table7[[#This Row],[QuestionID]], FinalQuestions!$A:$C, 3, FALSE)</f>
        <v>Role Modelling</v>
      </c>
      <c r="E228">
        <f>IF(Table7[[#This Row],[Response]]="","",CHOOSE(MATCH(Table7[[#This Row],[Response]],{"Strongly Agree","Agree","Neutral","Disagree","Strongly Disagree","Not Applicable"},0),5,4,3,2,1,""))</f>
        <v>3</v>
      </c>
      <c r="F228">
        <f>Table7[[#This Row],[Scores]] * 20</f>
        <v>60</v>
      </c>
      <c r="G228">
        <f>IF(OR(Table7[[#This Row],[Response]]="Strongly Agree",Table7[[#This Row],[Response]]="Agree"),1,0)</f>
        <v>0</v>
      </c>
      <c r="H228" t="str">
        <f>_xlfn.XLOOKUP(Table7[[#This Row],[QuestionID]], FinalQuestions!$A:$A, FinalQuestions!$D:$D,"")</f>
        <v>Leadership Encouragement to Escalate Risks</v>
      </c>
      <c r="I228" t="s">
        <v>266</v>
      </c>
    </row>
    <row r="229" spans="1:9" x14ac:dyDescent="0.35">
      <c r="A229" t="s">
        <v>95</v>
      </c>
      <c r="B229" t="s">
        <v>19</v>
      </c>
      <c r="C229" t="s">
        <v>4</v>
      </c>
      <c r="D229" t="str">
        <f>VLOOKUP(Table7[[#This Row],[QuestionID]], FinalQuestions!$A:$C, 3, FALSE)</f>
        <v>Role Modelling</v>
      </c>
      <c r="E229">
        <f>IF(Table7[[#This Row],[Response]]="","",CHOOSE(MATCH(Table7[[#This Row],[Response]],{"Strongly Agree","Agree","Neutral","Disagree","Strongly Disagree","Not Applicable"},0),5,4,3,2,1,""))</f>
        <v>3</v>
      </c>
      <c r="F229">
        <f>Table7[[#This Row],[Scores]] * 20</f>
        <v>60</v>
      </c>
      <c r="G229">
        <f>IF(OR(Table7[[#This Row],[Response]]="Strongly Agree",Table7[[#This Row],[Response]]="Agree"),1,0)</f>
        <v>0</v>
      </c>
      <c r="H229" t="str">
        <f>_xlfn.XLOOKUP(Table7[[#This Row],[QuestionID]], FinalQuestions!$A:$A, FinalQuestions!$D:$D,"")</f>
        <v>Long-Term Decision Awareness</v>
      </c>
      <c r="I229" t="s">
        <v>266</v>
      </c>
    </row>
    <row r="230" spans="1:9" x14ac:dyDescent="0.35">
      <c r="A230" t="s">
        <v>95</v>
      </c>
      <c r="B230" t="s">
        <v>21</v>
      </c>
      <c r="C230" t="s">
        <v>4</v>
      </c>
      <c r="D230" t="str">
        <f>VLOOKUP(Table7[[#This Row],[QuestionID]], FinalQuestions!$A:$C, 3, FALSE)</f>
        <v>Discussability</v>
      </c>
      <c r="E230">
        <f>IF(Table7[[#This Row],[Response]]="","",CHOOSE(MATCH(Table7[[#This Row],[Response]],{"Strongly Agree","Agree","Neutral","Disagree","Strongly Disagree","Not Applicable"},0),5,4,3,2,1,""))</f>
        <v>3</v>
      </c>
      <c r="F230">
        <f>Table7[[#This Row],[Scores]] * 20</f>
        <v>60</v>
      </c>
      <c r="G230">
        <f>IF(OR(Table7[[#This Row],[Response]]="Strongly Agree",Table7[[#This Row],[Response]]="Agree"),1,0)</f>
        <v>0</v>
      </c>
      <c r="H230" t="str">
        <f>_xlfn.XLOOKUP(Table7[[#This Row],[QuestionID]], FinalQuestions!$A:$A, FinalQuestions!$D:$D,"")</f>
        <v>Openness to Discussions</v>
      </c>
      <c r="I230" t="s">
        <v>266</v>
      </c>
    </row>
    <row r="231" spans="1:9" x14ac:dyDescent="0.35">
      <c r="A231" t="s">
        <v>95</v>
      </c>
      <c r="B231" t="s">
        <v>23</v>
      </c>
      <c r="C231" t="s">
        <v>4</v>
      </c>
      <c r="D231" t="str">
        <f>VLOOKUP(Table7[[#This Row],[QuestionID]], FinalQuestions!$A:$C, 3, FALSE)</f>
        <v>Discussability</v>
      </c>
      <c r="E231">
        <f>IF(Table7[[#This Row],[Response]]="","",CHOOSE(MATCH(Table7[[#This Row],[Response]],{"Strongly Agree","Agree","Neutral","Disagree","Strongly Disagree","Not Applicable"},0),5,4,3,2,1,""))</f>
        <v>3</v>
      </c>
      <c r="F231">
        <f>Table7[[#This Row],[Scores]] * 20</f>
        <v>60</v>
      </c>
      <c r="G231">
        <f>IF(OR(Table7[[#This Row],[Response]]="Strongly Agree",Table7[[#This Row],[Response]]="Agree"),1,0)</f>
        <v>0</v>
      </c>
      <c r="H231" t="str">
        <f>_xlfn.XLOOKUP(Table7[[#This Row],[QuestionID]], FinalQuestions!$A:$A, FinalQuestions!$D:$D,"")</f>
        <v>Access to Guidance</v>
      </c>
      <c r="I231" t="s">
        <v>266</v>
      </c>
    </row>
    <row r="232" spans="1:9" x14ac:dyDescent="0.35">
      <c r="A232" t="s">
        <v>95</v>
      </c>
      <c r="B232" t="s">
        <v>25</v>
      </c>
      <c r="C232" t="s">
        <v>4</v>
      </c>
      <c r="D232" t="str">
        <f>VLOOKUP(Table7[[#This Row],[QuestionID]], FinalQuestions!$A:$C, 3, FALSE)</f>
        <v>Discussability</v>
      </c>
      <c r="E232">
        <f>IF(Table7[[#This Row],[Response]]="","",CHOOSE(MATCH(Table7[[#This Row],[Response]],{"Strongly Agree","Agree","Neutral","Disagree","Strongly Disagree","Not Applicable"},0),5,4,3,2,1,""))</f>
        <v>3</v>
      </c>
      <c r="F232">
        <f>Table7[[#This Row],[Scores]] * 20</f>
        <v>60</v>
      </c>
      <c r="G232">
        <f>IF(OR(Table7[[#This Row],[Response]]="Strongly Agree",Table7[[#This Row],[Response]]="Agree"),1,0)</f>
        <v>0</v>
      </c>
      <c r="H232" t="str">
        <f>_xlfn.XLOOKUP(Table7[[#This Row],[QuestionID]], FinalQuestions!$A:$A, FinalQuestions!$D:$D,"")</f>
        <v>Openness to Sharing Opinions</v>
      </c>
      <c r="I232" t="s">
        <v>266</v>
      </c>
    </row>
    <row r="233" spans="1:9" x14ac:dyDescent="0.35">
      <c r="A233" t="s">
        <v>95</v>
      </c>
      <c r="B233" t="s">
        <v>27</v>
      </c>
      <c r="C233" t="s">
        <v>4</v>
      </c>
      <c r="D233" t="str">
        <f>VLOOKUP(Table7[[#This Row],[QuestionID]], FinalQuestions!$A:$C, 3, FALSE)</f>
        <v>Discussability</v>
      </c>
      <c r="E233">
        <f>IF(Table7[[#This Row],[Response]]="","",CHOOSE(MATCH(Table7[[#This Row],[Response]],{"Strongly Agree","Agree","Neutral","Disagree","Strongly Disagree","Not Applicable"},0),5,4,3,2,1,""))</f>
        <v>3</v>
      </c>
      <c r="F233">
        <f>Table7[[#This Row],[Scores]] * 20</f>
        <v>60</v>
      </c>
      <c r="G233">
        <f>IF(OR(Table7[[#This Row],[Response]]="Strongly Agree",Table7[[#This Row],[Response]]="Agree"),1,0)</f>
        <v>0</v>
      </c>
      <c r="H233" t="str">
        <f>_xlfn.XLOOKUP(Table7[[#This Row],[QuestionID]], FinalQuestions!$A:$A, FinalQuestions!$D:$D,"")</f>
        <v>Comfort in Reporting Risk Dilemmas</v>
      </c>
      <c r="I233" t="s">
        <v>266</v>
      </c>
    </row>
    <row r="234" spans="1:9" x14ac:dyDescent="0.35">
      <c r="A234" t="s">
        <v>95</v>
      </c>
      <c r="B234" t="s">
        <v>29</v>
      </c>
      <c r="C234" t="s">
        <v>4</v>
      </c>
      <c r="D234" t="str">
        <f>VLOOKUP(Table7[[#This Row],[QuestionID]], FinalQuestions!$A:$C, 3, FALSE)</f>
        <v>Achievability</v>
      </c>
      <c r="E234">
        <f>IF(Table7[[#This Row],[Response]]="","",CHOOSE(MATCH(Table7[[#This Row],[Response]],{"Strongly Agree","Agree","Neutral","Disagree","Strongly Disagree","Not Applicable"},0),5,4,3,2,1,""))</f>
        <v>3</v>
      </c>
      <c r="F234">
        <f>Table7[[#This Row],[Scores]] * 20</f>
        <v>60</v>
      </c>
      <c r="G234">
        <f>IF(OR(Table7[[#This Row],[Response]]="Strongly Agree",Table7[[#This Row],[Response]]="Agree"),1,0)</f>
        <v>0</v>
      </c>
      <c r="H234" t="str">
        <f>_xlfn.XLOOKUP(Table7[[#This Row],[QuestionID]], FinalQuestions!$A:$A, FinalQuestions!$D:$D,"")</f>
        <v>Adequacy of Risk Management Training</v>
      </c>
      <c r="I234" t="s">
        <v>266</v>
      </c>
    </row>
    <row r="235" spans="1:9" x14ac:dyDescent="0.35">
      <c r="A235" t="s">
        <v>95</v>
      </c>
      <c r="B235" t="s">
        <v>31</v>
      </c>
      <c r="C235" t="s">
        <v>4</v>
      </c>
      <c r="D235" t="str">
        <f>VLOOKUP(Table7[[#This Row],[QuestionID]], FinalQuestions!$A:$C, 3, FALSE)</f>
        <v>Achievability</v>
      </c>
      <c r="E235">
        <f>IF(Table7[[#This Row],[Response]]="","",CHOOSE(MATCH(Table7[[#This Row],[Response]],{"Strongly Agree","Agree","Neutral","Disagree","Strongly Disagree","Not Applicable"},0),5,4,3,2,1,""))</f>
        <v>3</v>
      </c>
      <c r="F235">
        <f>Table7[[#This Row],[Scores]] * 20</f>
        <v>60</v>
      </c>
      <c r="G235">
        <f>IF(OR(Table7[[#This Row],[Response]]="Strongly Agree",Table7[[#This Row],[Response]]="Agree"),1,0)</f>
        <v>0</v>
      </c>
      <c r="H235" t="str">
        <f>_xlfn.XLOOKUP(Table7[[#This Row],[QuestionID]], FinalQuestions!$A:$A, FinalQuestions!$D:$D,"")</f>
        <v>Workload Balance &amp; Resource Sufficiency</v>
      </c>
      <c r="I235" t="s">
        <v>266</v>
      </c>
    </row>
    <row r="236" spans="1:9" x14ac:dyDescent="0.35">
      <c r="A236" t="s">
        <v>95</v>
      </c>
      <c r="B236" t="s">
        <v>33</v>
      </c>
      <c r="C236" t="s">
        <v>2</v>
      </c>
      <c r="D236" t="str">
        <f>VLOOKUP(Table7[[#This Row],[QuestionID]], FinalQuestions!$A:$C, 3, FALSE)</f>
        <v>Achievability</v>
      </c>
      <c r="E236">
        <f>IF(Table7[[#This Row],[Response]]="","",CHOOSE(MATCH(Table7[[#This Row],[Response]],{"Strongly Agree","Agree","Neutral","Disagree","Strongly Disagree","Not Applicable"},0),5,4,3,2,1,""))</f>
        <v>4</v>
      </c>
      <c r="F236">
        <f>Table7[[#This Row],[Scores]] * 20</f>
        <v>80</v>
      </c>
      <c r="G236">
        <f>IF(OR(Table7[[#This Row],[Response]]="Strongly Agree",Table7[[#This Row],[Response]]="Agree"),1,0)</f>
        <v>1</v>
      </c>
      <c r="H236" t="str">
        <f>_xlfn.XLOOKUP(Table7[[#This Row],[QuestionID]], FinalQuestions!$A:$A, FinalQuestions!$D:$D,"")</f>
        <v>Realistic Target Setting</v>
      </c>
      <c r="I236" t="s">
        <v>266</v>
      </c>
    </row>
    <row r="237" spans="1:9" x14ac:dyDescent="0.35">
      <c r="A237" t="s">
        <v>95</v>
      </c>
      <c r="B237" t="s">
        <v>35</v>
      </c>
      <c r="C237" t="s">
        <v>6</v>
      </c>
      <c r="D237" t="str">
        <f>VLOOKUP(Table7[[#This Row],[QuestionID]], FinalQuestions!$A:$C, 3, FALSE)</f>
        <v>Achievability</v>
      </c>
      <c r="E237">
        <f>IF(Table7[[#This Row],[Response]]="","",CHOOSE(MATCH(Table7[[#This Row],[Response]],{"Strongly Agree","Agree","Neutral","Disagree","Strongly Disagree","Not Applicable"},0),5,4,3,2,1,""))</f>
        <v>2</v>
      </c>
      <c r="F237">
        <f>Table7[[#This Row],[Scores]] * 20</f>
        <v>40</v>
      </c>
      <c r="G237">
        <f>IF(OR(Table7[[#This Row],[Response]]="Strongly Agree",Table7[[#This Row],[Response]]="Agree"),1,0)</f>
        <v>0</v>
      </c>
      <c r="H237" t="str">
        <f>_xlfn.XLOOKUP(Table7[[#This Row],[QuestionID]], FinalQuestions!$A:$A, FinalQuestions!$D:$D,"")</f>
        <v>Risk Insight in Decision Making</v>
      </c>
      <c r="I237" t="s">
        <v>266</v>
      </c>
    </row>
    <row r="238" spans="1:9" x14ac:dyDescent="0.35">
      <c r="A238" t="s">
        <v>95</v>
      </c>
      <c r="B238" t="s">
        <v>37</v>
      </c>
      <c r="C238" t="s">
        <v>4</v>
      </c>
      <c r="D238" t="str">
        <f>VLOOKUP(Table7[[#This Row],[QuestionID]], FinalQuestions!$A:$C, 3, FALSE)</f>
        <v>Enforcement</v>
      </c>
      <c r="E238">
        <f>IF(Table7[[#This Row],[Response]]="","",CHOOSE(MATCH(Table7[[#This Row],[Response]],{"Strongly Agree","Agree","Neutral","Disagree","Strongly Disagree","Not Applicable"},0),5,4,3,2,1,""))</f>
        <v>3</v>
      </c>
      <c r="F238">
        <f>Table7[[#This Row],[Scores]] * 20</f>
        <v>60</v>
      </c>
      <c r="G238">
        <f>IF(OR(Table7[[#This Row],[Response]]="Strongly Agree",Table7[[#This Row],[Response]]="Agree"),1,0)</f>
        <v>0</v>
      </c>
      <c r="H238" t="str">
        <f>_xlfn.XLOOKUP(Table7[[#This Row],[QuestionID]], FinalQuestions!$A:$A, FinalQuestions!$D:$D,"")</f>
        <v>Learning Culture from Non‑Compliance Cases</v>
      </c>
      <c r="I238" t="s">
        <v>266</v>
      </c>
    </row>
    <row r="239" spans="1:9" x14ac:dyDescent="0.35">
      <c r="A239" t="s">
        <v>95</v>
      </c>
      <c r="B239" t="s">
        <v>39</v>
      </c>
      <c r="C239" t="s">
        <v>85</v>
      </c>
      <c r="D239" t="str">
        <f>VLOOKUP(Table7[[#This Row],[QuestionID]], FinalQuestions!$A:$C, 3, FALSE)</f>
        <v>Enforcement</v>
      </c>
      <c r="E239">
        <f>IF(Table7[[#This Row],[Response]]="","",CHOOSE(MATCH(Table7[[#This Row],[Response]],{"Strongly Agree","Agree","Neutral","Disagree","Strongly Disagree","Not Applicable"},0),5,4,3,2,1,""))</f>
        <v>5</v>
      </c>
      <c r="F239">
        <f>Table7[[#This Row],[Scores]] * 20</f>
        <v>100</v>
      </c>
      <c r="G239">
        <f>IF(OR(Table7[[#This Row],[Response]]="Strongly Agree",Table7[[#This Row],[Response]]="Agree"),1,0)</f>
        <v>1</v>
      </c>
      <c r="H239" t="str">
        <f>_xlfn.XLOOKUP(Table7[[#This Row],[QuestionID]], FinalQuestions!$A:$A, FinalQuestions!$D:$D,"")</f>
        <v>Organizational View on Risk Culture</v>
      </c>
      <c r="I239" t="s">
        <v>266</v>
      </c>
    </row>
    <row r="240" spans="1:9" x14ac:dyDescent="0.35">
      <c r="A240" t="s">
        <v>95</v>
      </c>
      <c r="B240" t="s">
        <v>41</v>
      </c>
      <c r="C240" t="s">
        <v>2</v>
      </c>
      <c r="D240" t="str">
        <f>VLOOKUP(Table7[[#This Row],[QuestionID]], FinalQuestions!$A:$C, 3, FALSE)</f>
        <v>Enforcement</v>
      </c>
      <c r="E240">
        <f>IF(Table7[[#This Row],[Response]]="","",CHOOSE(MATCH(Table7[[#This Row],[Response]],{"Strongly Agree","Agree","Neutral","Disagree","Strongly Disagree","Not Applicable"},0),5,4,3,2,1,""))</f>
        <v>4</v>
      </c>
      <c r="F240">
        <f>Table7[[#This Row],[Scores]] * 20</f>
        <v>80</v>
      </c>
      <c r="G240">
        <f>IF(OR(Table7[[#This Row],[Response]]="Strongly Agree",Table7[[#This Row],[Response]]="Agree"),1,0)</f>
        <v>1</v>
      </c>
      <c r="H240" t="str">
        <f>_xlfn.XLOOKUP(Table7[[#This Row],[QuestionID]], FinalQuestions!$A:$A, FinalQuestions!$D:$D,"")</f>
        <v>Compliance Recognition &amp; enforcement</v>
      </c>
      <c r="I240" t="s">
        <v>266</v>
      </c>
    </row>
    <row r="241" spans="1:9" x14ac:dyDescent="0.35">
      <c r="A241" t="s">
        <v>95</v>
      </c>
      <c r="B241" t="s">
        <v>43</v>
      </c>
      <c r="C241" t="s">
        <v>6</v>
      </c>
      <c r="D241" t="str">
        <f>VLOOKUP(Table7[[#This Row],[QuestionID]], FinalQuestions!$A:$C, 3, FALSE)</f>
        <v>Enforcement</v>
      </c>
      <c r="E241">
        <f>IF(Table7[[#This Row],[Response]]="","",CHOOSE(MATCH(Table7[[#This Row],[Response]],{"Strongly Agree","Agree","Neutral","Disagree","Strongly Disagree","Not Applicable"},0),5,4,3,2,1,""))</f>
        <v>2</v>
      </c>
      <c r="F241">
        <f>Table7[[#This Row],[Scores]] * 20</f>
        <v>40</v>
      </c>
      <c r="G241">
        <f>IF(OR(Table7[[#This Row],[Response]]="Strongly Agree",Table7[[#This Row],[Response]]="Agree"),1,0)</f>
        <v>0</v>
      </c>
      <c r="H241" t="str">
        <f>_xlfn.XLOOKUP(Table7[[#This Row],[QuestionID]], FinalQuestions!$A:$A, FinalQuestions!$D:$D,"")</f>
        <v>Sense of Ownership</v>
      </c>
      <c r="I241" t="s">
        <v>266</v>
      </c>
    </row>
    <row r="242" spans="1:9" x14ac:dyDescent="0.35">
      <c r="A242" t="s">
        <v>95</v>
      </c>
      <c r="B242" t="s">
        <v>45</v>
      </c>
      <c r="C242" t="s">
        <v>4</v>
      </c>
      <c r="D242" t="str">
        <f>VLOOKUP(Table7[[#This Row],[QuestionID]], FinalQuestions!$A:$C, 3, FALSE)</f>
        <v>Clarity</v>
      </c>
      <c r="E242">
        <f>IF(Table7[[#This Row],[Response]]="","",CHOOSE(MATCH(Table7[[#This Row],[Response]],{"Strongly Agree","Agree","Neutral","Disagree","Strongly Disagree","Not Applicable"},0),5,4,3,2,1,""))</f>
        <v>3</v>
      </c>
      <c r="F242">
        <f>Table7[[#This Row],[Scores]] * 20</f>
        <v>60</v>
      </c>
      <c r="G242">
        <f>IF(OR(Table7[[#This Row],[Response]]="Strongly Agree",Table7[[#This Row],[Response]]="Agree"),1,0)</f>
        <v>0</v>
      </c>
      <c r="H242" t="str">
        <f>_xlfn.XLOOKUP(Table7[[#This Row],[QuestionID]], FinalQuestions!$A:$A, FinalQuestions!$D:$D,"")</f>
        <v>Clarity of Role and Responsibilities</v>
      </c>
      <c r="I242" t="s">
        <v>266</v>
      </c>
    </row>
    <row r="243" spans="1:9" x14ac:dyDescent="0.35">
      <c r="A243" t="s">
        <v>95</v>
      </c>
      <c r="B243" t="s">
        <v>47</v>
      </c>
      <c r="C243" t="s">
        <v>85</v>
      </c>
      <c r="D243" t="str">
        <f>VLOOKUP(Table7[[#This Row],[QuestionID]], FinalQuestions!$A:$C, 3, FALSE)</f>
        <v>Clarity</v>
      </c>
      <c r="E243">
        <f>IF(Table7[[#This Row],[Response]]="","",CHOOSE(MATCH(Table7[[#This Row],[Response]],{"Strongly Agree","Agree","Neutral","Disagree","Strongly Disagree","Not Applicable"},0),5,4,3,2,1,""))</f>
        <v>5</v>
      </c>
      <c r="F243">
        <f>Table7[[#This Row],[Scores]] * 20</f>
        <v>100</v>
      </c>
      <c r="G243">
        <f>IF(OR(Table7[[#This Row],[Response]]="Strongly Agree",Table7[[#This Row],[Response]]="Agree"),1,0)</f>
        <v>1</v>
      </c>
      <c r="H243" t="str">
        <f>_xlfn.XLOOKUP(Table7[[#This Row],[QuestionID]], FinalQuestions!$A:$A, FinalQuestions!$D:$D,"")</f>
        <v>Understanding of Risk Policies &amp; Procedures</v>
      </c>
      <c r="I243" t="s">
        <v>266</v>
      </c>
    </row>
    <row r="244" spans="1:9" x14ac:dyDescent="0.35">
      <c r="A244" t="s">
        <v>95</v>
      </c>
      <c r="B244" t="s">
        <v>49</v>
      </c>
      <c r="C244" t="s">
        <v>85</v>
      </c>
      <c r="D244" t="str">
        <f>VLOOKUP(Table7[[#This Row],[QuestionID]], FinalQuestions!$A:$C, 3, FALSE)</f>
        <v>Clarity</v>
      </c>
      <c r="E244">
        <f>IF(Table7[[#This Row],[Response]]="","",CHOOSE(MATCH(Table7[[#This Row],[Response]],{"Strongly Agree","Agree","Neutral","Disagree","Strongly Disagree","Not Applicable"},0),5,4,3,2,1,""))</f>
        <v>5</v>
      </c>
      <c r="F244">
        <f>Table7[[#This Row],[Scores]] * 20</f>
        <v>100</v>
      </c>
      <c r="G244">
        <f>IF(OR(Table7[[#This Row],[Response]]="Strongly Agree",Table7[[#This Row],[Response]]="Agree"),1,0)</f>
        <v>1</v>
      </c>
      <c r="H244" t="str">
        <f>_xlfn.XLOOKUP(Table7[[#This Row],[QuestionID]], FinalQuestions!$A:$A, FinalQuestions!$D:$D,"")</f>
        <v>Clarity of Personal Risk Boundaries</v>
      </c>
      <c r="I244" t="s">
        <v>266</v>
      </c>
    </row>
    <row r="245" spans="1:9" x14ac:dyDescent="0.35">
      <c r="A245" t="s">
        <v>95</v>
      </c>
      <c r="B245" t="s">
        <v>51</v>
      </c>
      <c r="C245" t="s">
        <v>2</v>
      </c>
      <c r="D245" t="str">
        <f>VLOOKUP(Table7[[#This Row],[QuestionID]], FinalQuestions!$A:$C, 3, FALSE)</f>
        <v>Clarity</v>
      </c>
      <c r="E245">
        <f>IF(Table7[[#This Row],[Response]]="","",CHOOSE(MATCH(Table7[[#This Row],[Response]],{"Strongly Agree","Agree","Neutral","Disagree","Strongly Disagree","Not Applicable"},0),5,4,3,2,1,""))</f>
        <v>4</v>
      </c>
      <c r="F245">
        <f>Table7[[#This Row],[Scores]] * 20</f>
        <v>80</v>
      </c>
      <c r="G245">
        <f>IF(OR(Table7[[#This Row],[Response]]="Strongly Agree",Table7[[#This Row],[Response]]="Agree"),1,0)</f>
        <v>1</v>
      </c>
      <c r="H245" t="str">
        <f>_xlfn.XLOOKUP(Table7[[#This Row],[QuestionID]], FinalQuestions!$A:$A, FinalQuestions!$D:$D,"")</f>
        <v>Effectiveness of Risk Communication &amp; Training</v>
      </c>
      <c r="I245" t="s">
        <v>266</v>
      </c>
    </row>
    <row r="246" spans="1:9" x14ac:dyDescent="0.35">
      <c r="A246" t="s">
        <v>95</v>
      </c>
      <c r="B246" t="s">
        <v>53</v>
      </c>
      <c r="C246" t="s">
        <v>2</v>
      </c>
      <c r="D246" t="str">
        <f>VLOOKUP(Table7[[#This Row],[QuestionID]], FinalQuestions!$A:$C, 3, FALSE)</f>
        <v>Transparency</v>
      </c>
      <c r="E246">
        <f>IF(Table7[[#This Row],[Response]]="","",CHOOSE(MATCH(Table7[[#This Row],[Response]],{"Strongly Agree","Agree","Neutral","Disagree","Strongly Disagree","Not Applicable"},0),5,4,3,2,1,""))</f>
        <v>4</v>
      </c>
      <c r="F246">
        <f>Table7[[#This Row],[Scores]] * 20</f>
        <v>80</v>
      </c>
      <c r="G246">
        <f>IF(OR(Table7[[#This Row],[Response]]="Strongly Agree",Table7[[#This Row],[Response]]="Agree"),1,0)</f>
        <v>1</v>
      </c>
      <c r="H246" t="str">
        <f>_xlfn.XLOOKUP(Table7[[#This Row],[QuestionID]], FinalQuestions!$A:$A, FinalQuestions!$D:$D,"")</f>
        <v>Compliance Confidence in team</v>
      </c>
      <c r="I246" t="s">
        <v>266</v>
      </c>
    </row>
    <row r="247" spans="1:9" x14ac:dyDescent="0.35">
      <c r="A247" t="s">
        <v>95</v>
      </c>
      <c r="B247" t="s">
        <v>55</v>
      </c>
      <c r="C247" t="s">
        <v>6</v>
      </c>
      <c r="D247" t="str">
        <f>VLOOKUP(Table7[[#This Row],[QuestionID]], FinalQuestions!$A:$C, 3, FALSE)</f>
        <v>Transparency</v>
      </c>
      <c r="E247">
        <f>IF(Table7[[#This Row],[Response]]="","",CHOOSE(MATCH(Table7[[#This Row],[Response]],{"Strongly Agree","Agree","Neutral","Disagree","Strongly Disagree","Not Applicable"},0),5,4,3,2,1,""))</f>
        <v>2</v>
      </c>
      <c r="F247">
        <f>Table7[[#This Row],[Scores]] * 20</f>
        <v>40</v>
      </c>
      <c r="G247">
        <f>IF(OR(Table7[[#This Row],[Response]]="Strongly Agree",Table7[[#This Row],[Response]]="Agree"),1,0)</f>
        <v>0</v>
      </c>
      <c r="H247" t="str">
        <f>_xlfn.XLOOKUP(Table7[[#This Row],[QuestionID]], FinalQuestions!$A:$A, FinalQuestions!$D:$D,"")</f>
        <v>Transparency in Decision‑Making</v>
      </c>
      <c r="I247" t="s">
        <v>266</v>
      </c>
    </row>
    <row r="248" spans="1:9" x14ac:dyDescent="0.35">
      <c r="A248" t="s">
        <v>95</v>
      </c>
      <c r="B248" t="s">
        <v>57</v>
      </c>
      <c r="C248" t="s">
        <v>4</v>
      </c>
      <c r="D248" t="str">
        <f>VLOOKUP(Table7[[#This Row],[QuestionID]], FinalQuestions!$A:$C, 3, FALSE)</f>
        <v>Transparency</v>
      </c>
      <c r="E248">
        <f>IF(Table7[[#This Row],[Response]]="","",CHOOSE(MATCH(Table7[[#This Row],[Response]],{"Strongly Agree","Agree","Neutral","Disagree","Strongly Disagree","Not Applicable"},0),5,4,3,2,1,""))</f>
        <v>3</v>
      </c>
      <c r="F248">
        <f>Table7[[#This Row],[Scores]] * 20</f>
        <v>60</v>
      </c>
      <c r="G248">
        <f>IF(OR(Table7[[#This Row],[Response]]="Strongly Agree",Table7[[#This Row],[Response]]="Agree"),1,0)</f>
        <v>0</v>
      </c>
      <c r="H248" t="str">
        <f>_xlfn.XLOOKUP(Table7[[#This Row],[QuestionID]], FinalQuestions!$A:$A, FinalQuestions!$D:$D,"")</f>
        <v>Fairness &amp; Equity of Expectations</v>
      </c>
      <c r="I248" t="s">
        <v>266</v>
      </c>
    </row>
    <row r="249" spans="1:9" x14ac:dyDescent="0.35">
      <c r="A249" t="s">
        <v>95</v>
      </c>
      <c r="B249" t="s">
        <v>59</v>
      </c>
      <c r="C249" t="s">
        <v>6</v>
      </c>
      <c r="D249" t="str">
        <f>VLOOKUP(Table7[[#This Row],[QuestionID]], FinalQuestions!$A:$C, 3, FALSE)</f>
        <v>Transparency</v>
      </c>
      <c r="E249">
        <f>IF(Table7[[#This Row],[Response]]="","",CHOOSE(MATCH(Table7[[#This Row],[Response]],{"Strongly Agree","Agree","Neutral","Disagree","Strongly Disagree","Not Applicable"},0),5,4,3,2,1,""))</f>
        <v>2</v>
      </c>
      <c r="F249">
        <f>Table7[[#This Row],[Scores]] * 20</f>
        <v>40</v>
      </c>
      <c r="G249">
        <f>IF(OR(Table7[[#This Row],[Response]]="Strongly Agree",Table7[[#This Row],[Response]]="Agree"),1,0)</f>
        <v>0</v>
      </c>
      <c r="H249" t="str">
        <f>_xlfn.XLOOKUP(Table7[[#This Row],[QuestionID]], FinalQuestions!$A:$A, FinalQuestions!$D:$D,"")</f>
        <v>Leadership Awareness in the team</v>
      </c>
      <c r="I249" t="s">
        <v>266</v>
      </c>
    </row>
    <row r="250" spans="1:9" x14ac:dyDescent="0.35">
      <c r="A250" t="s">
        <v>95</v>
      </c>
      <c r="B250" t="s">
        <v>61</v>
      </c>
      <c r="C250" t="s">
        <v>2</v>
      </c>
      <c r="D250" t="str">
        <f>VLOOKUP(Table7[[#This Row],[QuestionID]], FinalQuestions!$A:$C, 3, FALSE)</f>
        <v>Commitment</v>
      </c>
      <c r="E250">
        <f>IF(Table7[[#This Row],[Response]]="","",CHOOSE(MATCH(Table7[[#This Row],[Response]],{"Strongly Agree","Agree","Neutral","Disagree","Strongly Disagree","Not Applicable"},0),5,4,3,2,1,""))</f>
        <v>4</v>
      </c>
      <c r="F250">
        <f>Table7[[#This Row],[Scores]] * 20</f>
        <v>80</v>
      </c>
      <c r="G250">
        <f>IF(OR(Table7[[#This Row],[Response]]="Strongly Agree",Table7[[#This Row],[Response]]="Agree"),1,0)</f>
        <v>1</v>
      </c>
      <c r="H250" t="str">
        <f>_xlfn.XLOOKUP(Table7[[#This Row],[QuestionID]], FinalQuestions!$A:$A, FinalQuestions!$D:$D,"")</f>
        <v>Motivation for Risk Ownership</v>
      </c>
      <c r="I250" t="s">
        <v>266</v>
      </c>
    </row>
    <row r="251" spans="1:9" x14ac:dyDescent="0.35">
      <c r="A251" t="s">
        <v>95</v>
      </c>
      <c r="B251" t="s">
        <v>63</v>
      </c>
      <c r="C251" t="s">
        <v>6</v>
      </c>
      <c r="D251" t="str">
        <f>VLOOKUP(Table7[[#This Row],[QuestionID]], FinalQuestions!$A:$C, 3, FALSE)</f>
        <v>Commitment</v>
      </c>
      <c r="E251">
        <f>IF(Table7[[#This Row],[Response]]="","",CHOOSE(MATCH(Table7[[#This Row],[Response]],{"Strongly Agree","Agree","Neutral","Disagree","Strongly Disagree","Not Applicable"},0),5,4,3,2,1,""))</f>
        <v>2</v>
      </c>
      <c r="F251">
        <f>Table7[[#This Row],[Scores]] * 20</f>
        <v>40</v>
      </c>
      <c r="G251">
        <f>IF(OR(Table7[[#This Row],[Response]]="Strongly Agree",Table7[[#This Row],[Response]]="Agree"),1,0)</f>
        <v>0</v>
      </c>
      <c r="H251" t="str">
        <f>_xlfn.XLOOKUP(Table7[[#This Row],[QuestionID]], FinalQuestions!$A:$A, FinalQuestions!$D:$D,"")</f>
        <v>Sense of Belonging to the Organization</v>
      </c>
      <c r="I251" t="s">
        <v>266</v>
      </c>
    </row>
    <row r="252" spans="1:9" x14ac:dyDescent="0.35">
      <c r="A252" t="s">
        <v>95</v>
      </c>
      <c r="B252" t="s">
        <v>65</v>
      </c>
      <c r="C252" t="s">
        <v>4</v>
      </c>
      <c r="D252" t="str">
        <f>VLOOKUP(Table7[[#This Row],[QuestionID]], FinalQuestions!$A:$C, 3, FALSE)</f>
        <v>Commitment</v>
      </c>
      <c r="E252">
        <f>IF(Table7[[#This Row],[Response]]="","",CHOOSE(MATCH(Table7[[#This Row],[Response]],{"Strongly Agree","Agree","Neutral","Disagree","Strongly Disagree","Not Applicable"},0),5,4,3,2,1,""))</f>
        <v>3</v>
      </c>
      <c r="F252">
        <f>Table7[[#This Row],[Scores]] * 20</f>
        <v>60</v>
      </c>
      <c r="G252">
        <f>IF(OR(Table7[[#This Row],[Response]]="Strongly Agree",Table7[[#This Row],[Response]]="Agree"),1,0)</f>
        <v>0</v>
      </c>
      <c r="H252" t="str">
        <f>_xlfn.XLOOKUP(Table7[[#This Row],[QuestionID]], FinalQuestions!$A:$A, FinalQuestions!$D:$D,"")</f>
        <v>Consideration of Impact on Others</v>
      </c>
      <c r="I252" t="s">
        <v>266</v>
      </c>
    </row>
    <row r="253" spans="1:9" x14ac:dyDescent="0.35">
      <c r="A253" t="s">
        <v>95</v>
      </c>
      <c r="B253" t="s">
        <v>67</v>
      </c>
      <c r="C253" t="s">
        <v>85</v>
      </c>
      <c r="D253" t="str">
        <f>VLOOKUP(Table7[[#This Row],[QuestionID]], FinalQuestions!$A:$C, 3, FALSE)</f>
        <v>Commitment</v>
      </c>
      <c r="E253">
        <f>IF(Table7[[#This Row],[Response]]="","",CHOOSE(MATCH(Table7[[#This Row],[Response]],{"Strongly Agree","Agree","Neutral","Disagree","Strongly Disagree","Not Applicable"},0),5,4,3,2,1,""))</f>
        <v>5</v>
      </c>
      <c r="F253">
        <f>Table7[[#This Row],[Scores]] * 20</f>
        <v>100</v>
      </c>
      <c r="G253">
        <f>IF(OR(Table7[[#This Row],[Response]]="Strongly Agree",Table7[[#This Row],[Response]]="Agree"),1,0)</f>
        <v>1</v>
      </c>
      <c r="H253" t="str">
        <f>_xlfn.XLOOKUP(Table7[[#This Row],[QuestionID]], FinalQuestions!$A:$A, FinalQuestions!$D:$D,"")</f>
        <v>Accountability for Risk Actions</v>
      </c>
      <c r="I253" t="s">
        <v>266</v>
      </c>
    </row>
    <row r="254" spans="1:9" x14ac:dyDescent="0.35">
      <c r="A254" t="s">
        <v>95</v>
      </c>
      <c r="B254" t="s">
        <v>69</v>
      </c>
      <c r="C254" t="s">
        <v>6</v>
      </c>
      <c r="D254" t="str">
        <f>VLOOKUP(Table7[[#This Row],[QuestionID]], FinalQuestions!$A:$C, 3, FALSE)</f>
        <v>Call someone to account</v>
      </c>
      <c r="E254">
        <f>IF(Table7[[#This Row],[Response]]="","",CHOOSE(MATCH(Table7[[#This Row],[Response]],{"Strongly Agree","Agree","Neutral","Disagree","Strongly Disagree","Not Applicable"},0),5,4,3,2,1,""))</f>
        <v>2</v>
      </c>
      <c r="F254">
        <f>Table7[[#This Row],[Scores]] * 20</f>
        <v>40</v>
      </c>
      <c r="G254">
        <f>IF(OR(Table7[[#This Row],[Response]]="Strongly Agree",Table7[[#This Row],[Response]]="Agree"),1,0)</f>
        <v>0</v>
      </c>
      <c r="H254" t="str">
        <f>_xlfn.XLOOKUP(Table7[[#This Row],[QuestionID]], FinalQuestions!$A:$A, FinalQuestions!$D:$D,"")</f>
        <v xml:space="preserve">Peer to peer Accountability </v>
      </c>
      <c r="I254" t="s">
        <v>266</v>
      </c>
    </row>
    <row r="255" spans="1:9" x14ac:dyDescent="0.35">
      <c r="A255" t="s">
        <v>95</v>
      </c>
      <c r="B255" t="s">
        <v>71</v>
      </c>
      <c r="C255" t="s">
        <v>84</v>
      </c>
      <c r="D255" t="str">
        <f>VLOOKUP(Table7[[#This Row],[QuestionID]], FinalQuestions!$A:$C, 3, FALSE)</f>
        <v>Call someone to account</v>
      </c>
      <c r="E255">
        <f>IF(Table7[[#This Row],[Response]]="","",CHOOSE(MATCH(Table7[[#This Row],[Response]],{"Strongly Agree","Agree","Neutral","Disagree","Strongly Disagree","Not Applicable"},0),5,4,3,2,1,""))</f>
        <v>1</v>
      </c>
      <c r="F255">
        <f>Table7[[#This Row],[Scores]] * 20</f>
        <v>20</v>
      </c>
      <c r="G255">
        <f>IF(OR(Table7[[#This Row],[Response]]="Strongly Agree",Table7[[#This Row],[Response]]="Agree"),1,0)</f>
        <v>0</v>
      </c>
      <c r="H255" t="str">
        <f>_xlfn.XLOOKUP(Table7[[#This Row],[QuestionID]], FinalQuestions!$A:$A, FinalQuestions!$D:$D,"")</f>
        <v>Timely Resolution of Accountability Issues</v>
      </c>
      <c r="I255" t="s">
        <v>266</v>
      </c>
    </row>
    <row r="256" spans="1:9" x14ac:dyDescent="0.35">
      <c r="A256" t="s">
        <v>95</v>
      </c>
      <c r="B256" t="s">
        <v>73</v>
      </c>
      <c r="C256" t="s">
        <v>6</v>
      </c>
      <c r="D256" t="str">
        <f>VLOOKUP(Table7[[#This Row],[QuestionID]], FinalQuestions!$A:$C, 3, FALSE)</f>
        <v>Call someone to account</v>
      </c>
      <c r="E256">
        <f>IF(Table7[[#This Row],[Response]]="","",CHOOSE(MATCH(Table7[[#This Row],[Response]],{"Strongly Agree","Agree","Neutral","Disagree","Strongly Disagree","Not Applicable"},0),5,4,3,2,1,""))</f>
        <v>2</v>
      </c>
      <c r="F256">
        <f>Table7[[#This Row],[Scores]] * 20</f>
        <v>40</v>
      </c>
      <c r="G256">
        <f>IF(OR(Table7[[#This Row],[Response]]="Strongly Agree",Table7[[#This Row],[Response]]="Agree"),1,0)</f>
        <v>0</v>
      </c>
      <c r="H256" t="str">
        <f>_xlfn.XLOOKUP(Table7[[#This Row],[QuestionID]], FinalQuestions!$A:$A, FinalQuestions!$D:$D,"")</f>
        <v>Comfort for Reporting Non‑Compliance.</v>
      </c>
      <c r="I256" t="s">
        <v>266</v>
      </c>
    </row>
    <row r="257" spans="1:9" x14ac:dyDescent="0.35">
      <c r="A257" t="s">
        <v>95</v>
      </c>
      <c r="B257" t="s">
        <v>75</v>
      </c>
      <c r="C257" t="s">
        <v>4</v>
      </c>
      <c r="D257" t="str">
        <f>VLOOKUP(Table7[[#This Row],[QuestionID]], FinalQuestions!$A:$C, 3, FALSE)</f>
        <v>Call someone to account</v>
      </c>
      <c r="E257">
        <f>IF(Table7[[#This Row],[Response]]="","",CHOOSE(MATCH(Table7[[#This Row],[Response]],{"Strongly Agree","Agree","Neutral","Disagree","Strongly Disagree","Not Applicable"},0),5,4,3,2,1,""))</f>
        <v>3</v>
      </c>
      <c r="F257">
        <f>Table7[[#This Row],[Scores]] * 20</f>
        <v>60</v>
      </c>
      <c r="G257">
        <f>IF(OR(Table7[[#This Row],[Response]]="Strongly Agree",Table7[[#This Row],[Response]]="Agree"),1,0)</f>
        <v>0</v>
      </c>
      <c r="H257" t="str">
        <f>_xlfn.XLOOKUP(Table7[[#This Row],[QuestionID]], FinalQuestions!$A:$A, FinalQuestions!$D:$D,"")</f>
        <v>Consistency of Conduct Enforcement</v>
      </c>
      <c r="I257" t="s">
        <v>266</v>
      </c>
    </row>
    <row r="258" spans="1:9" x14ac:dyDescent="0.35">
      <c r="A258" t="s">
        <v>96</v>
      </c>
      <c r="B258" t="s">
        <v>13</v>
      </c>
      <c r="C258" t="s">
        <v>4</v>
      </c>
      <c r="D258" t="str">
        <f>VLOOKUP(Table7[[#This Row],[QuestionID]], FinalQuestions!$A:$C, 3, FALSE)</f>
        <v>Role Modelling</v>
      </c>
      <c r="E258">
        <f>IF(Table7[[#This Row],[Response]]="","",CHOOSE(MATCH(Table7[[#This Row],[Response]],{"Strongly Agree","Agree","Neutral","Disagree","Strongly Disagree","Not Applicable"},0),5,4,3,2,1,""))</f>
        <v>3</v>
      </c>
      <c r="F258">
        <f>Table7[[#This Row],[Scores]] * 20</f>
        <v>60</v>
      </c>
      <c r="G258">
        <f>IF(OR(Table7[[#This Row],[Response]]="Strongly Agree",Table7[[#This Row],[Response]]="Agree"),1,0)</f>
        <v>0</v>
      </c>
      <c r="H258" t="str">
        <f>_xlfn.XLOOKUP(Table7[[#This Row],[QuestionID]], FinalQuestions!$A:$A, FinalQuestions!$D:$D,"")</f>
        <v xml:space="preserve">Leadership Example‑Setting in Risk Management </v>
      </c>
      <c r="I258" t="s">
        <v>262</v>
      </c>
    </row>
    <row r="259" spans="1:9" x14ac:dyDescent="0.35">
      <c r="A259" t="s">
        <v>96</v>
      </c>
      <c r="B259" t="s">
        <v>15</v>
      </c>
      <c r="C259" t="s">
        <v>2</v>
      </c>
      <c r="D259" t="str">
        <f>VLOOKUP(Table7[[#This Row],[QuestionID]], FinalQuestions!$A:$C, 3, FALSE)</f>
        <v>Role Modelling</v>
      </c>
      <c r="E259">
        <f>IF(Table7[[#This Row],[Response]]="","",CHOOSE(MATCH(Table7[[#This Row],[Response]],{"Strongly Agree","Agree","Neutral","Disagree","Strongly Disagree","Not Applicable"},0),5,4,3,2,1,""))</f>
        <v>4</v>
      </c>
      <c r="F259">
        <f>Table7[[#This Row],[Scores]] * 20</f>
        <v>80</v>
      </c>
      <c r="G259">
        <f>IF(OR(Table7[[#This Row],[Response]]="Strongly Agree",Table7[[#This Row],[Response]]="Agree"),1,0)</f>
        <v>1</v>
      </c>
      <c r="H259" t="str">
        <f>_xlfn.XLOOKUP(Table7[[#This Row],[QuestionID]], FinalQuestions!$A:$A, FinalQuestions!$D:$D,"")</f>
        <v>Executive Commitment to Risk Culture</v>
      </c>
      <c r="I259" t="s">
        <v>262</v>
      </c>
    </row>
    <row r="260" spans="1:9" x14ac:dyDescent="0.35">
      <c r="A260" t="s">
        <v>96</v>
      </c>
      <c r="B260" t="s">
        <v>17</v>
      </c>
      <c r="C260" t="s">
        <v>2</v>
      </c>
      <c r="D260" t="str">
        <f>VLOOKUP(Table7[[#This Row],[QuestionID]], FinalQuestions!$A:$C, 3, FALSE)</f>
        <v>Role Modelling</v>
      </c>
      <c r="E260">
        <f>IF(Table7[[#This Row],[Response]]="","",CHOOSE(MATCH(Table7[[#This Row],[Response]],{"Strongly Agree","Agree","Neutral","Disagree","Strongly Disagree","Not Applicable"},0),5,4,3,2,1,""))</f>
        <v>4</v>
      </c>
      <c r="F260">
        <f>Table7[[#This Row],[Scores]] * 20</f>
        <v>80</v>
      </c>
      <c r="G260">
        <f>IF(OR(Table7[[#This Row],[Response]]="Strongly Agree",Table7[[#This Row],[Response]]="Agree"),1,0)</f>
        <v>1</v>
      </c>
      <c r="H260" t="str">
        <f>_xlfn.XLOOKUP(Table7[[#This Row],[QuestionID]], FinalQuestions!$A:$A, FinalQuestions!$D:$D,"")</f>
        <v>Leadership Encouragement to Escalate Risks</v>
      </c>
      <c r="I260" t="s">
        <v>262</v>
      </c>
    </row>
    <row r="261" spans="1:9" x14ac:dyDescent="0.35">
      <c r="A261" t="s">
        <v>96</v>
      </c>
      <c r="B261" t="s">
        <v>19</v>
      </c>
      <c r="C261" t="s">
        <v>4</v>
      </c>
      <c r="D261" t="str">
        <f>VLOOKUP(Table7[[#This Row],[QuestionID]], FinalQuestions!$A:$C, 3, FALSE)</f>
        <v>Role Modelling</v>
      </c>
      <c r="E261">
        <f>IF(Table7[[#This Row],[Response]]="","",CHOOSE(MATCH(Table7[[#This Row],[Response]],{"Strongly Agree","Agree","Neutral","Disagree","Strongly Disagree","Not Applicable"},0),5,4,3,2,1,""))</f>
        <v>3</v>
      </c>
      <c r="F261">
        <f>Table7[[#This Row],[Scores]] * 20</f>
        <v>60</v>
      </c>
      <c r="G261">
        <f>IF(OR(Table7[[#This Row],[Response]]="Strongly Agree",Table7[[#This Row],[Response]]="Agree"),1,0)</f>
        <v>0</v>
      </c>
      <c r="H261" t="str">
        <f>_xlfn.XLOOKUP(Table7[[#This Row],[QuestionID]], FinalQuestions!$A:$A, FinalQuestions!$D:$D,"")</f>
        <v>Long-Term Decision Awareness</v>
      </c>
      <c r="I261" t="s">
        <v>262</v>
      </c>
    </row>
    <row r="262" spans="1:9" x14ac:dyDescent="0.35">
      <c r="A262" t="s">
        <v>96</v>
      </c>
      <c r="B262" t="s">
        <v>21</v>
      </c>
      <c r="C262" t="s">
        <v>4</v>
      </c>
      <c r="D262" t="str">
        <f>VLOOKUP(Table7[[#This Row],[QuestionID]], FinalQuestions!$A:$C, 3, FALSE)</f>
        <v>Discussability</v>
      </c>
      <c r="E262">
        <f>IF(Table7[[#This Row],[Response]]="","",CHOOSE(MATCH(Table7[[#This Row],[Response]],{"Strongly Agree","Agree","Neutral","Disagree","Strongly Disagree","Not Applicable"},0),5,4,3,2,1,""))</f>
        <v>3</v>
      </c>
      <c r="F262">
        <f>Table7[[#This Row],[Scores]] * 20</f>
        <v>60</v>
      </c>
      <c r="G262">
        <f>IF(OR(Table7[[#This Row],[Response]]="Strongly Agree",Table7[[#This Row],[Response]]="Agree"),1,0)</f>
        <v>0</v>
      </c>
      <c r="H262" t="str">
        <f>_xlfn.XLOOKUP(Table7[[#This Row],[QuestionID]], FinalQuestions!$A:$A, FinalQuestions!$D:$D,"")</f>
        <v>Openness to Discussions</v>
      </c>
      <c r="I262" t="s">
        <v>262</v>
      </c>
    </row>
    <row r="263" spans="1:9" x14ac:dyDescent="0.35">
      <c r="A263" t="s">
        <v>96</v>
      </c>
      <c r="B263" t="s">
        <v>23</v>
      </c>
      <c r="C263" t="s">
        <v>4</v>
      </c>
      <c r="D263" t="str">
        <f>VLOOKUP(Table7[[#This Row],[QuestionID]], FinalQuestions!$A:$C, 3, FALSE)</f>
        <v>Discussability</v>
      </c>
      <c r="E263">
        <f>IF(Table7[[#This Row],[Response]]="","",CHOOSE(MATCH(Table7[[#This Row],[Response]],{"Strongly Agree","Agree","Neutral","Disagree","Strongly Disagree","Not Applicable"},0),5,4,3,2,1,""))</f>
        <v>3</v>
      </c>
      <c r="F263">
        <f>Table7[[#This Row],[Scores]] * 20</f>
        <v>60</v>
      </c>
      <c r="G263">
        <f>IF(OR(Table7[[#This Row],[Response]]="Strongly Agree",Table7[[#This Row],[Response]]="Agree"),1,0)</f>
        <v>0</v>
      </c>
      <c r="H263" t="str">
        <f>_xlfn.XLOOKUP(Table7[[#This Row],[QuestionID]], FinalQuestions!$A:$A, FinalQuestions!$D:$D,"")</f>
        <v>Access to Guidance</v>
      </c>
      <c r="I263" t="s">
        <v>262</v>
      </c>
    </row>
    <row r="264" spans="1:9" x14ac:dyDescent="0.35">
      <c r="A264" t="s">
        <v>96</v>
      </c>
      <c r="B264" t="s">
        <v>25</v>
      </c>
      <c r="C264" t="s">
        <v>2</v>
      </c>
      <c r="D264" t="str">
        <f>VLOOKUP(Table7[[#This Row],[QuestionID]], FinalQuestions!$A:$C, 3, FALSE)</f>
        <v>Discussability</v>
      </c>
      <c r="E264">
        <f>IF(Table7[[#This Row],[Response]]="","",CHOOSE(MATCH(Table7[[#This Row],[Response]],{"Strongly Agree","Agree","Neutral","Disagree","Strongly Disagree","Not Applicable"},0),5,4,3,2,1,""))</f>
        <v>4</v>
      </c>
      <c r="F264">
        <f>Table7[[#This Row],[Scores]] * 20</f>
        <v>80</v>
      </c>
      <c r="G264">
        <f>IF(OR(Table7[[#This Row],[Response]]="Strongly Agree",Table7[[#This Row],[Response]]="Agree"),1,0)</f>
        <v>1</v>
      </c>
      <c r="H264" t="str">
        <f>_xlfn.XLOOKUP(Table7[[#This Row],[QuestionID]], FinalQuestions!$A:$A, FinalQuestions!$D:$D,"")</f>
        <v>Openness to Sharing Opinions</v>
      </c>
      <c r="I264" t="s">
        <v>262</v>
      </c>
    </row>
    <row r="265" spans="1:9" x14ac:dyDescent="0.35">
      <c r="A265" t="s">
        <v>96</v>
      </c>
      <c r="B265" t="s">
        <v>27</v>
      </c>
      <c r="C265" t="s">
        <v>85</v>
      </c>
      <c r="D265" t="str">
        <f>VLOOKUP(Table7[[#This Row],[QuestionID]], FinalQuestions!$A:$C, 3, FALSE)</f>
        <v>Discussability</v>
      </c>
      <c r="E265">
        <f>IF(Table7[[#This Row],[Response]]="","",CHOOSE(MATCH(Table7[[#This Row],[Response]],{"Strongly Agree","Agree","Neutral","Disagree","Strongly Disagree","Not Applicable"},0),5,4,3,2,1,""))</f>
        <v>5</v>
      </c>
      <c r="F265">
        <f>Table7[[#This Row],[Scores]] * 20</f>
        <v>100</v>
      </c>
      <c r="G265">
        <f>IF(OR(Table7[[#This Row],[Response]]="Strongly Agree",Table7[[#This Row],[Response]]="Agree"),1,0)</f>
        <v>1</v>
      </c>
      <c r="H265" t="str">
        <f>_xlfn.XLOOKUP(Table7[[#This Row],[QuestionID]], FinalQuestions!$A:$A, FinalQuestions!$D:$D,"")</f>
        <v>Comfort in Reporting Risk Dilemmas</v>
      </c>
      <c r="I265" t="s">
        <v>262</v>
      </c>
    </row>
    <row r="266" spans="1:9" x14ac:dyDescent="0.35">
      <c r="A266" t="s">
        <v>96</v>
      </c>
      <c r="B266" t="s">
        <v>29</v>
      </c>
      <c r="C266" t="s">
        <v>85</v>
      </c>
      <c r="D266" t="str">
        <f>VLOOKUP(Table7[[#This Row],[QuestionID]], FinalQuestions!$A:$C, 3, FALSE)</f>
        <v>Achievability</v>
      </c>
      <c r="E266">
        <f>IF(Table7[[#This Row],[Response]]="","",CHOOSE(MATCH(Table7[[#This Row],[Response]],{"Strongly Agree","Agree","Neutral","Disagree","Strongly Disagree","Not Applicable"},0),5,4,3,2,1,""))</f>
        <v>5</v>
      </c>
      <c r="F266">
        <f>Table7[[#This Row],[Scores]] * 20</f>
        <v>100</v>
      </c>
      <c r="G266">
        <f>IF(OR(Table7[[#This Row],[Response]]="Strongly Agree",Table7[[#This Row],[Response]]="Agree"),1,0)</f>
        <v>1</v>
      </c>
      <c r="H266" t="str">
        <f>_xlfn.XLOOKUP(Table7[[#This Row],[QuestionID]], FinalQuestions!$A:$A, FinalQuestions!$D:$D,"")</f>
        <v>Adequacy of Risk Management Training</v>
      </c>
      <c r="I266" t="s">
        <v>262</v>
      </c>
    </row>
    <row r="267" spans="1:9" x14ac:dyDescent="0.35">
      <c r="A267" t="s">
        <v>96</v>
      </c>
      <c r="B267" t="s">
        <v>31</v>
      </c>
      <c r="C267" t="s">
        <v>2</v>
      </c>
      <c r="D267" t="str">
        <f>VLOOKUP(Table7[[#This Row],[QuestionID]], FinalQuestions!$A:$C, 3, FALSE)</f>
        <v>Achievability</v>
      </c>
      <c r="E267">
        <f>IF(Table7[[#This Row],[Response]]="","",CHOOSE(MATCH(Table7[[#This Row],[Response]],{"Strongly Agree","Agree","Neutral","Disagree","Strongly Disagree","Not Applicable"},0),5,4,3,2,1,""))</f>
        <v>4</v>
      </c>
      <c r="F267">
        <f>Table7[[#This Row],[Scores]] * 20</f>
        <v>80</v>
      </c>
      <c r="G267">
        <f>IF(OR(Table7[[#This Row],[Response]]="Strongly Agree",Table7[[#This Row],[Response]]="Agree"),1,0)</f>
        <v>1</v>
      </c>
      <c r="H267" t="str">
        <f>_xlfn.XLOOKUP(Table7[[#This Row],[QuestionID]], FinalQuestions!$A:$A, FinalQuestions!$D:$D,"")</f>
        <v>Workload Balance &amp; Resource Sufficiency</v>
      </c>
      <c r="I267" t="s">
        <v>262</v>
      </c>
    </row>
    <row r="268" spans="1:9" x14ac:dyDescent="0.35">
      <c r="A268" t="s">
        <v>96</v>
      </c>
      <c r="B268" t="s">
        <v>33</v>
      </c>
      <c r="C268" t="s">
        <v>6</v>
      </c>
      <c r="D268" t="str">
        <f>VLOOKUP(Table7[[#This Row],[QuestionID]], FinalQuestions!$A:$C, 3, FALSE)</f>
        <v>Achievability</v>
      </c>
      <c r="E268">
        <f>IF(Table7[[#This Row],[Response]]="","",CHOOSE(MATCH(Table7[[#This Row],[Response]],{"Strongly Agree","Agree","Neutral","Disagree","Strongly Disagree","Not Applicable"},0),5,4,3,2,1,""))</f>
        <v>2</v>
      </c>
      <c r="F268">
        <f>Table7[[#This Row],[Scores]] * 20</f>
        <v>40</v>
      </c>
      <c r="G268">
        <f>IF(OR(Table7[[#This Row],[Response]]="Strongly Agree",Table7[[#This Row],[Response]]="Agree"),1,0)</f>
        <v>0</v>
      </c>
      <c r="H268" t="str">
        <f>_xlfn.XLOOKUP(Table7[[#This Row],[QuestionID]], FinalQuestions!$A:$A, FinalQuestions!$D:$D,"")</f>
        <v>Realistic Target Setting</v>
      </c>
      <c r="I268" t="s">
        <v>262</v>
      </c>
    </row>
    <row r="269" spans="1:9" x14ac:dyDescent="0.35">
      <c r="A269" t="s">
        <v>96</v>
      </c>
      <c r="B269" t="s">
        <v>35</v>
      </c>
      <c r="C269" t="s">
        <v>4</v>
      </c>
      <c r="D269" t="str">
        <f>VLOOKUP(Table7[[#This Row],[QuestionID]], FinalQuestions!$A:$C, 3, FALSE)</f>
        <v>Achievability</v>
      </c>
      <c r="E269">
        <f>IF(Table7[[#This Row],[Response]]="","",CHOOSE(MATCH(Table7[[#This Row],[Response]],{"Strongly Agree","Agree","Neutral","Disagree","Strongly Disagree","Not Applicable"},0),5,4,3,2,1,""))</f>
        <v>3</v>
      </c>
      <c r="F269">
        <f>Table7[[#This Row],[Scores]] * 20</f>
        <v>60</v>
      </c>
      <c r="G269">
        <f>IF(OR(Table7[[#This Row],[Response]]="Strongly Agree",Table7[[#This Row],[Response]]="Agree"),1,0)</f>
        <v>0</v>
      </c>
      <c r="H269" t="str">
        <f>_xlfn.XLOOKUP(Table7[[#This Row],[QuestionID]], FinalQuestions!$A:$A, FinalQuestions!$D:$D,"")</f>
        <v>Risk Insight in Decision Making</v>
      </c>
      <c r="I269" t="s">
        <v>262</v>
      </c>
    </row>
    <row r="270" spans="1:9" x14ac:dyDescent="0.35">
      <c r="A270" t="s">
        <v>96</v>
      </c>
      <c r="B270" t="s">
        <v>37</v>
      </c>
      <c r="C270" t="s">
        <v>6</v>
      </c>
      <c r="D270" t="str">
        <f>VLOOKUP(Table7[[#This Row],[QuestionID]], FinalQuestions!$A:$C, 3, FALSE)</f>
        <v>Enforcement</v>
      </c>
      <c r="E270">
        <f>IF(Table7[[#This Row],[Response]]="","",CHOOSE(MATCH(Table7[[#This Row],[Response]],{"Strongly Agree","Agree","Neutral","Disagree","Strongly Disagree","Not Applicable"},0),5,4,3,2,1,""))</f>
        <v>2</v>
      </c>
      <c r="F270">
        <f>Table7[[#This Row],[Scores]] * 20</f>
        <v>40</v>
      </c>
      <c r="G270">
        <f>IF(OR(Table7[[#This Row],[Response]]="Strongly Agree",Table7[[#This Row],[Response]]="Agree"),1,0)</f>
        <v>0</v>
      </c>
      <c r="H270" t="str">
        <f>_xlfn.XLOOKUP(Table7[[#This Row],[QuestionID]], FinalQuestions!$A:$A, FinalQuestions!$D:$D,"")</f>
        <v>Learning Culture from Non‑Compliance Cases</v>
      </c>
      <c r="I270" t="s">
        <v>262</v>
      </c>
    </row>
    <row r="271" spans="1:9" x14ac:dyDescent="0.35">
      <c r="A271" t="s">
        <v>96</v>
      </c>
      <c r="B271" t="s">
        <v>39</v>
      </c>
      <c r="C271" t="s">
        <v>2</v>
      </c>
      <c r="D271" t="str">
        <f>VLOOKUP(Table7[[#This Row],[QuestionID]], FinalQuestions!$A:$C, 3, FALSE)</f>
        <v>Enforcement</v>
      </c>
      <c r="E271">
        <f>IF(Table7[[#This Row],[Response]]="","",CHOOSE(MATCH(Table7[[#This Row],[Response]],{"Strongly Agree","Agree","Neutral","Disagree","Strongly Disagree","Not Applicable"},0),5,4,3,2,1,""))</f>
        <v>4</v>
      </c>
      <c r="F271">
        <f>Table7[[#This Row],[Scores]] * 20</f>
        <v>80</v>
      </c>
      <c r="G271">
        <f>IF(OR(Table7[[#This Row],[Response]]="Strongly Agree",Table7[[#This Row],[Response]]="Agree"),1,0)</f>
        <v>1</v>
      </c>
      <c r="H271" t="str">
        <f>_xlfn.XLOOKUP(Table7[[#This Row],[QuestionID]], FinalQuestions!$A:$A, FinalQuestions!$D:$D,"")</f>
        <v>Organizational View on Risk Culture</v>
      </c>
      <c r="I271" t="s">
        <v>262</v>
      </c>
    </row>
    <row r="272" spans="1:9" x14ac:dyDescent="0.35">
      <c r="A272" t="s">
        <v>96</v>
      </c>
      <c r="B272" t="s">
        <v>41</v>
      </c>
      <c r="C272" t="s">
        <v>6</v>
      </c>
      <c r="D272" t="str">
        <f>VLOOKUP(Table7[[#This Row],[QuestionID]], FinalQuestions!$A:$C, 3, FALSE)</f>
        <v>Enforcement</v>
      </c>
      <c r="E272">
        <f>IF(Table7[[#This Row],[Response]]="","",CHOOSE(MATCH(Table7[[#This Row],[Response]],{"Strongly Agree","Agree","Neutral","Disagree","Strongly Disagree","Not Applicable"},0),5,4,3,2,1,""))</f>
        <v>2</v>
      </c>
      <c r="F272">
        <f>Table7[[#This Row],[Scores]] * 20</f>
        <v>40</v>
      </c>
      <c r="G272">
        <f>IF(OR(Table7[[#This Row],[Response]]="Strongly Agree",Table7[[#This Row],[Response]]="Agree"),1,0)</f>
        <v>0</v>
      </c>
      <c r="H272" t="str">
        <f>_xlfn.XLOOKUP(Table7[[#This Row],[QuestionID]], FinalQuestions!$A:$A, FinalQuestions!$D:$D,"")</f>
        <v>Compliance Recognition &amp; enforcement</v>
      </c>
      <c r="I272" t="s">
        <v>262</v>
      </c>
    </row>
    <row r="273" spans="1:9" x14ac:dyDescent="0.35">
      <c r="A273" t="s">
        <v>96</v>
      </c>
      <c r="B273" t="s">
        <v>43</v>
      </c>
      <c r="C273" t="s">
        <v>84</v>
      </c>
      <c r="D273" t="str">
        <f>VLOOKUP(Table7[[#This Row],[QuestionID]], FinalQuestions!$A:$C, 3, FALSE)</f>
        <v>Enforcement</v>
      </c>
      <c r="E273">
        <f>IF(Table7[[#This Row],[Response]]="","",CHOOSE(MATCH(Table7[[#This Row],[Response]],{"Strongly Agree","Agree","Neutral","Disagree","Strongly Disagree","Not Applicable"},0),5,4,3,2,1,""))</f>
        <v>1</v>
      </c>
      <c r="F273">
        <f>Table7[[#This Row],[Scores]] * 20</f>
        <v>20</v>
      </c>
      <c r="G273">
        <f>IF(OR(Table7[[#This Row],[Response]]="Strongly Agree",Table7[[#This Row],[Response]]="Agree"),1,0)</f>
        <v>0</v>
      </c>
      <c r="H273" t="str">
        <f>_xlfn.XLOOKUP(Table7[[#This Row],[QuestionID]], FinalQuestions!$A:$A, FinalQuestions!$D:$D,"")</f>
        <v>Sense of Ownership</v>
      </c>
      <c r="I273" t="s">
        <v>262</v>
      </c>
    </row>
    <row r="274" spans="1:9" x14ac:dyDescent="0.35">
      <c r="A274" t="s">
        <v>96</v>
      </c>
      <c r="B274" t="s">
        <v>45</v>
      </c>
      <c r="C274" t="s">
        <v>6</v>
      </c>
      <c r="D274" t="str">
        <f>VLOOKUP(Table7[[#This Row],[QuestionID]], FinalQuestions!$A:$C, 3, FALSE)</f>
        <v>Clarity</v>
      </c>
      <c r="E274">
        <f>IF(Table7[[#This Row],[Response]]="","",CHOOSE(MATCH(Table7[[#This Row],[Response]],{"Strongly Agree","Agree","Neutral","Disagree","Strongly Disagree","Not Applicable"},0),5,4,3,2,1,""))</f>
        <v>2</v>
      </c>
      <c r="F274">
        <f>Table7[[#This Row],[Scores]] * 20</f>
        <v>40</v>
      </c>
      <c r="G274">
        <f>IF(OR(Table7[[#This Row],[Response]]="Strongly Agree",Table7[[#This Row],[Response]]="Agree"),1,0)</f>
        <v>0</v>
      </c>
      <c r="H274" t="str">
        <f>_xlfn.XLOOKUP(Table7[[#This Row],[QuestionID]], FinalQuestions!$A:$A, FinalQuestions!$D:$D,"")</f>
        <v>Clarity of Role and Responsibilities</v>
      </c>
      <c r="I274" t="s">
        <v>262</v>
      </c>
    </row>
    <row r="275" spans="1:9" x14ac:dyDescent="0.35">
      <c r="A275" t="s">
        <v>96</v>
      </c>
      <c r="B275" t="s">
        <v>47</v>
      </c>
      <c r="C275" t="s">
        <v>4</v>
      </c>
      <c r="D275" t="str">
        <f>VLOOKUP(Table7[[#This Row],[QuestionID]], FinalQuestions!$A:$C, 3, FALSE)</f>
        <v>Clarity</v>
      </c>
      <c r="E275">
        <f>IF(Table7[[#This Row],[Response]]="","",CHOOSE(MATCH(Table7[[#This Row],[Response]],{"Strongly Agree","Agree","Neutral","Disagree","Strongly Disagree","Not Applicable"},0),5,4,3,2,1,""))</f>
        <v>3</v>
      </c>
      <c r="F275">
        <f>Table7[[#This Row],[Scores]] * 20</f>
        <v>60</v>
      </c>
      <c r="G275">
        <f>IF(OR(Table7[[#This Row],[Response]]="Strongly Agree",Table7[[#This Row],[Response]]="Agree"),1,0)</f>
        <v>0</v>
      </c>
      <c r="H275" t="str">
        <f>_xlfn.XLOOKUP(Table7[[#This Row],[QuestionID]], FinalQuestions!$A:$A, FinalQuestions!$D:$D,"")</f>
        <v>Understanding of Risk Policies &amp; Procedures</v>
      </c>
      <c r="I275" t="s">
        <v>262</v>
      </c>
    </row>
    <row r="276" spans="1:9" x14ac:dyDescent="0.35">
      <c r="A276" t="s">
        <v>96</v>
      </c>
      <c r="B276" t="s">
        <v>49</v>
      </c>
      <c r="C276" t="s">
        <v>4</v>
      </c>
      <c r="D276" t="str">
        <f>VLOOKUP(Table7[[#This Row],[QuestionID]], FinalQuestions!$A:$C, 3, FALSE)</f>
        <v>Clarity</v>
      </c>
      <c r="E276">
        <f>IF(Table7[[#This Row],[Response]]="","",CHOOSE(MATCH(Table7[[#This Row],[Response]],{"Strongly Agree","Agree","Neutral","Disagree","Strongly Disagree","Not Applicable"},0),5,4,3,2,1,""))</f>
        <v>3</v>
      </c>
      <c r="F276">
        <f>Table7[[#This Row],[Scores]] * 20</f>
        <v>60</v>
      </c>
      <c r="G276">
        <f>IF(OR(Table7[[#This Row],[Response]]="Strongly Agree",Table7[[#This Row],[Response]]="Agree"),1,0)</f>
        <v>0</v>
      </c>
      <c r="H276" t="str">
        <f>_xlfn.XLOOKUP(Table7[[#This Row],[QuestionID]], FinalQuestions!$A:$A, FinalQuestions!$D:$D,"")</f>
        <v>Clarity of Personal Risk Boundaries</v>
      </c>
      <c r="I276" t="s">
        <v>262</v>
      </c>
    </row>
    <row r="277" spans="1:9" x14ac:dyDescent="0.35">
      <c r="A277" t="s">
        <v>96</v>
      </c>
      <c r="B277" t="s">
        <v>51</v>
      </c>
      <c r="C277" t="s">
        <v>2</v>
      </c>
      <c r="D277" t="str">
        <f>VLOOKUP(Table7[[#This Row],[QuestionID]], FinalQuestions!$A:$C, 3, FALSE)</f>
        <v>Clarity</v>
      </c>
      <c r="E277">
        <f>IF(Table7[[#This Row],[Response]]="","",CHOOSE(MATCH(Table7[[#This Row],[Response]],{"Strongly Agree","Agree","Neutral","Disagree","Strongly Disagree","Not Applicable"},0),5,4,3,2,1,""))</f>
        <v>4</v>
      </c>
      <c r="F277">
        <f>Table7[[#This Row],[Scores]] * 20</f>
        <v>80</v>
      </c>
      <c r="G277">
        <f>IF(OR(Table7[[#This Row],[Response]]="Strongly Agree",Table7[[#This Row],[Response]]="Agree"),1,0)</f>
        <v>1</v>
      </c>
      <c r="H277" t="str">
        <f>_xlfn.XLOOKUP(Table7[[#This Row],[QuestionID]], FinalQuestions!$A:$A, FinalQuestions!$D:$D,"")</f>
        <v>Effectiveness of Risk Communication &amp; Training</v>
      </c>
      <c r="I277" t="s">
        <v>262</v>
      </c>
    </row>
    <row r="278" spans="1:9" x14ac:dyDescent="0.35">
      <c r="A278" t="s">
        <v>96</v>
      </c>
      <c r="B278" t="s">
        <v>53</v>
      </c>
      <c r="C278" t="s">
        <v>2</v>
      </c>
      <c r="D278" t="str">
        <f>VLOOKUP(Table7[[#This Row],[QuestionID]], FinalQuestions!$A:$C, 3, FALSE)</f>
        <v>Transparency</v>
      </c>
      <c r="E278">
        <f>IF(Table7[[#This Row],[Response]]="","",CHOOSE(MATCH(Table7[[#This Row],[Response]],{"Strongly Agree","Agree","Neutral","Disagree","Strongly Disagree","Not Applicable"},0),5,4,3,2,1,""))</f>
        <v>4</v>
      </c>
      <c r="F278">
        <f>Table7[[#This Row],[Scores]] * 20</f>
        <v>80</v>
      </c>
      <c r="G278">
        <f>IF(OR(Table7[[#This Row],[Response]]="Strongly Agree",Table7[[#This Row],[Response]]="Agree"),1,0)</f>
        <v>1</v>
      </c>
      <c r="H278" t="str">
        <f>_xlfn.XLOOKUP(Table7[[#This Row],[QuestionID]], FinalQuestions!$A:$A, FinalQuestions!$D:$D,"")</f>
        <v>Compliance Confidence in team</v>
      </c>
      <c r="I278" t="s">
        <v>262</v>
      </c>
    </row>
    <row r="279" spans="1:9" x14ac:dyDescent="0.35">
      <c r="A279" t="s">
        <v>96</v>
      </c>
      <c r="B279" t="s">
        <v>55</v>
      </c>
      <c r="C279" t="s">
        <v>4</v>
      </c>
      <c r="D279" t="str">
        <f>VLOOKUP(Table7[[#This Row],[QuestionID]], FinalQuestions!$A:$C, 3, FALSE)</f>
        <v>Transparency</v>
      </c>
      <c r="E279">
        <f>IF(Table7[[#This Row],[Response]]="","",CHOOSE(MATCH(Table7[[#This Row],[Response]],{"Strongly Agree","Agree","Neutral","Disagree","Strongly Disagree","Not Applicable"},0),5,4,3,2,1,""))</f>
        <v>3</v>
      </c>
      <c r="F279">
        <f>Table7[[#This Row],[Scores]] * 20</f>
        <v>60</v>
      </c>
      <c r="G279">
        <f>IF(OR(Table7[[#This Row],[Response]]="Strongly Agree",Table7[[#This Row],[Response]]="Agree"),1,0)</f>
        <v>0</v>
      </c>
      <c r="H279" t="str">
        <f>_xlfn.XLOOKUP(Table7[[#This Row],[QuestionID]], FinalQuestions!$A:$A, FinalQuestions!$D:$D,"")</f>
        <v>Transparency in Decision‑Making</v>
      </c>
      <c r="I279" t="s">
        <v>262</v>
      </c>
    </row>
    <row r="280" spans="1:9" x14ac:dyDescent="0.35">
      <c r="A280" t="s">
        <v>96</v>
      </c>
      <c r="B280" t="s">
        <v>57</v>
      </c>
      <c r="C280" t="s">
        <v>4</v>
      </c>
      <c r="D280" t="str">
        <f>VLOOKUP(Table7[[#This Row],[QuestionID]], FinalQuestions!$A:$C, 3, FALSE)</f>
        <v>Transparency</v>
      </c>
      <c r="E280">
        <f>IF(Table7[[#This Row],[Response]]="","",CHOOSE(MATCH(Table7[[#This Row],[Response]],{"Strongly Agree","Agree","Neutral","Disagree","Strongly Disagree","Not Applicable"},0),5,4,3,2,1,""))</f>
        <v>3</v>
      </c>
      <c r="F280">
        <f>Table7[[#This Row],[Scores]] * 20</f>
        <v>60</v>
      </c>
      <c r="G280">
        <f>IF(OR(Table7[[#This Row],[Response]]="Strongly Agree",Table7[[#This Row],[Response]]="Agree"),1,0)</f>
        <v>0</v>
      </c>
      <c r="H280" t="str">
        <f>_xlfn.XLOOKUP(Table7[[#This Row],[QuestionID]], FinalQuestions!$A:$A, FinalQuestions!$D:$D,"")</f>
        <v>Fairness &amp; Equity of Expectations</v>
      </c>
      <c r="I280" t="s">
        <v>262</v>
      </c>
    </row>
    <row r="281" spans="1:9" x14ac:dyDescent="0.35">
      <c r="A281" t="s">
        <v>96</v>
      </c>
      <c r="B281" t="s">
        <v>59</v>
      </c>
      <c r="C281" t="s">
        <v>4</v>
      </c>
      <c r="D281" t="str">
        <f>VLOOKUP(Table7[[#This Row],[QuestionID]], FinalQuestions!$A:$C, 3, FALSE)</f>
        <v>Transparency</v>
      </c>
      <c r="E281">
        <f>IF(Table7[[#This Row],[Response]]="","",CHOOSE(MATCH(Table7[[#This Row],[Response]],{"Strongly Agree","Agree","Neutral","Disagree","Strongly Disagree","Not Applicable"},0),5,4,3,2,1,""))</f>
        <v>3</v>
      </c>
      <c r="F281">
        <f>Table7[[#This Row],[Scores]] * 20</f>
        <v>60</v>
      </c>
      <c r="G281">
        <f>IF(OR(Table7[[#This Row],[Response]]="Strongly Agree",Table7[[#This Row],[Response]]="Agree"),1,0)</f>
        <v>0</v>
      </c>
      <c r="H281" t="str">
        <f>_xlfn.XLOOKUP(Table7[[#This Row],[QuestionID]], FinalQuestions!$A:$A, FinalQuestions!$D:$D,"")</f>
        <v>Leadership Awareness in the team</v>
      </c>
      <c r="I281" t="s">
        <v>262</v>
      </c>
    </row>
    <row r="282" spans="1:9" x14ac:dyDescent="0.35">
      <c r="A282" t="s">
        <v>96</v>
      </c>
      <c r="B282" t="s">
        <v>61</v>
      </c>
      <c r="C282" t="s">
        <v>2</v>
      </c>
      <c r="D282" t="str">
        <f>VLOOKUP(Table7[[#This Row],[QuestionID]], FinalQuestions!$A:$C, 3, FALSE)</f>
        <v>Commitment</v>
      </c>
      <c r="E282">
        <f>IF(Table7[[#This Row],[Response]]="","",CHOOSE(MATCH(Table7[[#This Row],[Response]],{"Strongly Agree","Agree","Neutral","Disagree","Strongly Disagree","Not Applicable"},0),5,4,3,2,1,""))</f>
        <v>4</v>
      </c>
      <c r="F282">
        <f>Table7[[#This Row],[Scores]] * 20</f>
        <v>80</v>
      </c>
      <c r="G282">
        <f>IF(OR(Table7[[#This Row],[Response]]="Strongly Agree",Table7[[#This Row],[Response]]="Agree"),1,0)</f>
        <v>1</v>
      </c>
      <c r="H282" t="str">
        <f>_xlfn.XLOOKUP(Table7[[#This Row],[QuestionID]], FinalQuestions!$A:$A, FinalQuestions!$D:$D,"")</f>
        <v>Motivation for Risk Ownership</v>
      </c>
      <c r="I282" t="s">
        <v>262</v>
      </c>
    </row>
    <row r="283" spans="1:9" x14ac:dyDescent="0.35">
      <c r="A283" t="s">
        <v>96</v>
      </c>
      <c r="B283" t="s">
        <v>63</v>
      </c>
      <c r="C283" t="s">
        <v>85</v>
      </c>
      <c r="D283" t="str">
        <f>VLOOKUP(Table7[[#This Row],[QuestionID]], FinalQuestions!$A:$C, 3, FALSE)</f>
        <v>Commitment</v>
      </c>
      <c r="E283">
        <f>IF(Table7[[#This Row],[Response]]="","",CHOOSE(MATCH(Table7[[#This Row],[Response]],{"Strongly Agree","Agree","Neutral","Disagree","Strongly Disagree","Not Applicable"},0),5,4,3,2,1,""))</f>
        <v>5</v>
      </c>
      <c r="F283">
        <f>Table7[[#This Row],[Scores]] * 20</f>
        <v>100</v>
      </c>
      <c r="G283">
        <f>IF(OR(Table7[[#This Row],[Response]]="Strongly Agree",Table7[[#This Row],[Response]]="Agree"),1,0)</f>
        <v>1</v>
      </c>
      <c r="H283" t="str">
        <f>_xlfn.XLOOKUP(Table7[[#This Row],[QuestionID]], FinalQuestions!$A:$A, FinalQuestions!$D:$D,"")</f>
        <v>Sense of Belonging to the Organization</v>
      </c>
      <c r="I283" t="s">
        <v>262</v>
      </c>
    </row>
    <row r="284" spans="1:9" x14ac:dyDescent="0.35">
      <c r="A284" t="s">
        <v>96</v>
      </c>
      <c r="B284" t="s">
        <v>65</v>
      </c>
      <c r="C284" t="s">
        <v>6</v>
      </c>
      <c r="D284" t="str">
        <f>VLOOKUP(Table7[[#This Row],[QuestionID]], FinalQuestions!$A:$C, 3, FALSE)</f>
        <v>Commitment</v>
      </c>
      <c r="E284">
        <f>IF(Table7[[#This Row],[Response]]="","",CHOOSE(MATCH(Table7[[#This Row],[Response]],{"Strongly Agree","Agree","Neutral","Disagree","Strongly Disagree","Not Applicable"},0),5,4,3,2,1,""))</f>
        <v>2</v>
      </c>
      <c r="F284">
        <f>Table7[[#This Row],[Scores]] * 20</f>
        <v>40</v>
      </c>
      <c r="G284">
        <f>IF(OR(Table7[[#This Row],[Response]]="Strongly Agree",Table7[[#This Row],[Response]]="Agree"),1,0)</f>
        <v>0</v>
      </c>
      <c r="H284" t="str">
        <f>_xlfn.XLOOKUP(Table7[[#This Row],[QuestionID]], FinalQuestions!$A:$A, FinalQuestions!$D:$D,"")</f>
        <v>Consideration of Impact on Others</v>
      </c>
      <c r="I284" t="s">
        <v>262</v>
      </c>
    </row>
    <row r="285" spans="1:9" x14ac:dyDescent="0.35">
      <c r="A285" t="s">
        <v>96</v>
      </c>
      <c r="B285" t="s">
        <v>67</v>
      </c>
      <c r="C285" t="s">
        <v>84</v>
      </c>
      <c r="D285" t="str">
        <f>VLOOKUP(Table7[[#This Row],[QuestionID]], FinalQuestions!$A:$C, 3, FALSE)</f>
        <v>Commitment</v>
      </c>
      <c r="E285">
        <f>IF(Table7[[#This Row],[Response]]="","",CHOOSE(MATCH(Table7[[#This Row],[Response]],{"Strongly Agree","Agree","Neutral","Disagree","Strongly Disagree","Not Applicable"},0),5,4,3,2,1,""))</f>
        <v>1</v>
      </c>
      <c r="F285">
        <f>Table7[[#This Row],[Scores]] * 20</f>
        <v>20</v>
      </c>
      <c r="G285">
        <f>IF(OR(Table7[[#This Row],[Response]]="Strongly Agree",Table7[[#This Row],[Response]]="Agree"),1,0)</f>
        <v>0</v>
      </c>
      <c r="H285" t="str">
        <f>_xlfn.XLOOKUP(Table7[[#This Row],[QuestionID]], FinalQuestions!$A:$A, FinalQuestions!$D:$D,"")</f>
        <v>Accountability for Risk Actions</v>
      </c>
      <c r="I285" t="s">
        <v>262</v>
      </c>
    </row>
    <row r="286" spans="1:9" x14ac:dyDescent="0.35">
      <c r="A286" t="s">
        <v>96</v>
      </c>
      <c r="B286" t="s">
        <v>69</v>
      </c>
      <c r="C286" t="s">
        <v>6</v>
      </c>
      <c r="D286" t="str">
        <f>VLOOKUP(Table7[[#This Row],[QuestionID]], FinalQuestions!$A:$C, 3, FALSE)</f>
        <v>Call someone to account</v>
      </c>
      <c r="E286">
        <f>IF(Table7[[#This Row],[Response]]="","",CHOOSE(MATCH(Table7[[#This Row],[Response]],{"Strongly Agree","Agree","Neutral","Disagree","Strongly Disagree","Not Applicable"},0),5,4,3,2,1,""))</f>
        <v>2</v>
      </c>
      <c r="F286">
        <f>Table7[[#This Row],[Scores]] * 20</f>
        <v>40</v>
      </c>
      <c r="G286">
        <f>IF(OR(Table7[[#This Row],[Response]]="Strongly Agree",Table7[[#This Row],[Response]]="Agree"),1,0)</f>
        <v>0</v>
      </c>
      <c r="H286" t="str">
        <f>_xlfn.XLOOKUP(Table7[[#This Row],[QuestionID]], FinalQuestions!$A:$A, FinalQuestions!$D:$D,"")</f>
        <v xml:space="preserve">Peer to peer Accountability </v>
      </c>
      <c r="I286" t="s">
        <v>262</v>
      </c>
    </row>
    <row r="287" spans="1:9" x14ac:dyDescent="0.35">
      <c r="A287" t="s">
        <v>96</v>
      </c>
      <c r="B287" t="s">
        <v>71</v>
      </c>
      <c r="C287" t="s">
        <v>4</v>
      </c>
      <c r="D287" t="str">
        <f>VLOOKUP(Table7[[#This Row],[QuestionID]], FinalQuestions!$A:$C, 3, FALSE)</f>
        <v>Call someone to account</v>
      </c>
      <c r="E287">
        <f>IF(Table7[[#This Row],[Response]]="","",CHOOSE(MATCH(Table7[[#This Row],[Response]],{"Strongly Agree","Agree","Neutral","Disagree","Strongly Disagree","Not Applicable"},0),5,4,3,2,1,""))</f>
        <v>3</v>
      </c>
      <c r="F287">
        <f>Table7[[#This Row],[Scores]] * 20</f>
        <v>60</v>
      </c>
      <c r="G287">
        <f>IF(OR(Table7[[#This Row],[Response]]="Strongly Agree",Table7[[#This Row],[Response]]="Agree"),1,0)</f>
        <v>0</v>
      </c>
      <c r="H287" t="str">
        <f>_xlfn.XLOOKUP(Table7[[#This Row],[QuestionID]], FinalQuestions!$A:$A, FinalQuestions!$D:$D,"")</f>
        <v>Timely Resolution of Accountability Issues</v>
      </c>
      <c r="I287" t="s">
        <v>262</v>
      </c>
    </row>
    <row r="288" spans="1:9" x14ac:dyDescent="0.35">
      <c r="A288" t="s">
        <v>96</v>
      </c>
      <c r="B288" t="s">
        <v>73</v>
      </c>
      <c r="C288" t="s">
        <v>4</v>
      </c>
      <c r="D288" t="str">
        <f>VLOOKUP(Table7[[#This Row],[QuestionID]], FinalQuestions!$A:$C, 3, FALSE)</f>
        <v>Call someone to account</v>
      </c>
      <c r="E288">
        <f>IF(Table7[[#This Row],[Response]]="","",CHOOSE(MATCH(Table7[[#This Row],[Response]],{"Strongly Agree","Agree","Neutral","Disagree","Strongly Disagree","Not Applicable"},0),5,4,3,2,1,""))</f>
        <v>3</v>
      </c>
      <c r="F288">
        <f>Table7[[#This Row],[Scores]] * 20</f>
        <v>60</v>
      </c>
      <c r="G288">
        <f>IF(OR(Table7[[#This Row],[Response]]="Strongly Agree",Table7[[#This Row],[Response]]="Agree"),1,0)</f>
        <v>0</v>
      </c>
      <c r="H288" t="str">
        <f>_xlfn.XLOOKUP(Table7[[#This Row],[QuestionID]], FinalQuestions!$A:$A, FinalQuestions!$D:$D,"")</f>
        <v>Comfort for Reporting Non‑Compliance.</v>
      </c>
      <c r="I288" t="s">
        <v>262</v>
      </c>
    </row>
    <row r="289" spans="1:9" x14ac:dyDescent="0.35">
      <c r="A289" t="s">
        <v>96</v>
      </c>
      <c r="B289" t="s">
        <v>75</v>
      </c>
      <c r="C289" t="s">
        <v>2</v>
      </c>
      <c r="D289" t="str">
        <f>VLOOKUP(Table7[[#This Row],[QuestionID]], FinalQuestions!$A:$C, 3, FALSE)</f>
        <v>Call someone to account</v>
      </c>
      <c r="E289">
        <f>IF(Table7[[#This Row],[Response]]="","",CHOOSE(MATCH(Table7[[#This Row],[Response]],{"Strongly Agree","Agree","Neutral","Disagree","Strongly Disagree","Not Applicable"},0),5,4,3,2,1,""))</f>
        <v>4</v>
      </c>
      <c r="F289">
        <f>Table7[[#This Row],[Scores]] * 20</f>
        <v>80</v>
      </c>
      <c r="G289">
        <f>IF(OR(Table7[[#This Row],[Response]]="Strongly Agree",Table7[[#This Row],[Response]]="Agree"),1,0)</f>
        <v>1</v>
      </c>
      <c r="H289" t="str">
        <f>_xlfn.XLOOKUP(Table7[[#This Row],[QuestionID]], FinalQuestions!$A:$A, FinalQuestions!$D:$D,"")</f>
        <v>Consistency of Conduct Enforcement</v>
      </c>
      <c r="I289" t="s">
        <v>262</v>
      </c>
    </row>
    <row r="290" spans="1:9" x14ac:dyDescent="0.35">
      <c r="A290" t="s">
        <v>97</v>
      </c>
      <c r="B290" t="s">
        <v>13</v>
      </c>
      <c r="C290" t="s">
        <v>2</v>
      </c>
      <c r="D290" t="str">
        <f>VLOOKUP(Table7[[#This Row],[QuestionID]], FinalQuestions!$A:$C, 3, FALSE)</f>
        <v>Role Modelling</v>
      </c>
      <c r="E290">
        <f>IF(Table7[[#This Row],[Response]]="","",CHOOSE(MATCH(Table7[[#This Row],[Response]],{"Strongly Agree","Agree","Neutral","Disagree","Strongly Disagree","Not Applicable"},0),5,4,3,2,1,""))</f>
        <v>4</v>
      </c>
      <c r="F290">
        <f>Table7[[#This Row],[Scores]] * 20</f>
        <v>80</v>
      </c>
      <c r="G290">
        <f>IF(OR(Table7[[#This Row],[Response]]="Strongly Agree",Table7[[#This Row],[Response]]="Agree"),1,0)</f>
        <v>1</v>
      </c>
      <c r="H290" t="str">
        <f>_xlfn.XLOOKUP(Table7[[#This Row],[QuestionID]], FinalQuestions!$A:$A, FinalQuestions!$D:$D,"")</f>
        <v xml:space="preserve">Leadership Example‑Setting in Risk Management </v>
      </c>
      <c r="I290" t="s">
        <v>263</v>
      </c>
    </row>
    <row r="291" spans="1:9" x14ac:dyDescent="0.35">
      <c r="A291" t="s">
        <v>97</v>
      </c>
      <c r="B291" t="s">
        <v>15</v>
      </c>
      <c r="C291" t="s">
        <v>4</v>
      </c>
      <c r="D291" t="str">
        <f>VLOOKUP(Table7[[#This Row],[QuestionID]], FinalQuestions!$A:$C, 3, FALSE)</f>
        <v>Role Modelling</v>
      </c>
      <c r="E291">
        <f>IF(Table7[[#This Row],[Response]]="","",CHOOSE(MATCH(Table7[[#This Row],[Response]],{"Strongly Agree","Agree","Neutral","Disagree","Strongly Disagree","Not Applicable"},0),5,4,3,2,1,""))</f>
        <v>3</v>
      </c>
      <c r="F291">
        <f>Table7[[#This Row],[Scores]] * 20</f>
        <v>60</v>
      </c>
      <c r="G291">
        <f>IF(OR(Table7[[#This Row],[Response]]="Strongly Agree",Table7[[#This Row],[Response]]="Agree"),1,0)</f>
        <v>0</v>
      </c>
      <c r="H291" t="str">
        <f>_xlfn.XLOOKUP(Table7[[#This Row],[QuestionID]], FinalQuestions!$A:$A, FinalQuestions!$D:$D,"")</f>
        <v>Executive Commitment to Risk Culture</v>
      </c>
      <c r="I291" t="s">
        <v>263</v>
      </c>
    </row>
    <row r="292" spans="1:9" x14ac:dyDescent="0.35">
      <c r="A292" t="s">
        <v>97</v>
      </c>
      <c r="B292" t="s">
        <v>17</v>
      </c>
      <c r="C292" t="s">
        <v>4</v>
      </c>
      <c r="D292" t="str">
        <f>VLOOKUP(Table7[[#This Row],[QuestionID]], FinalQuestions!$A:$C, 3, FALSE)</f>
        <v>Role Modelling</v>
      </c>
      <c r="E292">
        <f>IF(Table7[[#This Row],[Response]]="","",CHOOSE(MATCH(Table7[[#This Row],[Response]],{"Strongly Agree","Agree","Neutral","Disagree","Strongly Disagree","Not Applicable"},0),5,4,3,2,1,""))</f>
        <v>3</v>
      </c>
      <c r="F292">
        <f>Table7[[#This Row],[Scores]] * 20</f>
        <v>60</v>
      </c>
      <c r="G292">
        <f>IF(OR(Table7[[#This Row],[Response]]="Strongly Agree",Table7[[#This Row],[Response]]="Agree"),1,0)</f>
        <v>0</v>
      </c>
      <c r="H292" t="str">
        <f>_xlfn.XLOOKUP(Table7[[#This Row],[QuestionID]], FinalQuestions!$A:$A, FinalQuestions!$D:$D,"")</f>
        <v>Leadership Encouragement to Escalate Risks</v>
      </c>
      <c r="I292" t="s">
        <v>263</v>
      </c>
    </row>
    <row r="293" spans="1:9" x14ac:dyDescent="0.35">
      <c r="A293" t="s">
        <v>97</v>
      </c>
      <c r="B293" t="s">
        <v>19</v>
      </c>
      <c r="C293" t="s">
        <v>4</v>
      </c>
      <c r="D293" t="str">
        <f>VLOOKUP(Table7[[#This Row],[QuestionID]], FinalQuestions!$A:$C, 3, FALSE)</f>
        <v>Role Modelling</v>
      </c>
      <c r="E293">
        <f>IF(Table7[[#This Row],[Response]]="","",CHOOSE(MATCH(Table7[[#This Row],[Response]],{"Strongly Agree","Agree","Neutral","Disagree","Strongly Disagree","Not Applicable"},0),5,4,3,2,1,""))</f>
        <v>3</v>
      </c>
      <c r="F293">
        <f>Table7[[#This Row],[Scores]] * 20</f>
        <v>60</v>
      </c>
      <c r="G293">
        <f>IF(OR(Table7[[#This Row],[Response]]="Strongly Agree",Table7[[#This Row],[Response]]="Agree"),1,0)</f>
        <v>0</v>
      </c>
      <c r="H293" t="str">
        <f>_xlfn.XLOOKUP(Table7[[#This Row],[QuestionID]], FinalQuestions!$A:$A, FinalQuestions!$D:$D,"")</f>
        <v>Long-Term Decision Awareness</v>
      </c>
      <c r="I293" t="s">
        <v>263</v>
      </c>
    </row>
    <row r="294" spans="1:9" x14ac:dyDescent="0.35">
      <c r="A294" t="s">
        <v>97</v>
      </c>
      <c r="B294" t="s">
        <v>21</v>
      </c>
      <c r="C294" t="s">
        <v>2</v>
      </c>
      <c r="D294" t="str">
        <f>VLOOKUP(Table7[[#This Row],[QuestionID]], FinalQuestions!$A:$C, 3, FALSE)</f>
        <v>Discussability</v>
      </c>
      <c r="E294">
        <f>IF(Table7[[#This Row],[Response]]="","",CHOOSE(MATCH(Table7[[#This Row],[Response]],{"Strongly Agree","Agree","Neutral","Disagree","Strongly Disagree","Not Applicable"},0),5,4,3,2,1,""))</f>
        <v>4</v>
      </c>
      <c r="F294">
        <f>Table7[[#This Row],[Scores]] * 20</f>
        <v>80</v>
      </c>
      <c r="G294">
        <f>IF(OR(Table7[[#This Row],[Response]]="Strongly Agree",Table7[[#This Row],[Response]]="Agree"),1,0)</f>
        <v>1</v>
      </c>
      <c r="H294" t="str">
        <f>_xlfn.XLOOKUP(Table7[[#This Row],[QuestionID]], FinalQuestions!$A:$A, FinalQuestions!$D:$D,"")</f>
        <v>Openness to Discussions</v>
      </c>
      <c r="I294" t="s">
        <v>263</v>
      </c>
    </row>
    <row r="295" spans="1:9" x14ac:dyDescent="0.35">
      <c r="A295" t="s">
        <v>97</v>
      </c>
      <c r="B295" t="s">
        <v>23</v>
      </c>
      <c r="C295" t="s">
        <v>85</v>
      </c>
      <c r="D295" t="str">
        <f>VLOOKUP(Table7[[#This Row],[QuestionID]], FinalQuestions!$A:$C, 3, FALSE)</f>
        <v>Discussability</v>
      </c>
      <c r="E295">
        <f>IF(Table7[[#This Row],[Response]]="","",CHOOSE(MATCH(Table7[[#This Row],[Response]],{"Strongly Agree","Agree","Neutral","Disagree","Strongly Disagree","Not Applicable"},0),5,4,3,2,1,""))</f>
        <v>5</v>
      </c>
      <c r="F295">
        <f>Table7[[#This Row],[Scores]] * 20</f>
        <v>100</v>
      </c>
      <c r="G295">
        <f>IF(OR(Table7[[#This Row],[Response]]="Strongly Agree",Table7[[#This Row],[Response]]="Agree"),1,0)</f>
        <v>1</v>
      </c>
      <c r="H295" t="str">
        <f>_xlfn.XLOOKUP(Table7[[#This Row],[QuestionID]], FinalQuestions!$A:$A, FinalQuestions!$D:$D,"")</f>
        <v>Access to Guidance</v>
      </c>
      <c r="I295" t="s">
        <v>263</v>
      </c>
    </row>
    <row r="296" spans="1:9" x14ac:dyDescent="0.35">
      <c r="A296" t="s">
        <v>97</v>
      </c>
      <c r="B296" t="s">
        <v>25</v>
      </c>
      <c r="C296" t="s">
        <v>85</v>
      </c>
      <c r="D296" t="str">
        <f>VLOOKUP(Table7[[#This Row],[QuestionID]], FinalQuestions!$A:$C, 3, FALSE)</f>
        <v>Discussability</v>
      </c>
      <c r="E296">
        <f>IF(Table7[[#This Row],[Response]]="","",CHOOSE(MATCH(Table7[[#This Row],[Response]],{"Strongly Agree","Agree","Neutral","Disagree","Strongly Disagree","Not Applicable"},0),5,4,3,2,1,""))</f>
        <v>5</v>
      </c>
      <c r="F296">
        <f>Table7[[#This Row],[Scores]] * 20</f>
        <v>100</v>
      </c>
      <c r="G296">
        <f>IF(OR(Table7[[#This Row],[Response]]="Strongly Agree",Table7[[#This Row],[Response]]="Agree"),1,0)</f>
        <v>1</v>
      </c>
      <c r="H296" t="str">
        <f>_xlfn.XLOOKUP(Table7[[#This Row],[QuestionID]], FinalQuestions!$A:$A, FinalQuestions!$D:$D,"")</f>
        <v>Openness to Sharing Opinions</v>
      </c>
      <c r="I296" t="s">
        <v>263</v>
      </c>
    </row>
    <row r="297" spans="1:9" x14ac:dyDescent="0.35">
      <c r="A297" t="s">
        <v>97</v>
      </c>
      <c r="B297" t="s">
        <v>27</v>
      </c>
      <c r="C297" t="s">
        <v>2</v>
      </c>
      <c r="D297" t="str">
        <f>VLOOKUP(Table7[[#This Row],[QuestionID]], FinalQuestions!$A:$C, 3, FALSE)</f>
        <v>Discussability</v>
      </c>
      <c r="E297">
        <f>IF(Table7[[#This Row],[Response]]="","",CHOOSE(MATCH(Table7[[#This Row],[Response]],{"Strongly Agree","Agree","Neutral","Disagree","Strongly Disagree","Not Applicable"},0),5,4,3,2,1,""))</f>
        <v>4</v>
      </c>
      <c r="F297">
        <f>Table7[[#This Row],[Scores]] * 20</f>
        <v>80</v>
      </c>
      <c r="G297">
        <f>IF(OR(Table7[[#This Row],[Response]]="Strongly Agree",Table7[[#This Row],[Response]]="Agree"),1,0)</f>
        <v>1</v>
      </c>
      <c r="H297" t="str">
        <f>_xlfn.XLOOKUP(Table7[[#This Row],[QuestionID]], FinalQuestions!$A:$A, FinalQuestions!$D:$D,"")</f>
        <v>Comfort in Reporting Risk Dilemmas</v>
      </c>
      <c r="I297" t="s">
        <v>263</v>
      </c>
    </row>
    <row r="298" spans="1:9" x14ac:dyDescent="0.35">
      <c r="A298" t="s">
        <v>97</v>
      </c>
      <c r="B298" t="s">
        <v>29</v>
      </c>
      <c r="C298" t="s">
        <v>6</v>
      </c>
      <c r="D298" t="str">
        <f>VLOOKUP(Table7[[#This Row],[QuestionID]], FinalQuestions!$A:$C, 3, FALSE)</f>
        <v>Achievability</v>
      </c>
      <c r="E298">
        <f>IF(Table7[[#This Row],[Response]]="","",CHOOSE(MATCH(Table7[[#This Row],[Response]],{"Strongly Agree","Agree","Neutral","Disagree","Strongly Disagree","Not Applicable"},0),5,4,3,2,1,""))</f>
        <v>2</v>
      </c>
      <c r="F298">
        <f>Table7[[#This Row],[Scores]] * 20</f>
        <v>40</v>
      </c>
      <c r="G298">
        <f>IF(OR(Table7[[#This Row],[Response]]="Strongly Agree",Table7[[#This Row],[Response]]="Agree"),1,0)</f>
        <v>0</v>
      </c>
      <c r="H298" t="str">
        <f>_xlfn.XLOOKUP(Table7[[#This Row],[QuestionID]], FinalQuestions!$A:$A, FinalQuestions!$D:$D,"")</f>
        <v>Adequacy of Risk Management Training</v>
      </c>
      <c r="I298" t="s">
        <v>263</v>
      </c>
    </row>
    <row r="299" spans="1:9" x14ac:dyDescent="0.35">
      <c r="A299" t="s">
        <v>97</v>
      </c>
      <c r="B299" t="s">
        <v>31</v>
      </c>
      <c r="C299" t="s">
        <v>4</v>
      </c>
      <c r="D299" t="str">
        <f>VLOOKUP(Table7[[#This Row],[QuestionID]], FinalQuestions!$A:$C, 3, FALSE)</f>
        <v>Achievability</v>
      </c>
      <c r="E299">
        <f>IF(Table7[[#This Row],[Response]]="","",CHOOSE(MATCH(Table7[[#This Row],[Response]],{"Strongly Agree","Agree","Neutral","Disagree","Strongly Disagree","Not Applicable"},0),5,4,3,2,1,""))</f>
        <v>3</v>
      </c>
      <c r="F299">
        <f>Table7[[#This Row],[Scores]] * 20</f>
        <v>60</v>
      </c>
      <c r="G299">
        <f>IF(OR(Table7[[#This Row],[Response]]="Strongly Agree",Table7[[#This Row],[Response]]="Agree"),1,0)</f>
        <v>0</v>
      </c>
      <c r="H299" t="str">
        <f>_xlfn.XLOOKUP(Table7[[#This Row],[QuestionID]], FinalQuestions!$A:$A, FinalQuestions!$D:$D,"")</f>
        <v>Workload Balance &amp; Resource Sufficiency</v>
      </c>
      <c r="I299" t="s">
        <v>263</v>
      </c>
    </row>
    <row r="300" spans="1:9" x14ac:dyDescent="0.35">
      <c r="A300" t="s">
        <v>97</v>
      </c>
      <c r="B300" t="s">
        <v>33</v>
      </c>
      <c r="C300" t="s">
        <v>6</v>
      </c>
      <c r="D300" t="str">
        <f>VLOOKUP(Table7[[#This Row],[QuestionID]], FinalQuestions!$A:$C, 3, FALSE)</f>
        <v>Achievability</v>
      </c>
      <c r="E300">
        <f>IF(Table7[[#This Row],[Response]]="","",CHOOSE(MATCH(Table7[[#This Row],[Response]],{"Strongly Agree","Agree","Neutral","Disagree","Strongly Disagree","Not Applicable"},0),5,4,3,2,1,""))</f>
        <v>2</v>
      </c>
      <c r="F300">
        <f>Table7[[#This Row],[Scores]] * 20</f>
        <v>40</v>
      </c>
      <c r="G300">
        <f>IF(OR(Table7[[#This Row],[Response]]="Strongly Agree",Table7[[#This Row],[Response]]="Agree"),1,0)</f>
        <v>0</v>
      </c>
      <c r="H300" t="str">
        <f>_xlfn.XLOOKUP(Table7[[#This Row],[QuestionID]], FinalQuestions!$A:$A, FinalQuestions!$D:$D,"")</f>
        <v>Realistic Target Setting</v>
      </c>
      <c r="I300" t="s">
        <v>263</v>
      </c>
    </row>
    <row r="301" spans="1:9" x14ac:dyDescent="0.35">
      <c r="A301" t="s">
        <v>97</v>
      </c>
      <c r="B301" t="s">
        <v>35</v>
      </c>
      <c r="C301" t="s">
        <v>2</v>
      </c>
      <c r="D301" t="str">
        <f>VLOOKUP(Table7[[#This Row],[QuestionID]], FinalQuestions!$A:$C, 3, FALSE)</f>
        <v>Achievability</v>
      </c>
      <c r="E301">
        <f>IF(Table7[[#This Row],[Response]]="","",CHOOSE(MATCH(Table7[[#This Row],[Response]],{"Strongly Agree","Agree","Neutral","Disagree","Strongly Disagree","Not Applicable"},0),5,4,3,2,1,""))</f>
        <v>4</v>
      </c>
      <c r="F301">
        <f>Table7[[#This Row],[Scores]] * 20</f>
        <v>80</v>
      </c>
      <c r="G301">
        <f>IF(OR(Table7[[#This Row],[Response]]="Strongly Agree",Table7[[#This Row],[Response]]="Agree"),1,0)</f>
        <v>1</v>
      </c>
      <c r="H301" t="str">
        <f>_xlfn.XLOOKUP(Table7[[#This Row],[QuestionID]], FinalQuestions!$A:$A, FinalQuestions!$D:$D,"")</f>
        <v>Risk Insight in Decision Making</v>
      </c>
      <c r="I301" t="s">
        <v>263</v>
      </c>
    </row>
    <row r="302" spans="1:9" x14ac:dyDescent="0.35">
      <c r="A302" t="s">
        <v>97</v>
      </c>
      <c r="B302" t="s">
        <v>37</v>
      </c>
      <c r="C302" t="s">
        <v>6</v>
      </c>
      <c r="D302" t="str">
        <f>VLOOKUP(Table7[[#This Row],[QuestionID]], FinalQuestions!$A:$C, 3, FALSE)</f>
        <v>Enforcement</v>
      </c>
      <c r="E302">
        <f>IF(Table7[[#This Row],[Response]]="","",CHOOSE(MATCH(Table7[[#This Row],[Response]],{"Strongly Agree","Agree","Neutral","Disagree","Strongly Disagree","Not Applicable"},0),5,4,3,2,1,""))</f>
        <v>2</v>
      </c>
      <c r="F302">
        <f>Table7[[#This Row],[Scores]] * 20</f>
        <v>40</v>
      </c>
      <c r="G302">
        <f>IF(OR(Table7[[#This Row],[Response]]="Strongly Agree",Table7[[#This Row],[Response]]="Agree"),1,0)</f>
        <v>0</v>
      </c>
      <c r="H302" t="str">
        <f>_xlfn.XLOOKUP(Table7[[#This Row],[QuestionID]], FinalQuestions!$A:$A, FinalQuestions!$D:$D,"")</f>
        <v>Learning Culture from Non‑Compliance Cases</v>
      </c>
      <c r="I302" t="s">
        <v>263</v>
      </c>
    </row>
    <row r="303" spans="1:9" x14ac:dyDescent="0.35">
      <c r="A303" t="s">
        <v>97</v>
      </c>
      <c r="B303" t="s">
        <v>39</v>
      </c>
      <c r="C303" t="s">
        <v>4</v>
      </c>
      <c r="D303" t="str">
        <f>VLOOKUP(Table7[[#This Row],[QuestionID]], FinalQuestions!$A:$C, 3, FALSE)</f>
        <v>Enforcement</v>
      </c>
      <c r="E303">
        <f>IF(Table7[[#This Row],[Response]]="","",CHOOSE(MATCH(Table7[[#This Row],[Response]],{"Strongly Agree","Agree","Neutral","Disagree","Strongly Disagree","Not Applicable"},0),5,4,3,2,1,""))</f>
        <v>3</v>
      </c>
      <c r="F303">
        <f>Table7[[#This Row],[Scores]] * 20</f>
        <v>60</v>
      </c>
      <c r="G303">
        <f>IF(OR(Table7[[#This Row],[Response]]="Strongly Agree",Table7[[#This Row],[Response]]="Agree"),1,0)</f>
        <v>0</v>
      </c>
      <c r="H303" t="str">
        <f>_xlfn.XLOOKUP(Table7[[#This Row],[QuestionID]], FinalQuestions!$A:$A, FinalQuestions!$D:$D,"")</f>
        <v>Organizational View on Risk Culture</v>
      </c>
      <c r="I303" t="s">
        <v>263</v>
      </c>
    </row>
    <row r="304" spans="1:9" x14ac:dyDescent="0.35">
      <c r="A304" t="s">
        <v>97</v>
      </c>
      <c r="B304" t="s">
        <v>41</v>
      </c>
      <c r="C304" t="s">
        <v>85</v>
      </c>
      <c r="D304" t="str">
        <f>VLOOKUP(Table7[[#This Row],[QuestionID]], FinalQuestions!$A:$C, 3, FALSE)</f>
        <v>Enforcement</v>
      </c>
      <c r="E304">
        <f>IF(Table7[[#This Row],[Response]]="","",CHOOSE(MATCH(Table7[[#This Row],[Response]],{"Strongly Agree","Agree","Neutral","Disagree","Strongly Disagree","Not Applicable"},0),5,4,3,2,1,""))</f>
        <v>5</v>
      </c>
      <c r="F304">
        <f>Table7[[#This Row],[Scores]] * 20</f>
        <v>100</v>
      </c>
      <c r="G304">
        <f>IF(OR(Table7[[#This Row],[Response]]="Strongly Agree",Table7[[#This Row],[Response]]="Agree"),1,0)</f>
        <v>1</v>
      </c>
      <c r="H304" t="str">
        <f>_xlfn.XLOOKUP(Table7[[#This Row],[QuestionID]], FinalQuestions!$A:$A, FinalQuestions!$D:$D,"")</f>
        <v>Compliance Recognition &amp; enforcement</v>
      </c>
      <c r="I304" t="s">
        <v>263</v>
      </c>
    </row>
    <row r="305" spans="1:9" x14ac:dyDescent="0.35">
      <c r="A305" t="s">
        <v>97</v>
      </c>
      <c r="B305" t="s">
        <v>43</v>
      </c>
      <c r="C305" t="s">
        <v>85</v>
      </c>
      <c r="D305" t="str">
        <f>VLOOKUP(Table7[[#This Row],[QuestionID]], FinalQuestions!$A:$C, 3, FALSE)</f>
        <v>Enforcement</v>
      </c>
      <c r="E305">
        <f>IF(Table7[[#This Row],[Response]]="","",CHOOSE(MATCH(Table7[[#This Row],[Response]],{"Strongly Agree","Agree","Neutral","Disagree","Strongly Disagree","Not Applicable"},0),5,4,3,2,1,""))</f>
        <v>5</v>
      </c>
      <c r="F305">
        <f>Table7[[#This Row],[Scores]] * 20</f>
        <v>100</v>
      </c>
      <c r="G305">
        <f>IF(OR(Table7[[#This Row],[Response]]="Strongly Agree",Table7[[#This Row],[Response]]="Agree"),1,0)</f>
        <v>1</v>
      </c>
      <c r="H305" t="str">
        <f>_xlfn.XLOOKUP(Table7[[#This Row],[QuestionID]], FinalQuestions!$A:$A, FinalQuestions!$D:$D,"")</f>
        <v>Sense of Ownership</v>
      </c>
      <c r="I305" t="s">
        <v>263</v>
      </c>
    </row>
    <row r="306" spans="1:9" x14ac:dyDescent="0.35">
      <c r="A306" t="s">
        <v>97</v>
      </c>
      <c r="B306" t="s">
        <v>45</v>
      </c>
      <c r="C306" t="s">
        <v>6</v>
      </c>
      <c r="D306" t="str">
        <f>VLOOKUP(Table7[[#This Row],[QuestionID]], FinalQuestions!$A:$C, 3, FALSE)</f>
        <v>Clarity</v>
      </c>
      <c r="E306">
        <f>IF(Table7[[#This Row],[Response]]="","",CHOOSE(MATCH(Table7[[#This Row],[Response]],{"Strongly Agree","Agree","Neutral","Disagree","Strongly Disagree","Not Applicable"},0),5,4,3,2,1,""))</f>
        <v>2</v>
      </c>
      <c r="F306">
        <f>Table7[[#This Row],[Scores]] * 20</f>
        <v>40</v>
      </c>
      <c r="G306">
        <f>IF(OR(Table7[[#This Row],[Response]]="Strongly Agree",Table7[[#This Row],[Response]]="Agree"),1,0)</f>
        <v>0</v>
      </c>
      <c r="H306" t="str">
        <f>_xlfn.XLOOKUP(Table7[[#This Row],[QuestionID]], FinalQuestions!$A:$A, FinalQuestions!$D:$D,"")</f>
        <v>Clarity of Role and Responsibilities</v>
      </c>
      <c r="I306" t="s">
        <v>263</v>
      </c>
    </row>
    <row r="307" spans="1:9" x14ac:dyDescent="0.35">
      <c r="A307" t="s">
        <v>97</v>
      </c>
      <c r="B307" t="s">
        <v>47</v>
      </c>
      <c r="C307" t="s">
        <v>84</v>
      </c>
      <c r="D307" t="str">
        <f>VLOOKUP(Table7[[#This Row],[QuestionID]], FinalQuestions!$A:$C, 3, FALSE)</f>
        <v>Clarity</v>
      </c>
      <c r="E307">
        <f>IF(Table7[[#This Row],[Response]]="","",CHOOSE(MATCH(Table7[[#This Row],[Response]],{"Strongly Agree","Agree","Neutral","Disagree","Strongly Disagree","Not Applicable"},0),5,4,3,2,1,""))</f>
        <v>1</v>
      </c>
      <c r="F307">
        <f>Table7[[#This Row],[Scores]] * 20</f>
        <v>20</v>
      </c>
      <c r="G307">
        <f>IF(OR(Table7[[#This Row],[Response]]="Strongly Agree",Table7[[#This Row],[Response]]="Agree"),1,0)</f>
        <v>0</v>
      </c>
      <c r="H307" t="str">
        <f>_xlfn.XLOOKUP(Table7[[#This Row],[QuestionID]], FinalQuestions!$A:$A, FinalQuestions!$D:$D,"")</f>
        <v>Understanding of Risk Policies &amp; Procedures</v>
      </c>
      <c r="I307" t="s">
        <v>263</v>
      </c>
    </row>
    <row r="308" spans="1:9" x14ac:dyDescent="0.35">
      <c r="A308" t="s">
        <v>97</v>
      </c>
      <c r="B308" t="s">
        <v>49</v>
      </c>
      <c r="C308" t="s">
        <v>6</v>
      </c>
      <c r="D308" t="str">
        <f>VLOOKUP(Table7[[#This Row],[QuestionID]], FinalQuestions!$A:$C, 3, FALSE)</f>
        <v>Clarity</v>
      </c>
      <c r="E308">
        <f>IF(Table7[[#This Row],[Response]]="","",CHOOSE(MATCH(Table7[[#This Row],[Response]],{"Strongly Agree","Agree","Neutral","Disagree","Strongly Disagree","Not Applicable"},0),5,4,3,2,1,""))</f>
        <v>2</v>
      </c>
      <c r="F308">
        <f>Table7[[#This Row],[Scores]] * 20</f>
        <v>40</v>
      </c>
      <c r="G308">
        <f>IF(OR(Table7[[#This Row],[Response]]="Strongly Agree",Table7[[#This Row],[Response]]="Agree"),1,0)</f>
        <v>0</v>
      </c>
      <c r="H308" t="str">
        <f>_xlfn.XLOOKUP(Table7[[#This Row],[QuestionID]], FinalQuestions!$A:$A, FinalQuestions!$D:$D,"")</f>
        <v>Clarity of Personal Risk Boundaries</v>
      </c>
      <c r="I308" t="s">
        <v>263</v>
      </c>
    </row>
    <row r="309" spans="1:9" x14ac:dyDescent="0.35">
      <c r="A309" t="s">
        <v>97</v>
      </c>
      <c r="B309" t="s">
        <v>51</v>
      </c>
      <c r="C309" t="s">
        <v>4</v>
      </c>
      <c r="D309" t="str">
        <f>VLOOKUP(Table7[[#This Row],[QuestionID]], FinalQuestions!$A:$C, 3, FALSE)</f>
        <v>Clarity</v>
      </c>
      <c r="E309">
        <f>IF(Table7[[#This Row],[Response]]="","",CHOOSE(MATCH(Table7[[#This Row],[Response]],{"Strongly Agree","Agree","Neutral","Disagree","Strongly Disagree","Not Applicable"},0),5,4,3,2,1,""))</f>
        <v>3</v>
      </c>
      <c r="F309">
        <f>Table7[[#This Row],[Scores]] * 20</f>
        <v>60</v>
      </c>
      <c r="G309">
        <f>IF(OR(Table7[[#This Row],[Response]]="Strongly Agree",Table7[[#This Row],[Response]]="Agree"),1,0)</f>
        <v>0</v>
      </c>
      <c r="H309" t="str">
        <f>_xlfn.XLOOKUP(Table7[[#This Row],[QuestionID]], FinalQuestions!$A:$A, FinalQuestions!$D:$D,"")</f>
        <v>Effectiveness of Risk Communication &amp; Training</v>
      </c>
      <c r="I309" t="s">
        <v>263</v>
      </c>
    </row>
    <row r="310" spans="1:9" x14ac:dyDescent="0.35">
      <c r="A310" t="s">
        <v>97</v>
      </c>
      <c r="B310" t="s">
        <v>53</v>
      </c>
      <c r="C310" t="s">
        <v>4</v>
      </c>
      <c r="D310" t="str">
        <f>VLOOKUP(Table7[[#This Row],[QuestionID]], FinalQuestions!$A:$C, 3, FALSE)</f>
        <v>Transparency</v>
      </c>
      <c r="E310">
        <f>IF(Table7[[#This Row],[Response]]="","",CHOOSE(MATCH(Table7[[#This Row],[Response]],{"Strongly Agree","Agree","Neutral","Disagree","Strongly Disagree","Not Applicable"},0),5,4,3,2,1,""))</f>
        <v>3</v>
      </c>
      <c r="F310">
        <f>Table7[[#This Row],[Scores]] * 20</f>
        <v>60</v>
      </c>
      <c r="G310">
        <f>IF(OR(Table7[[#This Row],[Response]]="Strongly Agree",Table7[[#This Row],[Response]]="Agree"),1,0)</f>
        <v>0</v>
      </c>
      <c r="H310" t="str">
        <f>_xlfn.XLOOKUP(Table7[[#This Row],[QuestionID]], FinalQuestions!$A:$A, FinalQuestions!$D:$D,"")</f>
        <v>Compliance Confidence in team</v>
      </c>
      <c r="I310" t="s">
        <v>263</v>
      </c>
    </row>
    <row r="311" spans="1:9" x14ac:dyDescent="0.35">
      <c r="A311" t="s">
        <v>97</v>
      </c>
      <c r="B311" t="s">
        <v>55</v>
      </c>
      <c r="C311" t="s">
        <v>2</v>
      </c>
      <c r="D311" t="str">
        <f>VLOOKUP(Table7[[#This Row],[QuestionID]], FinalQuestions!$A:$C, 3, FALSE)</f>
        <v>Transparency</v>
      </c>
      <c r="E311">
        <f>IF(Table7[[#This Row],[Response]]="","",CHOOSE(MATCH(Table7[[#This Row],[Response]],{"Strongly Agree","Agree","Neutral","Disagree","Strongly Disagree","Not Applicable"},0),5,4,3,2,1,""))</f>
        <v>4</v>
      </c>
      <c r="F311">
        <f>Table7[[#This Row],[Scores]] * 20</f>
        <v>80</v>
      </c>
      <c r="G311">
        <f>IF(OR(Table7[[#This Row],[Response]]="Strongly Agree",Table7[[#This Row],[Response]]="Agree"),1,0)</f>
        <v>1</v>
      </c>
      <c r="H311" t="str">
        <f>_xlfn.XLOOKUP(Table7[[#This Row],[QuestionID]], FinalQuestions!$A:$A, FinalQuestions!$D:$D,"")</f>
        <v>Transparency in Decision‑Making</v>
      </c>
      <c r="I311" t="s">
        <v>263</v>
      </c>
    </row>
    <row r="312" spans="1:9" x14ac:dyDescent="0.35">
      <c r="A312" t="s">
        <v>97</v>
      </c>
      <c r="B312" t="s">
        <v>57</v>
      </c>
      <c r="C312" t="s">
        <v>2</v>
      </c>
      <c r="D312" t="str">
        <f>VLOOKUP(Table7[[#This Row],[QuestionID]], FinalQuestions!$A:$C, 3, FALSE)</f>
        <v>Transparency</v>
      </c>
      <c r="E312">
        <f>IF(Table7[[#This Row],[Response]]="","",CHOOSE(MATCH(Table7[[#This Row],[Response]],{"Strongly Agree","Agree","Neutral","Disagree","Strongly Disagree","Not Applicable"},0),5,4,3,2,1,""))</f>
        <v>4</v>
      </c>
      <c r="F312">
        <f>Table7[[#This Row],[Scores]] * 20</f>
        <v>80</v>
      </c>
      <c r="G312">
        <f>IF(OR(Table7[[#This Row],[Response]]="Strongly Agree",Table7[[#This Row],[Response]]="Agree"),1,0)</f>
        <v>1</v>
      </c>
      <c r="H312" t="str">
        <f>_xlfn.XLOOKUP(Table7[[#This Row],[QuestionID]], FinalQuestions!$A:$A, FinalQuestions!$D:$D,"")</f>
        <v>Fairness &amp; Equity of Expectations</v>
      </c>
      <c r="I312" t="s">
        <v>263</v>
      </c>
    </row>
    <row r="313" spans="1:9" x14ac:dyDescent="0.35">
      <c r="A313" t="s">
        <v>97</v>
      </c>
      <c r="B313" t="s">
        <v>59</v>
      </c>
      <c r="C313" t="s">
        <v>4</v>
      </c>
      <c r="D313" t="str">
        <f>VLOOKUP(Table7[[#This Row],[QuestionID]], FinalQuestions!$A:$C, 3, FALSE)</f>
        <v>Transparency</v>
      </c>
      <c r="E313">
        <f>IF(Table7[[#This Row],[Response]]="","",CHOOSE(MATCH(Table7[[#This Row],[Response]],{"Strongly Agree","Agree","Neutral","Disagree","Strongly Disagree","Not Applicable"},0),5,4,3,2,1,""))</f>
        <v>3</v>
      </c>
      <c r="F313">
        <f>Table7[[#This Row],[Scores]] * 20</f>
        <v>60</v>
      </c>
      <c r="G313">
        <f>IF(OR(Table7[[#This Row],[Response]]="Strongly Agree",Table7[[#This Row],[Response]]="Agree"),1,0)</f>
        <v>0</v>
      </c>
      <c r="H313" t="str">
        <f>_xlfn.XLOOKUP(Table7[[#This Row],[QuestionID]], FinalQuestions!$A:$A, FinalQuestions!$D:$D,"")</f>
        <v>Leadership Awareness in the team</v>
      </c>
      <c r="I313" t="s">
        <v>263</v>
      </c>
    </row>
    <row r="314" spans="1:9" x14ac:dyDescent="0.35">
      <c r="A314" t="s">
        <v>97</v>
      </c>
      <c r="B314" t="s">
        <v>61</v>
      </c>
      <c r="C314" t="s">
        <v>4</v>
      </c>
      <c r="D314" t="str">
        <f>VLOOKUP(Table7[[#This Row],[QuestionID]], FinalQuestions!$A:$C, 3, FALSE)</f>
        <v>Commitment</v>
      </c>
      <c r="E314">
        <f>IF(Table7[[#This Row],[Response]]="","",CHOOSE(MATCH(Table7[[#This Row],[Response]],{"Strongly Agree","Agree","Neutral","Disagree","Strongly Disagree","Not Applicable"},0),5,4,3,2,1,""))</f>
        <v>3</v>
      </c>
      <c r="F314">
        <f>Table7[[#This Row],[Scores]] * 20</f>
        <v>60</v>
      </c>
      <c r="G314">
        <f>IF(OR(Table7[[#This Row],[Response]]="Strongly Agree",Table7[[#This Row],[Response]]="Agree"),1,0)</f>
        <v>0</v>
      </c>
      <c r="H314" t="str">
        <f>_xlfn.XLOOKUP(Table7[[#This Row],[QuestionID]], FinalQuestions!$A:$A, FinalQuestions!$D:$D,"")</f>
        <v>Motivation for Risk Ownership</v>
      </c>
      <c r="I314" t="s">
        <v>263</v>
      </c>
    </row>
    <row r="315" spans="1:9" x14ac:dyDescent="0.35">
      <c r="A315" t="s">
        <v>97</v>
      </c>
      <c r="B315" t="s">
        <v>63</v>
      </c>
      <c r="C315" t="s">
        <v>4</v>
      </c>
      <c r="D315" t="str">
        <f>VLOOKUP(Table7[[#This Row],[QuestionID]], FinalQuestions!$A:$C, 3, FALSE)</f>
        <v>Commitment</v>
      </c>
      <c r="E315">
        <f>IF(Table7[[#This Row],[Response]]="","",CHOOSE(MATCH(Table7[[#This Row],[Response]],{"Strongly Agree","Agree","Neutral","Disagree","Strongly Disagree","Not Applicable"},0),5,4,3,2,1,""))</f>
        <v>3</v>
      </c>
      <c r="F315">
        <f>Table7[[#This Row],[Scores]] * 20</f>
        <v>60</v>
      </c>
      <c r="G315">
        <f>IF(OR(Table7[[#This Row],[Response]]="Strongly Agree",Table7[[#This Row],[Response]]="Agree"),1,0)</f>
        <v>0</v>
      </c>
      <c r="H315" t="str">
        <f>_xlfn.XLOOKUP(Table7[[#This Row],[QuestionID]], FinalQuestions!$A:$A, FinalQuestions!$D:$D,"")</f>
        <v>Sense of Belonging to the Organization</v>
      </c>
      <c r="I315" t="s">
        <v>263</v>
      </c>
    </row>
    <row r="316" spans="1:9" x14ac:dyDescent="0.35">
      <c r="A316" t="s">
        <v>97</v>
      </c>
      <c r="B316" t="s">
        <v>65</v>
      </c>
      <c r="C316" t="s">
        <v>2</v>
      </c>
      <c r="D316" t="str">
        <f>VLOOKUP(Table7[[#This Row],[QuestionID]], FinalQuestions!$A:$C, 3, FALSE)</f>
        <v>Commitment</v>
      </c>
      <c r="E316">
        <f>IF(Table7[[#This Row],[Response]]="","",CHOOSE(MATCH(Table7[[#This Row],[Response]],{"Strongly Agree","Agree","Neutral","Disagree","Strongly Disagree","Not Applicable"},0),5,4,3,2,1,""))</f>
        <v>4</v>
      </c>
      <c r="F316">
        <f>Table7[[#This Row],[Scores]] * 20</f>
        <v>80</v>
      </c>
      <c r="G316">
        <f>IF(OR(Table7[[#This Row],[Response]]="Strongly Agree",Table7[[#This Row],[Response]]="Agree"),1,0)</f>
        <v>1</v>
      </c>
      <c r="H316" t="str">
        <f>_xlfn.XLOOKUP(Table7[[#This Row],[QuestionID]], FinalQuestions!$A:$A, FinalQuestions!$D:$D,"")</f>
        <v>Consideration of Impact on Others</v>
      </c>
      <c r="I316" t="s">
        <v>263</v>
      </c>
    </row>
    <row r="317" spans="1:9" x14ac:dyDescent="0.35">
      <c r="A317" t="s">
        <v>97</v>
      </c>
      <c r="B317" t="s">
        <v>67</v>
      </c>
      <c r="C317" t="s">
        <v>85</v>
      </c>
      <c r="D317" t="str">
        <f>VLOOKUP(Table7[[#This Row],[QuestionID]], FinalQuestions!$A:$C, 3, FALSE)</f>
        <v>Commitment</v>
      </c>
      <c r="E317">
        <f>IF(Table7[[#This Row],[Response]]="","",CHOOSE(MATCH(Table7[[#This Row],[Response]],{"Strongly Agree","Agree","Neutral","Disagree","Strongly Disagree","Not Applicable"},0),5,4,3,2,1,""))</f>
        <v>5</v>
      </c>
      <c r="F317">
        <f>Table7[[#This Row],[Scores]] * 20</f>
        <v>100</v>
      </c>
      <c r="G317">
        <f>IF(OR(Table7[[#This Row],[Response]]="Strongly Agree",Table7[[#This Row],[Response]]="Agree"),1,0)</f>
        <v>1</v>
      </c>
      <c r="H317" t="str">
        <f>_xlfn.XLOOKUP(Table7[[#This Row],[QuestionID]], FinalQuestions!$A:$A, FinalQuestions!$D:$D,"")</f>
        <v>Accountability for Risk Actions</v>
      </c>
      <c r="I317" t="s">
        <v>263</v>
      </c>
    </row>
    <row r="318" spans="1:9" x14ac:dyDescent="0.35">
      <c r="A318" t="s">
        <v>97</v>
      </c>
      <c r="B318" t="s">
        <v>69</v>
      </c>
      <c r="C318" t="s">
        <v>6</v>
      </c>
      <c r="D318" t="str">
        <f>VLOOKUP(Table7[[#This Row],[QuestionID]], FinalQuestions!$A:$C, 3, FALSE)</f>
        <v>Call someone to account</v>
      </c>
      <c r="E318">
        <f>IF(Table7[[#This Row],[Response]]="","",CHOOSE(MATCH(Table7[[#This Row],[Response]],{"Strongly Agree","Agree","Neutral","Disagree","Strongly Disagree","Not Applicable"},0),5,4,3,2,1,""))</f>
        <v>2</v>
      </c>
      <c r="F318">
        <f>Table7[[#This Row],[Scores]] * 20</f>
        <v>40</v>
      </c>
      <c r="G318">
        <f>IF(OR(Table7[[#This Row],[Response]]="Strongly Agree",Table7[[#This Row],[Response]]="Agree"),1,0)</f>
        <v>0</v>
      </c>
      <c r="H318" t="str">
        <f>_xlfn.XLOOKUP(Table7[[#This Row],[QuestionID]], FinalQuestions!$A:$A, FinalQuestions!$D:$D,"")</f>
        <v xml:space="preserve">Peer to peer Accountability </v>
      </c>
      <c r="I318" t="s">
        <v>263</v>
      </c>
    </row>
    <row r="319" spans="1:9" x14ac:dyDescent="0.35">
      <c r="A319" t="s">
        <v>97</v>
      </c>
      <c r="B319" t="s">
        <v>71</v>
      </c>
      <c r="C319" t="s">
        <v>84</v>
      </c>
      <c r="D319" t="str">
        <f>VLOOKUP(Table7[[#This Row],[QuestionID]], FinalQuestions!$A:$C, 3, FALSE)</f>
        <v>Call someone to account</v>
      </c>
      <c r="E319">
        <f>IF(Table7[[#This Row],[Response]]="","",CHOOSE(MATCH(Table7[[#This Row],[Response]],{"Strongly Agree","Agree","Neutral","Disagree","Strongly Disagree","Not Applicable"},0),5,4,3,2,1,""))</f>
        <v>1</v>
      </c>
      <c r="F319">
        <f>Table7[[#This Row],[Scores]] * 20</f>
        <v>20</v>
      </c>
      <c r="G319">
        <f>IF(OR(Table7[[#This Row],[Response]]="Strongly Agree",Table7[[#This Row],[Response]]="Agree"),1,0)</f>
        <v>0</v>
      </c>
      <c r="H319" t="str">
        <f>_xlfn.XLOOKUP(Table7[[#This Row],[QuestionID]], FinalQuestions!$A:$A, FinalQuestions!$D:$D,"")</f>
        <v>Timely Resolution of Accountability Issues</v>
      </c>
      <c r="I319" t="s">
        <v>263</v>
      </c>
    </row>
    <row r="320" spans="1:9" x14ac:dyDescent="0.35">
      <c r="A320" t="s">
        <v>97</v>
      </c>
      <c r="B320" t="s">
        <v>73</v>
      </c>
      <c r="C320" t="s">
        <v>6</v>
      </c>
      <c r="D320" t="str">
        <f>VLOOKUP(Table7[[#This Row],[QuestionID]], FinalQuestions!$A:$C, 3, FALSE)</f>
        <v>Call someone to account</v>
      </c>
      <c r="E320">
        <f>IF(Table7[[#This Row],[Response]]="","",CHOOSE(MATCH(Table7[[#This Row],[Response]],{"Strongly Agree","Agree","Neutral","Disagree","Strongly Disagree","Not Applicable"},0),5,4,3,2,1,""))</f>
        <v>2</v>
      </c>
      <c r="F320">
        <f>Table7[[#This Row],[Scores]] * 20</f>
        <v>40</v>
      </c>
      <c r="G320">
        <f>IF(OR(Table7[[#This Row],[Response]]="Strongly Agree",Table7[[#This Row],[Response]]="Agree"),1,0)</f>
        <v>0</v>
      </c>
      <c r="H320" t="str">
        <f>_xlfn.XLOOKUP(Table7[[#This Row],[QuestionID]], FinalQuestions!$A:$A, FinalQuestions!$D:$D,"")</f>
        <v>Comfort for Reporting Non‑Compliance.</v>
      </c>
      <c r="I320" t="s">
        <v>263</v>
      </c>
    </row>
    <row r="321" spans="1:9" x14ac:dyDescent="0.35">
      <c r="A321" t="s">
        <v>97</v>
      </c>
      <c r="B321" t="s">
        <v>75</v>
      </c>
      <c r="C321" t="s">
        <v>4</v>
      </c>
      <c r="D321" t="str">
        <f>VLOOKUP(Table7[[#This Row],[QuestionID]], FinalQuestions!$A:$C, 3, FALSE)</f>
        <v>Call someone to account</v>
      </c>
      <c r="E321">
        <f>IF(Table7[[#This Row],[Response]]="","",CHOOSE(MATCH(Table7[[#This Row],[Response]],{"Strongly Agree","Agree","Neutral","Disagree","Strongly Disagree","Not Applicable"},0),5,4,3,2,1,""))</f>
        <v>3</v>
      </c>
      <c r="F321">
        <f>Table7[[#This Row],[Scores]] * 20</f>
        <v>60</v>
      </c>
      <c r="G321">
        <f>IF(OR(Table7[[#This Row],[Response]]="Strongly Agree",Table7[[#This Row],[Response]]="Agree"),1,0)</f>
        <v>0</v>
      </c>
      <c r="H321" t="str">
        <f>_xlfn.XLOOKUP(Table7[[#This Row],[QuestionID]], FinalQuestions!$A:$A, FinalQuestions!$D:$D,"")</f>
        <v>Consistency of Conduct Enforcement</v>
      </c>
      <c r="I321" t="s">
        <v>263</v>
      </c>
    </row>
    <row r="322" spans="1:9" x14ac:dyDescent="0.35">
      <c r="A322" t="s">
        <v>98</v>
      </c>
      <c r="B322" t="s">
        <v>13</v>
      </c>
      <c r="C322" t="s">
        <v>4</v>
      </c>
      <c r="D322" t="str">
        <f>VLOOKUP(Table7[[#This Row],[QuestionID]], FinalQuestions!$A:$C, 3, FALSE)</f>
        <v>Role Modelling</v>
      </c>
      <c r="E322">
        <f>IF(Table7[[#This Row],[Response]]="","",CHOOSE(MATCH(Table7[[#This Row],[Response]],{"Strongly Agree","Agree","Neutral","Disagree","Strongly Disagree","Not Applicable"},0),5,4,3,2,1,""))</f>
        <v>3</v>
      </c>
      <c r="F322">
        <f>Table7[[#This Row],[Scores]] * 20</f>
        <v>60</v>
      </c>
      <c r="G322">
        <f>IF(OR(Table7[[#This Row],[Response]]="Strongly Agree",Table7[[#This Row],[Response]]="Agree"),1,0)</f>
        <v>0</v>
      </c>
      <c r="H322" t="str">
        <f>_xlfn.XLOOKUP(Table7[[#This Row],[QuestionID]], FinalQuestions!$A:$A, FinalQuestions!$D:$D,"")</f>
        <v xml:space="preserve">Leadership Example‑Setting in Risk Management </v>
      </c>
      <c r="I322" t="s">
        <v>267</v>
      </c>
    </row>
    <row r="323" spans="1:9" x14ac:dyDescent="0.35">
      <c r="A323" t="s">
        <v>98</v>
      </c>
      <c r="B323" t="s">
        <v>15</v>
      </c>
      <c r="C323" t="s">
        <v>2</v>
      </c>
      <c r="D323" t="str">
        <f>VLOOKUP(Table7[[#This Row],[QuestionID]], FinalQuestions!$A:$C, 3, FALSE)</f>
        <v>Role Modelling</v>
      </c>
      <c r="E323">
        <f>IF(Table7[[#This Row],[Response]]="","",CHOOSE(MATCH(Table7[[#This Row],[Response]],{"Strongly Agree","Agree","Neutral","Disagree","Strongly Disagree","Not Applicable"},0),5,4,3,2,1,""))</f>
        <v>4</v>
      </c>
      <c r="F323">
        <f>Table7[[#This Row],[Scores]] * 20</f>
        <v>80</v>
      </c>
      <c r="G323">
        <f>IF(OR(Table7[[#This Row],[Response]]="Strongly Agree",Table7[[#This Row],[Response]]="Agree"),1,0)</f>
        <v>1</v>
      </c>
      <c r="H323" t="str">
        <f>_xlfn.XLOOKUP(Table7[[#This Row],[QuestionID]], FinalQuestions!$A:$A, FinalQuestions!$D:$D,"")</f>
        <v>Executive Commitment to Risk Culture</v>
      </c>
      <c r="I323" t="s">
        <v>267</v>
      </c>
    </row>
    <row r="324" spans="1:9" x14ac:dyDescent="0.35">
      <c r="A324" t="s">
        <v>98</v>
      </c>
      <c r="B324" t="s">
        <v>17</v>
      </c>
      <c r="C324" t="s">
        <v>2</v>
      </c>
      <c r="D324" t="str">
        <f>VLOOKUP(Table7[[#This Row],[QuestionID]], FinalQuestions!$A:$C, 3, FALSE)</f>
        <v>Role Modelling</v>
      </c>
      <c r="E324">
        <f>IF(Table7[[#This Row],[Response]]="","",CHOOSE(MATCH(Table7[[#This Row],[Response]],{"Strongly Agree","Agree","Neutral","Disagree","Strongly Disagree","Not Applicable"},0),5,4,3,2,1,""))</f>
        <v>4</v>
      </c>
      <c r="F324">
        <f>Table7[[#This Row],[Scores]] * 20</f>
        <v>80</v>
      </c>
      <c r="G324">
        <f>IF(OR(Table7[[#This Row],[Response]]="Strongly Agree",Table7[[#This Row],[Response]]="Agree"),1,0)</f>
        <v>1</v>
      </c>
      <c r="H324" t="str">
        <f>_xlfn.XLOOKUP(Table7[[#This Row],[QuestionID]], FinalQuestions!$A:$A, FinalQuestions!$D:$D,"")</f>
        <v>Leadership Encouragement to Escalate Risks</v>
      </c>
      <c r="I324" t="s">
        <v>267</v>
      </c>
    </row>
    <row r="325" spans="1:9" x14ac:dyDescent="0.35">
      <c r="A325" t="s">
        <v>98</v>
      </c>
      <c r="B325" t="s">
        <v>19</v>
      </c>
      <c r="C325" t="s">
        <v>4</v>
      </c>
      <c r="D325" t="str">
        <f>VLOOKUP(Table7[[#This Row],[QuestionID]], FinalQuestions!$A:$C, 3, FALSE)</f>
        <v>Role Modelling</v>
      </c>
      <c r="E325">
        <f>IF(Table7[[#This Row],[Response]]="","",CHOOSE(MATCH(Table7[[#This Row],[Response]],{"Strongly Agree","Agree","Neutral","Disagree","Strongly Disagree","Not Applicable"},0),5,4,3,2,1,""))</f>
        <v>3</v>
      </c>
      <c r="F325">
        <f>Table7[[#This Row],[Scores]] * 20</f>
        <v>60</v>
      </c>
      <c r="G325">
        <f>IF(OR(Table7[[#This Row],[Response]]="Strongly Agree",Table7[[#This Row],[Response]]="Agree"),1,0)</f>
        <v>0</v>
      </c>
      <c r="H325" t="str">
        <f>_xlfn.XLOOKUP(Table7[[#This Row],[QuestionID]], FinalQuestions!$A:$A, FinalQuestions!$D:$D,"")</f>
        <v>Long-Term Decision Awareness</v>
      </c>
      <c r="I325" t="s">
        <v>267</v>
      </c>
    </row>
    <row r="326" spans="1:9" x14ac:dyDescent="0.35">
      <c r="A326" t="s">
        <v>98</v>
      </c>
      <c r="B326" t="s">
        <v>21</v>
      </c>
      <c r="C326" t="s">
        <v>4</v>
      </c>
      <c r="D326" t="str">
        <f>VLOOKUP(Table7[[#This Row],[QuestionID]], FinalQuestions!$A:$C, 3, FALSE)</f>
        <v>Discussability</v>
      </c>
      <c r="E326">
        <f>IF(Table7[[#This Row],[Response]]="","",CHOOSE(MATCH(Table7[[#This Row],[Response]],{"Strongly Agree","Agree","Neutral","Disagree","Strongly Disagree","Not Applicable"},0),5,4,3,2,1,""))</f>
        <v>3</v>
      </c>
      <c r="F326">
        <f>Table7[[#This Row],[Scores]] * 20</f>
        <v>60</v>
      </c>
      <c r="G326">
        <f>IF(OR(Table7[[#This Row],[Response]]="Strongly Agree",Table7[[#This Row],[Response]]="Agree"),1,0)</f>
        <v>0</v>
      </c>
      <c r="H326" t="str">
        <f>_xlfn.XLOOKUP(Table7[[#This Row],[QuestionID]], FinalQuestions!$A:$A, FinalQuestions!$D:$D,"")</f>
        <v>Openness to Discussions</v>
      </c>
      <c r="I326" t="s">
        <v>267</v>
      </c>
    </row>
    <row r="327" spans="1:9" x14ac:dyDescent="0.35">
      <c r="A327" t="s">
        <v>98</v>
      </c>
      <c r="B327" t="s">
        <v>23</v>
      </c>
      <c r="C327" t="s">
        <v>4</v>
      </c>
      <c r="D327" t="str">
        <f>VLOOKUP(Table7[[#This Row],[QuestionID]], FinalQuestions!$A:$C, 3, FALSE)</f>
        <v>Discussability</v>
      </c>
      <c r="E327">
        <f>IF(Table7[[#This Row],[Response]]="","",CHOOSE(MATCH(Table7[[#This Row],[Response]],{"Strongly Agree","Agree","Neutral","Disagree","Strongly Disagree","Not Applicable"},0),5,4,3,2,1,""))</f>
        <v>3</v>
      </c>
      <c r="F327">
        <f>Table7[[#This Row],[Scores]] * 20</f>
        <v>60</v>
      </c>
      <c r="G327">
        <f>IF(OR(Table7[[#This Row],[Response]]="Strongly Agree",Table7[[#This Row],[Response]]="Agree"),1,0)</f>
        <v>0</v>
      </c>
      <c r="H327" t="str">
        <f>_xlfn.XLOOKUP(Table7[[#This Row],[QuestionID]], FinalQuestions!$A:$A, FinalQuestions!$D:$D,"")</f>
        <v>Access to Guidance</v>
      </c>
      <c r="I327" t="s">
        <v>267</v>
      </c>
    </row>
    <row r="328" spans="1:9" x14ac:dyDescent="0.35">
      <c r="A328" t="s">
        <v>98</v>
      </c>
      <c r="B328" t="s">
        <v>25</v>
      </c>
      <c r="C328" t="s">
        <v>2</v>
      </c>
      <c r="D328" t="str">
        <f>VLOOKUP(Table7[[#This Row],[QuestionID]], FinalQuestions!$A:$C, 3, FALSE)</f>
        <v>Discussability</v>
      </c>
      <c r="E328">
        <f>IF(Table7[[#This Row],[Response]]="","",CHOOSE(MATCH(Table7[[#This Row],[Response]],{"Strongly Agree","Agree","Neutral","Disagree","Strongly Disagree","Not Applicable"},0),5,4,3,2,1,""))</f>
        <v>4</v>
      </c>
      <c r="F328">
        <f>Table7[[#This Row],[Scores]] * 20</f>
        <v>80</v>
      </c>
      <c r="G328">
        <f>IF(OR(Table7[[#This Row],[Response]]="Strongly Agree",Table7[[#This Row],[Response]]="Agree"),1,0)</f>
        <v>1</v>
      </c>
      <c r="H328" t="str">
        <f>_xlfn.XLOOKUP(Table7[[#This Row],[QuestionID]], FinalQuestions!$A:$A, FinalQuestions!$D:$D,"")</f>
        <v>Openness to Sharing Opinions</v>
      </c>
      <c r="I328" t="s">
        <v>267</v>
      </c>
    </row>
    <row r="329" spans="1:9" x14ac:dyDescent="0.35">
      <c r="A329" t="s">
        <v>98</v>
      </c>
      <c r="B329" t="s">
        <v>27</v>
      </c>
      <c r="C329" t="s">
        <v>85</v>
      </c>
      <c r="D329" t="str">
        <f>VLOOKUP(Table7[[#This Row],[QuestionID]], FinalQuestions!$A:$C, 3, FALSE)</f>
        <v>Discussability</v>
      </c>
      <c r="E329">
        <f>IF(Table7[[#This Row],[Response]]="","",CHOOSE(MATCH(Table7[[#This Row],[Response]],{"Strongly Agree","Agree","Neutral","Disagree","Strongly Disagree","Not Applicable"},0),5,4,3,2,1,""))</f>
        <v>5</v>
      </c>
      <c r="F329">
        <f>Table7[[#This Row],[Scores]] * 20</f>
        <v>100</v>
      </c>
      <c r="G329">
        <f>IF(OR(Table7[[#This Row],[Response]]="Strongly Agree",Table7[[#This Row],[Response]]="Agree"),1,0)</f>
        <v>1</v>
      </c>
      <c r="H329" t="str">
        <f>_xlfn.XLOOKUP(Table7[[#This Row],[QuestionID]], FinalQuestions!$A:$A, FinalQuestions!$D:$D,"")</f>
        <v>Comfort in Reporting Risk Dilemmas</v>
      </c>
      <c r="I329" t="s">
        <v>267</v>
      </c>
    </row>
    <row r="330" spans="1:9" x14ac:dyDescent="0.35">
      <c r="A330" t="s">
        <v>98</v>
      </c>
      <c r="B330" t="s">
        <v>29</v>
      </c>
      <c r="C330" t="s">
        <v>85</v>
      </c>
      <c r="D330" t="str">
        <f>VLOOKUP(Table7[[#This Row],[QuestionID]], FinalQuestions!$A:$C, 3, FALSE)</f>
        <v>Achievability</v>
      </c>
      <c r="E330">
        <f>IF(Table7[[#This Row],[Response]]="","",CHOOSE(MATCH(Table7[[#This Row],[Response]],{"Strongly Agree","Agree","Neutral","Disagree","Strongly Disagree","Not Applicable"},0),5,4,3,2,1,""))</f>
        <v>5</v>
      </c>
      <c r="F330">
        <f>Table7[[#This Row],[Scores]] * 20</f>
        <v>100</v>
      </c>
      <c r="G330">
        <f>IF(OR(Table7[[#This Row],[Response]]="Strongly Agree",Table7[[#This Row],[Response]]="Agree"),1,0)</f>
        <v>1</v>
      </c>
      <c r="H330" t="str">
        <f>_xlfn.XLOOKUP(Table7[[#This Row],[QuestionID]], FinalQuestions!$A:$A, FinalQuestions!$D:$D,"")</f>
        <v>Adequacy of Risk Management Training</v>
      </c>
      <c r="I330" t="s">
        <v>267</v>
      </c>
    </row>
    <row r="331" spans="1:9" x14ac:dyDescent="0.35">
      <c r="A331" t="s">
        <v>98</v>
      </c>
      <c r="B331" t="s">
        <v>31</v>
      </c>
      <c r="C331" t="s">
        <v>2</v>
      </c>
      <c r="D331" t="str">
        <f>VLOOKUP(Table7[[#This Row],[QuestionID]], FinalQuestions!$A:$C, 3, FALSE)</f>
        <v>Achievability</v>
      </c>
      <c r="E331">
        <f>IF(Table7[[#This Row],[Response]]="","",CHOOSE(MATCH(Table7[[#This Row],[Response]],{"Strongly Agree","Agree","Neutral","Disagree","Strongly Disagree","Not Applicable"},0),5,4,3,2,1,""))</f>
        <v>4</v>
      </c>
      <c r="F331">
        <f>Table7[[#This Row],[Scores]] * 20</f>
        <v>80</v>
      </c>
      <c r="G331">
        <f>IF(OR(Table7[[#This Row],[Response]]="Strongly Agree",Table7[[#This Row],[Response]]="Agree"),1,0)</f>
        <v>1</v>
      </c>
      <c r="H331" t="str">
        <f>_xlfn.XLOOKUP(Table7[[#This Row],[QuestionID]], FinalQuestions!$A:$A, FinalQuestions!$D:$D,"")</f>
        <v>Workload Balance &amp; Resource Sufficiency</v>
      </c>
      <c r="I331" t="s">
        <v>267</v>
      </c>
    </row>
    <row r="332" spans="1:9" x14ac:dyDescent="0.35">
      <c r="A332" t="s">
        <v>98</v>
      </c>
      <c r="B332" t="s">
        <v>33</v>
      </c>
      <c r="C332" t="s">
        <v>6</v>
      </c>
      <c r="D332" t="str">
        <f>VLOOKUP(Table7[[#This Row],[QuestionID]], FinalQuestions!$A:$C, 3, FALSE)</f>
        <v>Achievability</v>
      </c>
      <c r="E332">
        <f>IF(Table7[[#This Row],[Response]]="","",CHOOSE(MATCH(Table7[[#This Row],[Response]],{"Strongly Agree","Agree","Neutral","Disagree","Strongly Disagree","Not Applicable"},0),5,4,3,2,1,""))</f>
        <v>2</v>
      </c>
      <c r="F332">
        <f>Table7[[#This Row],[Scores]] * 20</f>
        <v>40</v>
      </c>
      <c r="G332">
        <f>IF(OR(Table7[[#This Row],[Response]]="Strongly Agree",Table7[[#This Row],[Response]]="Agree"),1,0)</f>
        <v>0</v>
      </c>
      <c r="H332" t="str">
        <f>_xlfn.XLOOKUP(Table7[[#This Row],[QuestionID]], FinalQuestions!$A:$A, FinalQuestions!$D:$D,"")</f>
        <v>Realistic Target Setting</v>
      </c>
      <c r="I332" t="s">
        <v>267</v>
      </c>
    </row>
    <row r="333" spans="1:9" x14ac:dyDescent="0.35">
      <c r="A333" t="s">
        <v>98</v>
      </c>
      <c r="B333" t="s">
        <v>35</v>
      </c>
      <c r="C333" t="s">
        <v>2</v>
      </c>
      <c r="D333" t="str">
        <f>VLOOKUP(Table7[[#This Row],[QuestionID]], FinalQuestions!$A:$C, 3, FALSE)</f>
        <v>Achievability</v>
      </c>
      <c r="E333">
        <f>IF(Table7[[#This Row],[Response]]="","",CHOOSE(MATCH(Table7[[#This Row],[Response]],{"Strongly Agree","Agree","Neutral","Disagree","Strongly Disagree","Not Applicable"},0),5,4,3,2,1,""))</f>
        <v>4</v>
      </c>
      <c r="F333">
        <f>Table7[[#This Row],[Scores]] * 20</f>
        <v>80</v>
      </c>
      <c r="G333">
        <f>IF(OR(Table7[[#This Row],[Response]]="Strongly Agree",Table7[[#This Row],[Response]]="Agree"),1,0)</f>
        <v>1</v>
      </c>
      <c r="H333" t="str">
        <f>_xlfn.XLOOKUP(Table7[[#This Row],[QuestionID]], FinalQuestions!$A:$A, FinalQuestions!$D:$D,"")</f>
        <v>Risk Insight in Decision Making</v>
      </c>
      <c r="I333" t="s">
        <v>267</v>
      </c>
    </row>
    <row r="334" spans="1:9" x14ac:dyDescent="0.35">
      <c r="A334" t="s">
        <v>98</v>
      </c>
      <c r="B334" t="s">
        <v>37</v>
      </c>
      <c r="C334" t="s">
        <v>6</v>
      </c>
      <c r="D334" t="str">
        <f>VLOOKUP(Table7[[#This Row],[QuestionID]], FinalQuestions!$A:$C, 3, FALSE)</f>
        <v>Enforcement</v>
      </c>
      <c r="E334">
        <f>IF(Table7[[#This Row],[Response]]="","",CHOOSE(MATCH(Table7[[#This Row],[Response]],{"Strongly Agree","Agree","Neutral","Disagree","Strongly Disagree","Not Applicable"},0),5,4,3,2,1,""))</f>
        <v>2</v>
      </c>
      <c r="F334">
        <f>Table7[[#This Row],[Scores]] * 20</f>
        <v>40</v>
      </c>
      <c r="G334">
        <f>IF(OR(Table7[[#This Row],[Response]]="Strongly Agree",Table7[[#This Row],[Response]]="Agree"),1,0)</f>
        <v>0</v>
      </c>
      <c r="H334" t="str">
        <f>_xlfn.XLOOKUP(Table7[[#This Row],[QuestionID]], FinalQuestions!$A:$A, FinalQuestions!$D:$D,"")</f>
        <v>Learning Culture from Non‑Compliance Cases</v>
      </c>
      <c r="I334" t="s">
        <v>267</v>
      </c>
    </row>
    <row r="335" spans="1:9" x14ac:dyDescent="0.35">
      <c r="A335" t="s">
        <v>98</v>
      </c>
      <c r="B335" t="s">
        <v>39</v>
      </c>
      <c r="C335" t="s">
        <v>2</v>
      </c>
      <c r="D335" t="str">
        <f>VLOOKUP(Table7[[#This Row],[QuestionID]], FinalQuestions!$A:$C, 3, FALSE)</f>
        <v>Enforcement</v>
      </c>
      <c r="E335">
        <f>IF(Table7[[#This Row],[Response]]="","",CHOOSE(MATCH(Table7[[#This Row],[Response]],{"Strongly Agree","Agree","Neutral","Disagree","Strongly Disagree","Not Applicable"},0),5,4,3,2,1,""))</f>
        <v>4</v>
      </c>
      <c r="F335">
        <f>Table7[[#This Row],[Scores]] * 20</f>
        <v>80</v>
      </c>
      <c r="G335">
        <f>IF(OR(Table7[[#This Row],[Response]]="Strongly Agree",Table7[[#This Row],[Response]]="Agree"),1,0)</f>
        <v>1</v>
      </c>
      <c r="H335" t="str">
        <f>_xlfn.XLOOKUP(Table7[[#This Row],[QuestionID]], FinalQuestions!$A:$A, FinalQuestions!$D:$D,"")</f>
        <v>Organizational View on Risk Culture</v>
      </c>
      <c r="I335" t="s">
        <v>267</v>
      </c>
    </row>
    <row r="336" spans="1:9" x14ac:dyDescent="0.35">
      <c r="A336" t="s">
        <v>98</v>
      </c>
      <c r="B336" t="s">
        <v>41</v>
      </c>
      <c r="C336" t="s">
        <v>6</v>
      </c>
      <c r="D336" t="str">
        <f>VLOOKUP(Table7[[#This Row],[QuestionID]], FinalQuestions!$A:$C, 3, FALSE)</f>
        <v>Enforcement</v>
      </c>
      <c r="E336">
        <f>IF(Table7[[#This Row],[Response]]="","",CHOOSE(MATCH(Table7[[#This Row],[Response]],{"Strongly Agree","Agree","Neutral","Disagree","Strongly Disagree","Not Applicable"},0),5,4,3,2,1,""))</f>
        <v>2</v>
      </c>
      <c r="F336">
        <f>Table7[[#This Row],[Scores]] * 20</f>
        <v>40</v>
      </c>
      <c r="G336">
        <f>IF(OR(Table7[[#This Row],[Response]]="Strongly Agree",Table7[[#This Row],[Response]]="Agree"),1,0)</f>
        <v>0</v>
      </c>
      <c r="H336" t="str">
        <f>_xlfn.XLOOKUP(Table7[[#This Row],[QuestionID]], FinalQuestions!$A:$A, FinalQuestions!$D:$D,"")</f>
        <v>Compliance Recognition &amp; enforcement</v>
      </c>
      <c r="I336" t="s">
        <v>267</v>
      </c>
    </row>
    <row r="337" spans="1:9" x14ac:dyDescent="0.35">
      <c r="A337" t="s">
        <v>98</v>
      </c>
      <c r="B337" t="s">
        <v>43</v>
      </c>
      <c r="C337" t="s">
        <v>4</v>
      </c>
      <c r="D337" t="str">
        <f>VLOOKUP(Table7[[#This Row],[QuestionID]], FinalQuestions!$A:$C, 3, FALSE)</f>
        <v>Enforcement</v>
      </c>
      <c r="E337">
        <f>IF(Table7[[#This Row],[Response]]="","",CHOOSE(MATCH(Table7[[#This Row],[Response]],{"Strongly Agree","Agree","Neutral","Disagree","Strongly Disagree","Not Applicable"},0),5,4,3,2,1,""))</f>
        <v>3</v>
      </c>
      <c r="F337">
        <f>Table7[[#This Row],[Scores]] * 20</f>
        <v>60</v>
      </c>
      <c r="G337">
        <f>IF(OR(Table7[[#This Row],[Response]]="Strongly Agree",Table7[[#This Row],[Response]]="Agree"),1,0)</f>
        <v>0</v>
      </c>
      <c r="H337" t="str">
        <f>_xlfn.XLOOKUP(Table7[[#This Row],[QuestionID]], FinalQuestions!$A:$A, FinalQuestions!$D:$D,"")</f>
        <v>Sense of Ownership</v>
      </c>
      <c r="I337" t="s">
        <v>267</v>
      </c>
    </row>
    <row r="338" spans="1:9" x14ac:dyDescent="0.35">
      <c r="A338" t="s">
        <v>98</v>
      </c>
      <c r="B338" t="s">
        <v>45</v>
      </c>
      <c r="C338" t="s">
        <v>85</v>
      </c>
      <c r="D338" t="str">
        <f>VLOOKUP(Table7[[#This Row],[QuestionID]], FinalQuestions!$A:$C, 3, FALSE)</f>
        <v>Clarity</v>
      </c>
      <c r="E338">
        <f>IF(Table7[[#This Row],[Response]]="","",CHOOSE(MATCH(Table7[[#This Row],[Response]],{"Strongly Agree","Agree","Neutral","Disagree","Strongly Disagree","Not Applicable"},0),5,4,3,2,1,""))</f>
        <v>5</v>
      </c>
      <c r="F338">
        <f>Table7[[#This Row],[Scores]] * 20</f>
        <v>100</v>
      </c>
      <c r="G338">
        <f>IF(OR(Table7[[#This Row],[Response]]="Strongly Agree",Table7[[#This Row],[Response]]="Agree"),1,0)</f>
        <v>1</v>
      </c>
      <c r="H338" t="str">
        <f>_xlfn.XLOOKUP(Table7[[#This Row],[QuestionID]], FinalQuestions!$A:$A, FinalQuestions!$D:$D,"")</f>
        <v>Clarity of Role and Responsibilities</v>
      </c>
      <c r="I338" t="s">
        <v>267</v>
      </c>
    </row>
    <row r="339" spans="1:9" x14ac:dyDescent="0.35">
      <c r="A339" t="s">
        <v>98</v>
      </c>
      <c r="B339" t="s">
        <v>47</v>
      </c>
      <c r="C339" t="s">
        <v>85</v>
      </c>
      <c r="D339" t="str">
        <f>VLOOKUP(Table7[[#This Row],[QuestionID]], FinalQuestions!$A:$C, 3, FALSE)</f>
        <v>Clarity</v>
      </c>
      <c r="E339">
        <f>IF(Table7[[#This Row],[Response]]="","",CHOOSE(MATCH(Table7[[#This Row],[Response]],{"Strongly Agree","Agree","Neutral","Disagree","Strongly Disagree","Not Applicable"},0),5,4,3,2,1,""))</f>
        <v>5</v>
      </c>
      <c r="F339">
        <f>Table7[[#This Row],[Scores]] * 20</f>
        <v>100</v>
      </c>
      <c r="G339">
        <f>IF(OR(Table7[[#This Row],[Response]]="Strongly Agree",Table7[[#This Row],[Response]]="Agree"),1,0)</f>
        <v>1</v>
      </c>
      <c r="H339" t="str">
        <f>_xlfn.XLOOKUP(Table7[[#This Row],[QuestionID]], FinalQuestions!$A:$A, FinalQuestions!$D:$D,"")</f>
        <v>Understanding of Risk Policies &amp; Procedures</v>
      </c>
      <c r="I339" t="s">
        <v>267</v>
      </c>
    </row>
    <row r="340" spans="1:9" x14ac:dyDescent="0.35">
      <c r="A340" t="s">
        <v>98</v>
      </c>
      <c r="B340" t="s">
        <v>49</v>
      </c>
      <c r="C340" t="s">
        <v>2</v>
      </c>
      <c r="D340" t="str">
        <f>VLOOKUP(Table7[[#This Row],[QuestionID]], FinalQuestions!$A:$C, 3, FALSE)</f>
        <v>Clarity</v>
      </c>
      <c r="E340">
        <f>IF(Table7[[#This Row],[Response]]="","",CHOOSE(MATCH(Table7[[#This Row],[Response]],{"Strongly Agree","Agree","Neutral","Disagree","Strongly Disagree","Not Applicable"},0),5,4,3,2,1,""))</f>
        <v>4</v>
      </c>
      <c r="F340">
        <f>Table7[[#This Row],[Scores]] * 20</f>
        <v>80</v>
      </c>
      <c r="G340">
        <f>IF(OR(Table7[[#This Row],[Response]]="Strongly Agree",Table7[[#This Row],[Response]]="Agree"),1,0)</f>
        <v>1</v>
      </c>
      <c r="H340" t="str">
        <f>_xlfn.XLOOKUP(Table7[[#This Row],[QuestionID]], FinalQuestions!$A:$A, FinalQuestions!$D:$D,"")</f>
        <v>Clarity of Personal Risk Boundaries</v>
      </c>
      <c r="I340" t="s">
        <v>267</v>
      </c>
    </row>
    <row r="341" spans="1:9" x14ac:dyDescent="0.35">
      <c r="A341" t="s">
        <v>98</v>
      </c>
      <c r="B341" t="s">
        <v>51</v>
      </c>
      <c r="C341" t="s">
        <v>6</v>
      </c>
      <c r="D341" t="str">
        <f>VLOOKUP(Table7[[#This Row],[QuestionID]], FinalQuestions!$A:$C, 3, FALSE)</f>
        <v>Clarity</v>
      </c>
      <c r="E341">
        <f>IF(Table7[[#This Row],[Response]]="","",CHOOSE(MATCH(Table7[[#This Row],[Response]],{"Strongly Agree","Agree","Neutral","Disagree","Strongly Disagree","Not Applicable"},0),5,4,3,2,1,""))</f>
        <v>2</v>
      </c>
      <c r="F341">
        <f>Table7[[#This Row],[Scores]] * 20</f>
        <v>40</v>
      </c>
      <c r="G341">
        <f>IF(OR(Table7[[#This Row],[Response]]="Strongly Agree",Table7[[#This Row],[Response]]="Agree"),1,0)</f>
        <v>0</v>
      </c>
      <c r="H341" t="str">
        <f>_xlfn.XLOOKUP(Table7[[#This Row],[QuestionID]], FinalQuestions!$A:$A, FinalQuestions!$D:$D,"")</f>
        <v>Effectiveness of Risk Communication &amp; Training</v>
      </c>
      <c r="I341" t="s">
        <v>267</v>
      </c>
    </row>
    <row r="342" spans="1:9" x14ac:dyDescent="0.35">
      <c r="A342" t="s">
        <v>98</v>
      </c>
      <c r="B342" t="s">
        <v>53</v>
      </c>
      <c r="C342" t="s">
        <v>4</v>
      </c>
      <c r="D342" t="str">
        <f>VLOOKUP(Table7[[#This Row],[QuestionID]], FinalQuestions!$A:$C, 3, FALSE)</f>
        <v>Transparency</v>
      </c>
      <c r="E342">
        <f>IF(Table7[[#This Row],[Response]]="","",CHOOSE(MATCH(Table7[[#This Row],[Response]],{"Strongly Agree","Agree","Neutral","Disagree","Strongly Disagree","Not Applicable"},0),5,4,3,2,1,""))</f>
        <v>3</v>
      </c>
      <c r="F342">
        <f>Table7[[#This Row],[Scores]] * 20</f>
        <v>60</v>
      </c>
      <c r="G342">
        <f>IF(OR(Table7[[#This Row],[Response]]="Strongly Agree",Table7[[#This Row],[Response]]="Agree"),1,0)</f>
        <v>0</v>
      </c>
      <c r="H342" t="str">
        <f>_xlfn.XLOOKUP(Table7[[#This Row],[QuestionID]], FinalQuestions!$A:$A, FinalQuestions!$D:$D,"")</f>
        <v>Compliance Confidence in team</v>
      </c>
      <c r="I342" t="s">
        <v>267</v>
      </c>
    </row>
    <row r="343" spans="1:9" x14ac:dyDescent="0.35">
      <c r="A343" t="s">
        <v>98</v>
      </c>
      <c r="B343" t="s">
        <v>55</v>
      </c>
      <c r="C343" t="s">
        <v>85</v>
      </c>
      <c r="D343" t="str">
        <f>VLOOKUP(Table7[[#This Row],[QuestionID]], FinalQuestions!$A:$C, 3, FALSE)</f>
        <v>Transparency</v>
      </c>
      <c r="E343">
        <f>IF(Table7[[#This Row],[Response]]="","",CHOOSE(MATCH(Table7[[#This Row],[Response]],{"Strongly Agree","Agree","Neutral","Disagree","Strongly Disagree","Not Applicable"},0),5,4,3,2,1,""))</f>
        <v>5</v>
      </c>
      <c r="F343">
        <f>Table7[[#This Row],[Scores]] * 20</f>
        <v>100</v>
      </c>
      <c r="G343">
        <f>IF(OR(Table7[[#This Row],[Response]]="Strongly Agree",Table7[[#This Row],[Response]]="Agree"),1,0)</f>
        <v>1</v>
      </c>
      <c r="H343" t="str">
        <f>_xlfn.XLOOKUP(Table7[[#This Row],[QuestionID]], FinalQuestions!$A:$A, FinalQuestions!$D:$D,"")</f>
        <v>Transparency in Decision‑Making</v>
      </c>
      <c r="I343" t="s">
        <v>267</v>
      </c>
    </row>
    <row r="344" spans="1:9" x14ac:dyDescent="0.35">
      <c r="A344" t="s">
        <v>98</v>
      </c>
      <c r="B344" t="s">
        <v>57</v>
      </c>
      <c r="C344" t="s">
        <v>2</v>
      </c>
      <c r="D344" t="str">
        <f>VLOOKUP(Table7[[#This Row],[QuestionID]], FinalQuestions!$A:$C, 3, FALSE)</f>
        <v>Transparency</v>
      </c>
      <c r="E344">
        <f>IF(Table7[[#This Row],[Response]]="","",CHOOSE(MATCH(Table7[[#This Row],[Response]],{"Strongly Agree","Agree","Neutral","Disagree","Strongly Disagree","Not Applicable"},0),5,4,3,2,1,""))</f>
        <v>4</v>
      </c>
      <c r="F344">
        <f>Table7[[#This Row],[Scores]] * 20</f>
        <v>80</v>
      </c>
      <c r="G344">
        <f>IF(OR(Table7[[#This Row],[Response]]="Strongly Agree",Table7[[#This Row],[Response]]="Agree"),1,0)</f>
        <v>1</v>
      </c>
      <c r="H344" t="str">
        <f>_xlfn.XLOOKUP(Table7[[#This Row],[QuestionID]], FinalQuestions!$A:$A, FinalQuestions!$D:$D,"")</f>
        <v>Fairness &amp; Equity of Expectations</v>
      </c>
      <c r="I344" t="s">
        <v>267</v>
      </c>
    </row>
    <row r="345" spans="1:9" x14ac:dyDescent="0.35">
      <c r="A345" t="s">
        <v>98</v>
      </c>
      <c r="B345" t="s">
        <v>59</v>
      </c>
      <c r="C345" t="s">
        <v>6</v>
      </c>
      <c r="D345" t="str">
        <f>VLOOKUP(Table7[[#This Row],[QuestionID]], FinalQuestions!$A:$C, 3, FALSE)</f>
        <v>Transparency</v>
      </c>
      <c r="E345">
        <f>IF(Table7[[#This Row],[Response]]="","",CHOOSE(MATCH(Table7[[#This Row],[Response]],{"Strongly Agree","Agree","Neutral","Disagree","Strongly Disagree","Not Applicable"},0),5,4,3,2,1,""))</f>
        <v>2</v>
      </c>
      <c r="F345">
        <f>Table7[[#This Row],[Scores]] * 20</f>
        <v>40</v>
      </c>
      <c r="G345">
        <f>IF(OR(Table7[[#This Row],[Response]]="Strongly Agree",Table7[[#This Row],[Response]]="Agree"),1,0)</f>
        <v>0</v>
      </c>
      <c r="H345" t="str">
        <f>_xlfn.XLOOKUP(Table7[[#This Row],[QuestionID]], FinalQuestions!$A:$A, FinalQuestions!$D:$D,"")</f>
        <v>Leadership Awareness in the team</v>
      </c>
      <c r="I345" t="s">
        <v>267</v>
      </c>
    </row>
    <row r="346" spans="1:9" x14ac:dyDescent="0.35">
      <c r="A346" t="s">
        <v>98</v>
      </c>
      <c r="B346" t="s">
        <v>61</v>
      </c>
      <c r="C346" t="s">
        <v>6</v>
      </c>
      <c r="D346" t="str">
        <f>VLOOKUP(Table7[[#This Row],[QuestionID]], FinalQuestions!$A:$C, 3, FALSE)</f>
        <v>Commitment</v>
      </c>
      <c r="E346">
        <f>IF(Table7[[#This Row],[Response]]="","",CHOOSE(MATCH(Table7[[#This Row],[Response]],{"Strongly Agree","Agree","Neutral","Disagree","Strongly Disagree","Not Applicable"},0),5,4,3,2,1,""))</f>
        <v>2</v>
      </c>
      <c r="F346">
        <f>Table7[[#This Row],[Scores]] * 20</f>
        <v>40</v>
      </c>
      <c r="G346">
        <f>IF(OR(Table7[[#This Row],[Response]]="Strongly Agree",Table7[[#This Row],[Response]]="Agree"),1,0)</f>
        <v>0</v>
      </c>
      <c r="H346" t="str">
        <f>_xlfn.XLOOKUP(Table7[[#This Row],[QuestionID]], FinalQuestions!$A:$A, FinalQuestions!$D:$D,"")</f>
        <v>Motivation for Risk Ownership</v>
      </c>
      <c r="I346" t="s">
        <v>267</v>
      </c>
    </row>
    <row r="347" spans="1:9" x14ac:dyDescent="0.35">
      <c r="A347" t="s">
        <v>98</v>
      </c>
      <c r="B347" t="s">
        <v>63</v>
      </c>
      <c r="C347" t="s">
        <v>2</v>
      </c>
      <c r="D347" t="str">
        <f>VLOOKUP(Table7[[#This Row],[QuestionID]], FinalQuestions!$A:$C, 3, FALSE)</f>
        <v>Commitment</v>
      </c>
      <c r="E347">
        <f>IF(Table7[[#This Row],[Response]]="","",CHOOSE(MATCH(Table7[[#This Row],[Response]],{"Strongly Agree","Agree","Neutral","Disagree","Strongly Disagree","Not Applicable"},0),5,4,3,2,1,""))</f>
        <v>4</v>
      </c>
      <c r="F347">
        <f>Table7[[#This Row],[Scores]] * 20</f>
        <v>80</v>
      </c>
      <c r="G347">
        <f>IF(OR(Table7[[#This Row],[Response]]="Strongly Agree",Table7[[#This Row],[Response]]="Agree"),1,0)</f>
        <v>1</v>
      </c>
      <c r="H347" t="str">
        <f>_xlfn.XLOOKUP(Table7[[#This Row],[QuestionID]], FinalQuestions!$A:$A, FinalQuestions!$D:$D,"")</f>
        <v>Sense of Belonging to the Organization</v>
      </c>
      <c r="I347" t="s">
        <v>267</v>
      </c>
    </row>
    <row r="348" spans="1:9" x14ac:dyDescent="0.35">
      <c r="A348" t="s">
        <v>98</v>
      </c>
      <c r="B348" t="s">
        <v>65</v>
      </c>
      <c r="C348" t="s">
        <v>6</v>
      </c>
      <c r="D348" t="str">
        <f>VLOOKUP(Table7[[#This Row],[QuestionID]], FinalQuestions!$A:$C, 3, FALSE)</f>
        <v>Commitment</v>
      </c>
      <c r="E348">
        <f>IF(Table7[[#This Row],[Response]]="","",CHOOSE(MATCH(Table7[[#This Row],[Response]],{"Strongly Agree","Agree","Neutral","Disagree","Strongly Disagree","Not Applicable"},0),5,4,3,2,1,""))</f>
        <v>2</v>
      </c>
      <c r="F348">
        <f>Table7[[#This Row],[Scores]] * 20</f>
        <v>40</v>
      </c>
      <c r="G348">
        <f>IF(OR(Table7[[#This Row],[Response]]="Strongly Agree",Table7[[#This Row],[Response]]="Agree"),1,0)</f>
        <v>0</v>
      </c>
      <c r="H348" t="str">
        <f>_xlfn.XLOOKUP(Table7[[#This Row],[QuestionID]], FinalQuestions!$A:$A, FinalQuestions!$D:$D,"")</f>
        <v>Consideration of Impact on Others</v>
      </c>
      <c r="I348" t="s">
        <v>267</v>
      </c>
    </row>
    <row r="349" spans="1:9" x14ac:dyDescent="0.35">
      <c r="A349" t="s">
        <v>98</v>
      </c>
      <c r="B349" t="s">
        <v>67</v>
      </c>
      <c r="C349" t="s">
        <v>4</v>
      </c>
      <c r="D349" t="str">
        <f>VLOOKUP(Table7[[#This Row],[QuestionID]], FinalQuestions!$A:$C, 3, FALSE)</f>
        <v>Commitment</v>
      </c>
      <c r="E349">
        <f>IF(Table7[[#This Row],[Response]]="","",CHOOSE(MATCH(Table7[[#This Row],[Response]],{"Strongly Agree","Agree","Neutral","Disagree","Strongly Disagree","Not Applicable"},0),5,4,3,2,1,""))</f>
        <v>3</v>
      </c>
      <c r="F349">
        <f>Table7[[#This Row],[Scores]] * 20</f>
        <v>60</v>
      </c>
      <c r="G349">
        <f>IF(OR(Table7[[#This Row],[Response]]="Strongly Agree",Table7[[#This Row],[Response]]="Agree"),1,0)</f>
        <v>0</v>
      </c>
      <c r="H349" t="str">
        <f>_xlfn.XLOOKUP(Table7[[#This Row],[QuestionID]], FinalQuestions!$A:$A, FinalQuestions!$D:$D,"")</f>
        <v>Accountability for Risk Actions</v>
      </c>
      <c r="I349" t="s">
        <v>267</v>
      </c>
    </row>
    <row r="350" spans="1:9" x14ac:dyDescent="0.35">
      <c r="A350" t="s">
        <v>98</v>
      </c>
      <c r="B350" t="s">
        <v>69</v>
      </c>
      <c r="C350" t="s">
        <v>85</v>
      </c>
      <c r="D350" t="str">
        <f>VLOOKUP(Table7[[#This Row],[QuestionID]], FinalQuestions!$A:$C, 3, FALSE)</f>
        <v>Call someone to account</v>
      </c>
      <c r="E350">
        <f>IF(Table7[[#This Row],[Response]]="","",CHOOSE(MATCH(Table7[[#This Row],[Response]],{"Strongly Agree","Agree","Neutral","Disagree","Strongly Disagree","Not Applicable"},0),5,4,3,2,1,""))</f>
        <v>5</v>
      </c>
      <c r="F350">
        <f>Table7[[#This Row],[Scores]] * 20</f>
        <v>100</v>
      </c>
      <c r="G350">
        <f>IF(OR(Table7[[#This Row],[Response]]="Strongly Agree",Table7[[#This Row],[Response]]="Agree"),1,0)</f>
        <v>1</v>
      </c>
      <c r="H350" t="str">
        <f>_xlfn.XLOOKUP(Table7[[#This Row],[QuestionID]], FinalQuestions!$A:$A, FinalQuestions!$D:$D,"")</f>
        <v xml:space="preserve">Peer to peer Accountability </v>
      </c>
      <c r="I350" t="s">
        <v>267</v>
      </c>
    </row>
    <row r="351" spans="1:9" x14ac:dyDescent="0.35">
      <c r="A351" t="s">
        <v>98</v>
      </c>
      <c r="B351" t="s">
        <v>71</v>
      </c>
      <c r="C351" t="s">
        <v>85</v>
      </c>
      <c r="D351" t="str">
        <f>VLOOKUP(Table7[[#This Row],[QuestionID]], FinalQuestions!$A:$C, 3, FALSE)</f>
        <v>Call someone to account</v>
      </c>
      <c r="E351">
        <f>IF(Table7[[#This Row],[Response]]="","",CHOOSE(MATCH(Table7[[#This Row],[Response]],{"Strongly Agree","Agree","Neutral","Disagree","Strongly Disagree","Not Applicable"},0),5,4,3,2,1,""))</f>
        <v>5</v>
      </c>
      <c r="F351">
        <f>Table7[[#This Row],[Scores]] * 20</f>
        <v>100</v>
      </c>
      <c r="G351">
        <f>IF(OR(Table7[[#This Row],[Response]]="Strongly Agree",Table7[[#This Row],[Response]]="Agree"),1,0)</f>
        <v>1</v>
      </c>
      <c r="H351" t="str">
        <f>_xlfn.XLOOKUP(Table7[[#This Row],[QuestionID]], FinalQuestions!$A:$A, FinalQuestions!$D:$D,"")</f>
        <v>Timely Resolution of Accountability Issues</v>
      </c>
      <c r="I351" t="s">
        <v>267</v>
      </c>
    </row>
    <row r="352" spans="1:9" x14ac:dyDescent="0.35">
      <c r="A352" t="s">
        <v>98</v>
      </c>
      <c r="B352" t="s">
        <v>73</v>
      </c>
      <c r="C352" t="s">
        <v>2</v>
      </c>
      <c r="D352" t="str">
        <f>VLOOKUP(Table7[[#This Row],[QuestionID]], FinalQuestions!$A:$C, 3, FALSE)</f>
        <v>Call someone to account</v>
      </c>
      <c r="E352">
        <f>IF(Table7[[#This Row],[Response]]="","",CHOOSE(MATCH(Table7[[#This Row],[Response]],{"Strongly Agree","Agree","Neutral","Disagree","Strongly Disagree","Not Applicable"},0),5,4,3,2,1,""))</f>
        <v>4</v>
      </c>
      <c r="F352">
        <f>Table7[[#This Row],[Scores]] * 20</f>
        <v>80</v>
      </c>
      <c r="G352">
        <f>IF(OR(Table7[[#This Row],[Response]]="Strongly Agree",Table7[[#This Row],[Response]]="Agree"),1,0)</f>
        <v>1</v>
      </c>
      <c r="H352" t="str">
        <f>_xlfn.XLOOKUP(Table7[[#This Row],[QuestionID]], FinalQuestions!$A:$A, FinalQuestions!$D:$D,"")</f>
        <v>Comfort for Reporting Non‑Compliance.</v>
      </c>
      <c r="I352" t="s">
        <v>267</v>
      </c>
    </row>
    <row r="353" spans="1:9" x14ac:dyDescent="0.35">
      <c r="A353" t="s">
        <v>98</v>
      </c>
      <c r="B353" t="s">
        <v>75</v>
      </c>
      <c r="C353" t="s">
        <v>6</v>
      </c>
      <c r="D353" t="str">
        <f>VLOOKUP(Table7[[#This Row],[QuestionID]], FinalQuestions!$A:$C, 3, FALSE)</f>
        <v>Call someone to account</v>
      </c>
      <c r="E353">
        <f>IF(Table7[[#This Row],[Response]]="","",CHOOSE(MATCH(Table7[[#This Row],[Response]],{"Strongly Agree","Agree","Neutral","Disagree","Strongly Disagree","Not Applicable"},0),5,4,3,2,1,""))</f>
        <v>2</v>
      </c>
      <c r="F353">
        <f>Table7[[#This Row],[Scores]] * 20</f>
        <v>40</v>
      </c>
      <c r="G353">
        <f>IF(OR(Table7[[#This Row],[Response]]="Strongly Agree",Table7[[#This Row],[Response]]="Agree"),1,0)</f>
        <v>0</v>
      </c>
      <c r="H353" t="str">
        <f>_xlfn.XLOOKUP(Table7[[#This Row],[QuestionID]], FinalQuestions!$A:$A, FinalQuestions!$D:$D,"")</f>
        <v>Consistency of Conduct Enforcement</v>
      </c>
      <c r="I353" t="s">
        <v>267</v>
      </c>
    </row>
    <row r="354" spans="1:9" x14ac:dyDescent="0.35">
      <c r="A354" t="s">
        <v>99</v>
      </c>
      <c r="B354" t="s">
        <v>13</v>
      </c>
      <c r="C354" t="s">
        <v>4</v>
      </c>
      <c r="D354" t="str">
        <f>VLOOKUP(Table7[[#This Row],[QuestionID]], FinalQuestions!$A:$C, 3, FALSE)</f>
        <v>Role Modelling</v>
      </c>
      <c r="E354">
        <f>IF(Table7[[#This Row],[Response]]="","",CHOOSE(MATCH(Table7[[#This Row],[Response]],{"Strongly Agree","Agree","Neutral","Disagree","Strongly Disagree","Not Applicable"},0),5,4,3,2,1,""))</f>
        <v>3</v>
      </c>
      <c r="F354">
        <f>Table7[[#This Row],[Scores]] * 20</f>
        <v>60</v>
      </c>
      <c r="G354">
        <f>IF(OR(Table7[[#This Row],[Response]]="Strongly Agree",Table7[[#This Row],[Response]]="Agree"),1,0)</f>
        <v>0</v>
      </c>
      <c r="H354" t="str">
        <f>_xlfn.XLOOKUP(Table7[[#This Row],[QuestionID]], FinalQuestions!$A:$A, FinalQuestions!$D:$D,"")</f>
        <v xml:space="preserve">Leadership Example‑Setting in Risk Management </v>
      </c>
      <c r="I354" t="s">
        <v>268</v>
      </c>
    </row>
    <row r="355" spans="1:9" x14ac:dyDescent="0.35">
      <c r="A355" t="s">
        <v>99</v>
      </c>
      <c r="B355" t="s">
        <v>15</v>
      </c>
      <c r="C355" t="s">
        <v>85</v>
      </c>
      <c r="D355" t="str">
        <f>VLOOKUP(Table7[[#This Row],[QuestionID]], FinalQuestions!$A:$C, 3, FALSE)</f>
        <v>Role Modelling</v>
      </c>
      <c r="E355">
        <f>IF(Table7[[#This Row],[Response]]="","",CHOOSE(MATCH(Table7[[#This Row],[Response]],{"Strongly Agree","Agree","Neutral","Disagree","Strongly Disagree","Not Applicable"},0),5,4,3,2,1,""))</f>
        <v>5</v>
      </c>
      <c r="F355">
        <f>Table7[[#This Row],[Scores]] * 20</f>
        <v>100</v>
      </c>
      <c r="G355">
        <f>IF(OR(Table7[[#This Row],[Response]]="Strongly Agree",Table7[[#This Row],[Response]]="Agree"),1,0)</f>
        <v>1</v>
      </c>
      <c r="H355" t="str">
        <f>_xlfn.XLOOKUP(Table7[[#This Row],[QuestionID]], FinalQuestions!$A:$A, FinalQuestions!$D:$D,"")</f>
        <v>Executive Commitment to Risk Culture</v>
      </c>
      <c r="I355" t="s">
        <v>268</v>
      </c>
    </row>
    <row r="356" spans="1:9" x14ac:dyDescent="0.35">
      <c r="A356" t="s">
        <v>99</v>
      </c>
      <c r="B356" t="s">
        <v>17</v>
      </c>
      <c r="C356" t="s">
        <v>2</v>
      </c>
      <c r="D356" t="str">
        <f>VLOOKUP(Table7[[#This Row],[QuestionID]], FinalQuestions!$A:$C, 3, FALSE)</f>
        <v>Role Modelling</v>
      </c>
      <c r="E356">
        <f>IF(Table7[[#This Row],[Response]]="","",CHOOSE(MATCH(Table7[[#This Row],[Response]],{"Strongly Agree","Agree","Neutral","Disagree","Strongly Disagree","Not Applicable"},0),5,4,3,2,1,""))</f>
        <v>4</v>
      </c>
      <c r="F356">
        <f>Table7[[#This Row],[Scores]] * 20</f>
        <v>80</v>
      </c>
      <c r="G356">
        <f>IF(OR(Table7[[#This Row],[Response]]="Strongly Agree",Table7[[#This Row],[Response]]="Agree"),1,0)</f>
        <v>1</v>
      </c>
      <c r="H356" t="str">
        <f>_xlfn.XLOOKUP(Table7[[#This Row],[QuestionID]], FinalQuestions!$A:$A, FinalQuestions!$D:$D,"")</f>
        <v>Leadership Encouragement to Escalate Risks</v>
      </c>
      <c r="I356" t="s">
        <v>268</v>
      </c>
    </row>
    <row r="357" spans="1:9" x14ac:dyDescent="0.35">
      <c r="A357" t="s">
        <v>99</v>
      </c>
      <c r="B357" t="s">
        <v>19</v>
      </c>
      <c r="C357" t="s">
        <v>6</v>
      </c>
      <c r="D357" t="str">
        <f>VLOOKUP(Table7[[#This Row],[QuestionID]], FinalQuestions!$A:$C, 3, FALSE)</f>
        <v>Role Modelling</v>
      </c>
      <c r="E357">
        <f>IF(Table7[[#This Row],[Response]]="","",CHOOSE(MATCH(Table7[[#This Row],[Response]],{"Strongly Agree","Agree","Neutral","Disagree","Strongly Disagree","Not Applicable"},0),5,4,3,2,1,""))</f>
        <v>2</v>
      </c>
      <c r="F357">
        <f>Table7[[#This Row],[Scores]] * 20</f>
        <v>40</v>
      </c>
      <c r="G357">
        <f>IF(OR(Table7[[#This Row],[Response]]="Strongly Agree",Table7[[#This Row],[Response]]="Agree"),1,0)</f>
        <v>0</v>
      </c>
      <c r="H357" t="str">
        <f>_xlfn.XLOOKUP(Table7[[#This Row],[QuestionID]], FinalQuestions!$A:$A, FinalQuestions!$D:$D,"")</f>
        <v>Long-Term Decision Awareness</v>
      </c>
      <c r="I357" t="s">
        <v>268</v>
      </c>
    </row>
    <row r="358" spans="1:9" x14ac:dyDescent="0.35">
      <c r="A358" t="s">
        <v>99</v>
      </c>
      <c r="B358" t="s">
        <v>21</v>
      </c>
      <c r="C358" t="s">
        <v>6</v>
      </c>
      <c r="D358" t="str">
        <f>VLOOKUP(Table7[[#This Row],[QuestionID]], FinalQuestions!$A:$C, 3, FALSE)</f>
        <v>Discussability</v>
      </c>
      <c r="E358">
        <f>IF(Table7[[#This Row],[Response]]="","",CHOOSE(MATCH(Table7[[#This Row],[Response]],{"Strongly Agree","Agree","Neutral","Disagree","Strongly Disagree","Not Applicable"},0),5,4,3,2,1,""))</f>
        <v>2</v>
      </c>
      <c r="F358">
        <f>Table7[[#This Row],[Scores]] * 20</f>
        <v>40</v>
      </c>
      <c r="G358">
        <f>IF(OR(Table7[[#This Row],[Response]]="Strongly Agree",Table7[[#This Row],[Response]]="Agree"),1,0)</f>
        <v>0</v>
      </c>
      <c r="H358" t="str">
        <f>_xlfn.XLOOKUP(Table7[[#This Row],[QuestionID]], FinalQuestions!$A:$A, FinalQuestions!$D:$D,"")</f>
        <v>Openness to Discussions</v>
      </c>
      <c r="I358" t="s">
        <v>268</v>
      </c>
    </row>
    <row r="359" spans="1:9" x14ac:dyDescent="0.35">
      <c r="A359" t="s">
        <v>99</v>
      </c>
      <c r="B359" t="s">
        <v>23</v>
      </c>
      <c r="C359" t="s">
        <v>6</v>
      </c>
      <c r="D359" t="str">
        <f>VLOOKUP(Table7[[#This Row],[QuestionID]], FinalQuestions!$A:$C, 3, FALSE)</f>
        <v>Discussability</v>
      </c>
      <c r="E359">
        <f>IF(Table7[[#This Row],[Response]]="","",CHOOSE(MATCH(Table7[[#This Row],[Response]],{"Strongly Agree","Agree","Neutral","Disagree","Strongly Disagree","Not Applicable"},0),5,4,3,2,1,""))</f>
        <v>2</v>
      </c>
      <c r="F359">
        <f>Table7[[#This Row],[Scores]] * 20</f>
        <v>40</v>
      </c>
      <c r="G359">
        <f>IF(OR(Table7[[#This Row],[Response]]="Strongly Agree",Table7[[#This Row],[Response]]="Agree"),1,0)</f>
        <v>0</v>
      </c>
      <c r="H359" t="str">
        <f>_xlfn.XLOOKUP(Table7[[#This Row],[QuestionID]], FinalQuestions!$A:$A, FinalQuestions!$D:$D,"")</f>
        <v>Access to Guidance</v>
      </c>
      <c r="I359" t="s">
        <v>268</v>
      </c>
    </row>
    <row r="360" spans="1:9" x14ac:dyDescent="0.35">
      <c r="A360" t="s">
        <v>99</v>
      </c>
      <c r="B360" t="s">
        <v>25</v>
      </c>
      <c r="C360" t="s">
        <v>6</v>
      </c>
      <c r="D360" t="str">
        <f>VLOOKUP(Table7[[#This Row],[QuestionID]], FinalQuestions!$A:$C, 3, FALSE)</f>
        <v>Discussability</v>
      </c>
      <c r="E360">
        <f>IF(Table7[[#This Row],[Response]]="","",CHOOSE(MATCH(Table7[[#This Row],[Response]],{"Strongly Agree","Agree","Neutral","Disagree","Strongly Disagree","Not Applicable"},0),5,4,3,2,1,""))</f>
        <v>2</v>
      </c>
      <c r="F360">
        <f>Table7[[#This Row],[Scores]] * 20</f>
        <v>40</v>
      </c>
      <c r="G360">
        <f>IF(OR(Table7[[#This Row],[Response]]="Strongly Agree",Table7[[#This Row],[Response]]="Agree"),1,0)</f>
        <v>0</v>
      </c>
      <c r="H360" t="str">
        <f>_xlfn.XLOOKUP(Table7[[#This Row],[QuestionID]], FinalQuestions!$A:$A, FinalQuestions!$D:$D,"")</f>
        <v>Openness to Sharing Opinions</v>
      </c>
      <c r="I360" t="s">
        <v>268</v>
      </c>
    </row>
    <row r="361" spans="1:9" x14ac:dyDescent="0.35">
      <c r="A361" t="s">
        <v>99</v>
      </c>
      <c r="B361" t="s">
        <v>27</v>
      </c>
      <c r="C361" t="s">
        <v>4</v>
      </c>
      <c r="D361" t="str">
        <f>VLOOKUP(Table7[[#This Row],[QuestionID]], FinalQuestions!$A:$C, 3, FALSE)</f>
        <v>Discussability</v>
      </c>
      <c r="E361">
        <f>IF(Table7[[#This Row],[Response]]="","",CHOOSE(MATCH(Table7[[#This Row],[Response]],{"Strongly Agree","Agree","Neutral","Disagree","Strongly Disagree","Not Applicable"},0),5,4,3,2,1,""))</f>
        <v>3</v>
      </c>
      <c r="F361">
        <f>Table7[[#This Row],[Scores]] * 20</f>
        <v>60</v>
      </c>
      <c r="G361">
        <f>IF(OR(Table7[[#This Row],[Response]]="Strongly Agree",Table7[[#This Row],[Response]]="Agree"),1,0)</f>
        <v>0</v>
      </c>
      <c r="H361" t="str">
        <f>_xlfn.XLOOKUP(Table7[[#This Row],[QuestionID]], FinalQuestions!$A:$A, FinalQuestions!$D:$D,"")</f>
        <v>Comfort in Reporting Risk Dilemmas</v>
      </c>
      <c r="I361" t="s">
        <v>268</v>
      </c>
    </row>
    <row r="362" spans="1:9" x14ac:dyDescent="0.35">
      <c r="A362" t="s">
        <v>99</v>
      </c>
      <c r="B362" t="s">
        <v>29</v>
      </c>
      <c r="C362" t="s">
        <v>85</v>
      </c>
      <c r="D362" t="str">
        <f>VLOOKUP(Table7[[#This Row],[QuestionID]], FinalQuestions!$A:$C, 3, FALSE)</f>
        <v>Achievability</v>
      </c>
      <c r="E362">
        <f>IF(Table7[[#This Row],[Response]]="","",CHOOSE(MATCH(Table7[[#This Row],[Response]],{"Strongly Agree","Agree","Neutral","Disagree","Strongly Disagree","Not Applicable"},0),5,4,3,2,1,""))</f>
        <v>5</v>
      </c>
      <c r="F362">
        <f>Table7[[#This Row],[Scores]] * 20</f>
        <v>100</v>
      </c>
      <c r="G362">
        <f>IF(OR(Table7[[#This Row],[Response]]="Strongly Agree",Table7[[#This Row],[Response]]="Agree"),1,0)</f>
        <v>1</v>
      </c>
      <c r="H362" t="str">
        <f>_xlfn.XLOOKUP(Table7[[#This Row],[QuestionID]], FinalQuestions!$A:$A, FinalQuestions!$D:$D,"")</f>
        <v>Adequacy of Risk Management Training</v>
      </c>
      <c r="I362" t="s">
        <v>268</v>
      </c>
    </row>
    <row r="363" spans="1:9" x14ac:dyDescent="0.35">
      <c r="A363" t="s">
        <v>99</v>
      </c>
      <c r="B363" t="s">
        <v>31</v>
      </c>
      <c r="C363" t="s">
        <v>85</v>
      </c>
      <c r="D363" t="str">
        <f>VLOOKUP(Table7[[#This Row],[QuestionID]], FinalQuestions!$A:$C, 3, FALSE)</f>
        <v>Achievability</v>
      </c>
      <c r="E363">
        <f>IF(Table7[[#This Row],[Response]]="","",CHOOSE(MATCH(Table7[[#This Row],[Response]],{"Strongly Agree","Agree","Neutral","Disagree","Strongly Disagree","Not Applicable"},0),5,4,3,2,1,""))</f>
        <v>5</v>
      </c>
      <c r="F363">
        <f>Table7[[#This Row],[Scores]] * 20</f>
        <v>100</v>
      </c>
      <c r="G363">
        <f>IF(OR(Table7[[#This Row],[Response]]="Strongly Agree",Table7[[#This Row],[Response]]="Agree"),1,0)</f>
        <v>1</v>
      </c>
      <c r="H363" t="str">
        <f>_xlfn.XLOOKUP(Table7[[#This Row],[QuestionID]], FinalQuestions!$A:$A, FinalQuestions!$D:$D,"")</f>
        <v>Workload Balance &amp; Resource Sufficiency</v>
      </c>
      <c r="I363" t="s">
        <v>268</v>
      </c>
    </row>
    <row r="364" spans="1:9" x14ac:dyDescent="0.35">
      <c r="A364" t="s">
        <v>99</v>
      </c>
      <c r="B364" t="s">
        <v>33</v>
      </c>
      <c r="C364" t="s">
        <v>2</v>
      </c>
      <c r="D364" t="str">
        <f>VLOOKUP(Table7[[#This Row],[QuestionID]], FinalQuestions!$A:$C, 3, FALSE)</f>
        <v>Achievability</v>
      </c>
      <c r="E364">
        <f>IF(Table7[[#This Row],[Response]]="","",CHOOSE(MATCH(Table7[[#This Row],[Response]],{"Strongly Agree","Agree","Neutral","Disagree","Strongly Disagree","Not Applicable"},0),5,4,3,2,1,""))</f>
        <v>4</v>
      </c>
      <c r="F364">
        <f>Table7[[#This Row],[Scores]] * 20</f>
        <v>80</v>
      </c>
      <c r="G364">
        <f>IF(OR(Table7[[#This Row],[Response]]="Strongly Agree",Table7[[#This Row],[Response]]="Agree"),1,0)</f>
        <v>1</v>
      </c>
      <c r="H364" t="str">
        <f>_xlfn.XLOOKUP(Table7[[#This Row],[QuestionID]], FinalQuestions!$A:$A, FinalQuestions!$D:$D,"")</f>
        <v>Realistic Target Setting</v>
      </c>
      <c r="I364" t="s">
        <v>268</v>
      </c>
    </row>
    <row r="365" spans="1:9" x14ac:dyDescent="0.35">
      <c r="A365" t="s">
        <v>99</v>
      </c>
      <c r="B365" t="s">
        <v>35</v>
      </c>
      <c r="C365" t="s">
        <v>6</v>
      </c>
      <c r="D365" t="str">
        <f>VLOOKUP(Table7[[#This Row],[QuestionID]], FinalQuestions!$A:$C, 3, FALSE)</f>
        <v>Achievability</v>
      </c>
      <c r="E365">
        <f>IF(Table7[[#This Row],[Response]]="","",CHOOSE(MATCH(Table7[[#This Row],[Response]],{"Strongly Agree","Agree","Neutral","Disagree","Strongly Disagree","Not Applicable"},0),5,4,3,2,1,""))</f>
        <v>2</v>
      </c>
      <c r="F365">
        <f>Table7[[#This Row],[Scores]] * 20</f>
        <v>40</v>
      </c>
      <c r="G365">
        <f>IF(OR(Table7[[#This Row],[Response]]="Strongly Agree",Table7[[#This Row],[Response]]="Agree"),1,0)</f>
        <v>0</v>
      </c>
      <c r="H365" t="str">
        <f>_xlfn.XLOOKUP(Table7[[#This Row],[QuestionID]], FinalQuestions!$A:$A, FinalQuestions!$D:$D,"")</f>
        <v>Risk Insight in Decision Making</v>
      </c>
      <c r="I365" t="s">
        <v>268</v>
      </c>
    </row>
    <row r="366" spans="1:9" x14ac:dyDescent="0.35">
      <c r="A366" t="s">
        <v>99</v>
      </c>
      <c r="B366" t="s">
        <v>37</v>
      </c>
      <c r="C366" t="s">
        <v>4</v>
      </c>
      <c r="D366" t="str">
        <f>VLOOKUP(Table7[[#This Row],[QuestionID]], FinalQuestions!$A:$C, 3, FALSE)</f>
        <v>Enforcement</v>
      </c>
      <c r="E366">
        <f>IF(Table7[[#This Row],[Response]]="","",CHOOSE(MATCH(Table7[[#This Row],[Response]],{"Strongly Agree","Agree","Neutral","Disagree","Strongly Disagree","Not Applicable"},0),5,4,3,2,1,""))</f>
        <v>3</v>
      </c>
      <c r="F366">
        <f>Table7[[#This Row],[Scores]] * 20</f>
        <v>60</v>
      </c>
      <c r="G366">
        <f>IF(OR(Table7[[#This Row],[Response]]="Strongly Agree",Table7[[#This Row],[Response]]="Agree"),1,0)</f>
        <v>0</v>
      </c>
      <c r="H366" t="str">
        <f>_xlfn.XLOOKUP(Table7[[#This Row],[QuestionID]], FinalQuestions!$A:$A, FinalQuestions!$D:$D,"")</f>
        <v>Learning Culture from Non‑Compliance Cases</v>
      </c>
      <c r="I366" t="s">
        <v>268</v>
      </c>
    </row>
    <row r="367" spans="1:9" x14ac:dyDescent="0.35">
      <c r="A367" t="s">
        <v>99</v>
      </c>
      <c r="B367" t="s">
        <v>39</v>
      </c>
      <c r="C367" t="s">
        <v>85</v>
      </c>
      <c r="D367" t="str">
        <f>VLOOKUP(Table7[[#This Row],[QuestionID]], FinalQuestions!$A:$C, 3, FALSE)</f>
        <v>Enforcement</v>
      </c>
      <c r="E367">
        <f>IF(Table7[[#This Row],[Response]]="","",CHOOSE(MATCH(Table7[[#This Row],[Response]],{"Strongly Agree","Agree","Neutral","Disagree","Strongly Disagree","Not Applicable"},0),5,4,3,2,1,""))</f>
        <v>5</v>
      </c>
      <c r="F367">
        <f>Table7[[#This Row],[Scores]] * 20</f>
        <v>100</v>
      </c>
      <c r="G367">
        <f>IF(OR(Table7[[#This Row],[Response]]="Strongly Agree",Table7[[#This Row],[Response]]="Agree"),1,0)</f>
        <v>1</v>
      </c>
      <c r="H367" t="str">
        <f>_xlfn.XLOOKUP(Table7[[#This Row],[QuestionID]], FinalQuestions!$A:$A, FinalQuestions!$D:$D,"")</f>
        <v>Organizational View on Risk Culture</v>
      </c>
      <c r="I367" t="s">
        <v>268</v>
      </c>
    </row>
    <row r="368" spans="1:9" x14ac:dyDescent="0.35">
      <c r="A368" t="s">
        <v>99</v>
      </c>
      <c r="B368" t="s">
        <v>41</v>
      </c>
      <c r="C368" t="s">
        <v>2</v>
      </c>
      <c r="D368" t="str">
        <f>VLOOKUP(Table7[[#This Row],[QuestionID]], FinalQuestions!$A:$C, 3, FALSE)</f>
        <v>Enforcement</v>
      </c>
      <c r="E368">
        <f>IF(Table7[[#This Row],[Response]]="","",CHOOSE(MATCH(Table7[[#This Row],[Response]],{"Strongly Agree","Agree","Neutral","Disagree","Strongly Disagree","Not Applicable"},0),5,4,3,2,1,""))</f>
        <v>4</v>
      </c>
      <c r="F368">
        <f>Table7[[#This Row],[Scores]] * 20</f>
        <v>80</v>
      </c>
      <c r="G368">
        <f>IF(OR(Table7[[#This Row],[Response]]="Strongly Agree",Table7[[#This Row],[Response]]="Agree"),1,0)</f>
        <v>1</v>
      </c>
      <c r="H368" t="str">
        <f>_xlfn.XLOOKUP(Table7[[#This Row],[QuestionID]], FinalQuestions!$A:$A, FinalQuestions!$D:$D,"")</f>
        <v>Compliance Recognition &amp; enforcement</v>
      </c>
      <c r="I368" t="s">
        <v>268</v>
      </c>
    </row>
    <row r="369" spans="1:9" x14ac:dyDescent="0.35">
      <c r="A369" t="s">
        <v>99</v>
      </c>
      <c r="B369" t="s">
        <v>43</v>
      </c>
      <c r="C369" t="s">
        <v>6</v>
      </c>
      <c r="D369" t="str">
        <f>VLOOKUP(Table7[[#This Row],[QuestionID]], FinalQuestions!$A:$C, 3, FALSE)</f>
        <v>Enforcement</v>
      </c>
      <c r="E369">
        <f>IF(Table7[[#This Row],[Response]]="","",CHOOSE(MATCH(Table7[[#This Row],[Response]],{"Strongly Agree","Agree","Neutral","Disagree","Strongly Disagree","Not Applicable"},0),5,4,3,2,1,""))</f>
        <v>2</v>
      </c>
      <c r="F369">
        <f>Table7[[#This Row],[Scores]] * 20</f>
        <v>40</v>
      </c>
      <c r="G369">
        <f>IF(OR(Table7[[#This Row],[Response]]="Strongly Agree",Table7[[#This Row],[Response]]="Agree"),1,0)</f>
        <v>0</v>
      </c>
      <c r="H369" t="str">
        <f>_xlfn.XLOOKUP(Table7[[#This Row],[QuestionID]], FinalQuestions!$A:$A, FinalQuestions!$D:$D,"")</f>
        <v>Sense of Ownership</v>
      </c>
      <c r="I369" t="s">
        <v>268</v>
      </c>
    </row>
    <row r="370" spans="1:9" x14ac:dyDescent="0.35">
      <c r="A370" t="s">
        <v>99</v>
      </c>
      <c r="B370" t="s">
        <v>45</v>
      </c>
      <c r="C370" t="s">
        <v>6</v>
      </c>
      <c r="D370" t="str">
        <f>VLOOKUP(Table7[[#This Row],[QuestionID]], FinalQuestions!$A:$C, 3, FALSE)</f>
        <v>Clarity</v>
      </c>
      <c r="E370">
        <f>IF(Table7[[#This Row],[Response]]="","",CHOOSE(MATCH(Table7[[#This Row],[Response]],{"Strongly Agree","Agree","Neutral","Disagree","Strongly Disagree","Not Applicable"},0),5,4,3,2,1,""))</f>
        <v>2</v>
      </c>
      <c r="F370">
        <f>Table7[[#This Row],[Scores]] * 20</f>
        <v>40</v>
      </c>
      <c r="G370">
        <f>IF(OR(Table7[[#This Row],[Response]]="Strongly Agree",Table7[[#This Row],[Response]]="Agree"),1,0)</f>
        <v>0</v>
      </c>
      <c r="H370" t="str">
        <f>_xlfn.XLOOKUP(Table7[[#This Row],[QuestionID]], FinalQuestions!$A:$A, FinalQuestions!$D:$D,"")</f>
        <v>Clarity of Role and Responsibilities</v>
      </c>
      <c r="I370" t="s">
        <v>268</v>
      </c>
    </row>
    <row r="371" spans="1:9" x14ac:dyDescent="0.35">
      <c r="A371" t="s">
        <v>99</v>
      </c>
      <c r="B371" t="s">
        <v>47</v>
      </c>
      <c r="C371" t="s">
        <v>2</v>
      </c>
      <c r="D371" t="str">
        <f>VLOOKUP(Table7[[#This Row],[QuestionID]], FinalQuestions!$A:$C, 3, FALSE)</f>
        <v>Clarity</v>
      </c>
      <c r="E371">
        <f>IF(Table7[[#This Row],[Response]]="","",CHOOSE(MATCH(Table7[[#This Row],[Response]],{"Strongly Agree","Agree","Neutral","Disagree","Strongly Disagree","Not Applicable"},0),5,4,3,2,1,""))</f>
        <v>4</v>
      </c>
      <c r="F371">
        <f>Table7[[#This Row],[Scores]] * 20</f>
        <v>80</v>
      </c>
      <c r="G371">
        <f>IF(OR(Table7[[#This Row],[Response]]="Strongly Agree",Table7[[#This Row],[Response]]="Agree"),1,0)</f>
        <v>1</v>
      </c>
      <c r="H371" t="str">
        <f>_xlfn.XLOOKUP(Table7[[#This Row],[QuestionID]], FinalQuestions!$A:$A, FinalQuestions!$D:$D,"")</f>
        <v>Understanding of Risk Policies &amp; Procedures</v>
      </c>
      <c r="I371" t="s">
        <v>268</v>
      </c>
    </row>
    <row r="372" spans="1:9" x14ac:dyDescent="0.35">
      <c r="A372" t="s">
        <v>99</v>
      </c>
      <c r="B372" t="s">
        <v>49</v>
      </c>
      <c r="C372" t="s">
        <v>6</v>
      </c>
      <c r="D372" t="str">
        <f>VLOOKUP(Table7[[#This Row],[QuestionID]], FinalQuestions!$A:$C, 3, FALSE)</f>
        <v>Clarity</v>
      </c>
      <c r="E372">
        <f>IF(Table7[[#This Row],[Response]]="","",CHOOSE(MATCH(Table7[[#This Row],[Response]],{"Strongly Agree","Agree","Neutral","Disagree","Strongly Disagree","Not Applicable"},0),5,4,3,2,1,""))</f>
        <v>2</v>
      </c>
      <c r="F372">
        <f>Table7[[#This Row],[Scores]] * 20</f>
        <v>40</v>
      </c>
      <c r="G372">
        <f>IF(OR(Table7[[#This Row],[Response]]="Strongly Agree",Table7[[#This Row],[Response]]="Agree"),1,0)</f>
        <v>0</v>
      </c>
      <c r="H372" t="str">
        <f>_xlfn.XLOOKUP(Table7[[#This Row],[QuestionID]], FinalQuestions!$A:$A, FinalQuestions!$D:$D,"")</f>
        <v>Clarity of Personal Risk Boundaries</v>
      </c>
      <c r="I372" t="s">
        <v>268</v>
      </c>
    </row>
    <row r="373" spans="1:9" x14ac:dyDescent="0.35">
      <c r="A373" t="s">
        <v>99</v>
      </c>
      <c r="B373" t="s">
        <v>51</v>
      </c>
      <c r="C373" t="s">
        <v>4</v>
      </c>
      <c r="D373" t="str">
        <f>VLOOKUP(Table7[[#This Row],[QuestionID]], FinalQuestions!$A:$C, 3, FALSE)</f>
        <v>Clarity</v>
      </c>
      <c r="E373">
        <f>IF(Table7[[#This Row],[Response]]="","",CHOOSE(MATCH(Table7[[#This Row],[Response]],{"Strongly Agree","Agree","Neutral","Disagree","Strongly Disagree","Not Applicable"},0),5,4,3,2,1,""))</f>
        <v>3</v>
      </c>
      <c r="F373">
        <f>Table7[[#This Row],[Scores]] * 20</f>
        <v>60</v>
      </c>
      <c r="G373">
        <f>IF(OR(Table7[[#This Row],[Response]]="Strongly Agree",Table7[[#This Row],[Response]]="Agree"),1,0)</f>
        <v>0</v>
      </c>
      <c r="H373" t="str">
        <f>_xlfn.XLOOKUP(Table7[[#This Row],[QuestionID]], FinalQuestions!$A:$A, FinalQuestions!$D:$D,"")</f>
        <v>Effectiveness of Risk Communication &amp; Training</v>
      </c>
      <c r="I373" t="s">
        <v>268</v>
      </c>
    </row>
    <row r="374" spans="1:9" x14ac:dyDescent="0.35">
      <c r="A374" t="s">
        <v>99</v>
      </c>
      <c r="B374" t="s">
        <v>53</v>
      </c>
      <c r="C374" t="s">
        <v>85</v>
      </c>
      <c r="D374" t="str">
        <f>VLOOKUP(Table7[[#This Row],[QuestionID]], FinalQuestions!$A:$C, 3, FALSE)</f>
        <v>Transparency</v>
      </c>
      <c r="E374">
        <f>IF(Table7[[#This Row],[Response]]="","",CHOOSE(MATCH(Table7[[#This Row],[Response]],{"Strongly Agree","Agree","Neutral","Disagree","Strongly Disagree","Not Applicable"},0),5,4,3,2,1,""))</f>
        <v>5</v>
      </c>
      <c r="F374">
        <f>Table7[[#This Row],[Scores]] * 20</f>
        <v>100</v>
      </c>
      <c r="G374">
        <f>IF(OR(Table7[[#This Row],[Response]]="Strongly Agree",Table7[[#This Row],[Response]]="Agree"),1,0)</f>
        <v>1</v>
      </c>
      <c r="H374" t="str">
        <f>_xlfn.XLOOKUP(Table7[[#This Row],[QuestionID]], FinalQuestions!$A:$A, FinalQuestions!$D:$D,"")</f>
        <v>Compliance Confidence in team</v>
      </c>
      <c r="I374" t="s">
        <v>268</v>
      </c>
    </row>
    <row r="375" spans="1:9" x14ac:dyDescent="0.35">
      <c r="A375" t="s">
        <v>99</v>
      </c>
      <c r="B375" t="s">
        <v>55</v>
      </c>
      <c r="C375" t="s">
        <v>85</v>
      </c>
      <c r="D375" t="str">
        <f>VLOOKUP(Table7[[#This Row],[QuestionID]], FinalQuestions!$A:$C, 3, FALSE)</f>
        <v>Transparency</v>
      </c>
      <c r="E375">
        <f>IF(Table7[[#This Row],[Response]]="","",CHOOSE(MATCH(Table7[[#This Row],[Response]],{"Strongly Agree","Agree","Neutral","Disagree","Strongly Disagree","Not Applicable"},0),5,4,3,2,1,""))</f>
        <v>5</v>
      </c>
      <c r="F375">
        <f>Table7[[#This Row],[Scores]] * 20</f>
        <v>100</v>
      </c>
      <c r="G375">
        <f>IF(OR(Table7[[#This Row],[Response]]="Strongly Agree",Table7[[#This Row],[Response]]="Agree"),1,0)</f>
        <v>1</v>
      </c>
      <c r="H375" t="str">
        <f>_xlfn.XLOOKUP(Table7[[#This Row],[QuestionID]], FinalQuestions!$A:$A, FinalQuestions!$D:$D,"")</f>
        <v>Transparency in Decision‑Making</v>
      </c>
      <c r="I375" t="s">
        <v>268</v>
      </c>
    </row>
    <row r="376" spans="1:9" x14ac:dyDescent="0.35">
      <c r="A376" t="s">
        <v>99</v>
      </c>
      <c r="B376" t="s">
        <v>57</v>
      </c>
      <c r="C376" t="s">
        <v>2</v>
      </c>
      <c r="D376" t="str">
        <f>VLOOKUP(Table7[[#This Row],[QuestionID]], FinalQuestions!$A:$C, 3, FALSE)</f>
        <v>Transparency</v>
      </c>
      <c r="E376">
        <f>IF(Table7[[#This Row],[Response]]="","",CHOOSE(MATCH(Table7[[#This Row],[Response]],{"Strongly Agree","Agree","Neutral","Disagree","Strongly Disagree","Not Applicable"},0),5,4,3,2,1,""))</f>
        <v>4</v>
      </c>
      <c r="F376">
        <f>Table7[[#This Row],[Scores]] * 20</f>
        <v>80</v>
      </c>
      <c r="G376">
        <f>IF(OR(Table7[[#This Row],[Response]]="Strongly Agree",Table7[[#This Row],[Response]]="Agree"),1,0)</f>
        <v>1</v>
      </c>
      <c r="H376" t="str">
        <f>_xlfn.XLOOKUP(Table7[[#This Row],[QuestionID]], FinalQuestions!$A:$A, FinalQuestions!$D:$D,"")</f>
        <v>Fairness &amp; Equity of Expectations</v>
      </c>
      <c r="I376" t="s">
        <v>268</v>
      </c>
    </row>
    <row r="377" spans="1:9" x14ac:dyDescent="0.35">
      <c r="A377" t="s">
        <v>99</v>
      </c>
      <c r="B377" t="s">
        <v>59</v>
      </c>
      <c r="C377" t="s">
        <v>6</v>
      </c>
      <c r="D377" t="str">
        <f>VLOOKUP(Table7[[#This Row],[QuestionID]], FinalQuestions!$A:$C, 3, FALSE)</f>
        <v>Transparency</v>
      </c>
      <c r="E377">
        <f>IF(Table7[[#This Row],[Response]]="","",CHOOSE(MATCH(Table7[[#This Row],[Response]],{"Strongly Agree","Agree","Neutral","Disagree","Strongly Disagree","Not Applicable"},0),5,4,3,2,1,""))</f>
        <v>2</v>
      </c>
      <c r="F377">
        <f>Table7[[#This Row],[Scores]] * 20</f>
        <v>40</v>
      </c>
      <c r="G377">
        <f>IF(OR(Table7[[#This Row],[Response]]="Strongly Agree",Table7[[#This Row],[Response]]="Agree"),1,0)</f>
        <v>0</v>
      </c>
      <c r="H377" t="str">
        <f>_xlfn.XLOOKUP(Table7[[#This Row],[QuestionID]], FinalQuestions!$A:$A, FinalQuestions!$D:$D,"")</f>
        <v>Leadership Awareness in the team</v>
      </c>
      <c r="I377" t="s">
        <v>268</v>
      </c>
    </row>
    <row r="378" spans="1:9" x14ac:dyDescent="0.35">
      <c r="A378" t="s">
        <v>99</v>
      </c>
      <c r="B378" t="s">
        <v>61</v>
      </c>
      <c r="C378" t="s">
        <v>4</v>
      </c>
      <c r="D378" t="str">
        <f>VLOOKUP(Table7[[#This Row],[QuestionID]], FinalQuestions!$A:$C, 3, FALSE)</f>
        <v>Commitment</v>
      </c>
      <c r="E378">
        <f>IF(Table7[[#This Row],[Response]]="","",CHOOSE(MATCH(Table7[[#This Row],[Response]],{"Strongly Agree","Agree","Neutral","Disagree","Strongly Disagree","Not Applicable"},0),5,4,3,2,1,""))</f>
        <v>3</v>
      </c>
      <c r="F378">
        <f>Table7[[#This Row],[Scores]] * 20</f>
        <v>60</v>
      </c>
      <c r="G378">
        <f>IF(OR(Table7[[#This Row],[Response]]="Strongly Agree",Table7[[#This Row],[Response]]="Agree"),1,0)</f>
        <v>0</v>
      </c>
      <c r="H378" t="str">
        <f>_xlfn.XLOOKUP(Table7[[#This Row],[QuestionID]], FinalQuestions!$A:$A, FinalQuestions!$D:$D,"")</f>
        <v>Motivation for Risk Ownership</v>
      </c>
      <c r="I378" t="s">
        <v>268</v>
      </c>
    </row>
    <row r="379" spans="1:9" x14ac:dyDescent="0.35">
      <c r="A379" t="s">
        <v>99</v>
      </c>
      <c r="B379" t="s">
        <v>63</v>
      </c>
      <c r="C379" t="s">
        <v>85</v>
      </c>
      <c r="D379" t="str">
        <f>VLOOKUP(Table7[[#This Row],[QuestionID]], FinalQuestions!$A:$C, 3, FALSE)</f>
        <v>Commitment</v>
      </c>
      <c r="E379">
        <f>IF(Table7[[#This Row],[Response]]="","",CHOOSE(MATCH(Table7[[#This Row],[Response]],{"Strongly Agree","Agree","Neutral","Disagree","Strongly Disagree","Not Applicable"},0),5,4,3,2,1,""))</f>
        <v>5</v>
      </c>
      <c r="F379">
        <f>Table7[[#This Row],[Scores]] * 20</f>
        <v>100</v>
      </c>
      <c r="G379">
        <f>IF(OR(Table7[[#This Row],[Response]]="Strongly Agree",Table7[[#This Row],[Response]]="Agree"),1,0)</f>
        <v>1</v>
      </c>
      <c r="H379" t="str">
        <f>_xlfn.XLOOKUP(Table7[[#This Row],[QuestionID]], FinalQuestions!$A:$A, FinalQuestions!$D:$D,"")</f>
        <v>Sense of Belonging to the Organization</v>
      </c>
      <c r="I379" t="s">
        <v>268</v>
      </c>
    </row>
    <row r="380" spans="1:9" x14ac:dyDescent="0.35">
      <c r="A380" t="s">
        <v>99</v>
      </c>
      <c r="B380" t="s">
        <v>65</v>
      </c>
      <c r="C380" t="s">
        <v>2</v>
      </c>
      <c r="D380" t="str">
        <f>VLOOKUP(Table7[[#This Row],[QuestionID]], FinalQuestions!$A:$C, 3, FALSE)</f>
        <v>Commitment</v>
      </c>
      <c r="E380">
        <f>IF(Table7[[#This Row],[Response]]="","",CHOOSE(MATCH(Table7[[#This Row],[Response]],{"Strongly Agree","Agree","Neutral","Disagree","Strongly Disagree","Not Applicable"},0),5,4,3,2,1,""))</f>
        <v>4</v>
      </c>
      <c r="F380">
        <f>Table7[[#This Row],[Scores]] * 20</f>
        <v>80</v>
      </c>
      <c r="G380">
        <f>IF(OR(Table7[[#This Row],[Response]]="Strongly Agree",Table7[[#This Row],[Response]]="Agree"),1,0)</f>
        <v>1</v>
      </c>
      <c r="H380" t="str">
        <f>_xlfn.XLOOKUP(Table7[[#This Row],[QuestionID]], FinalQuestions!$A:$A, FinalQuestions!$D:$D,"")</f>
        <v>Consideration of Impact on Others</v>
      </c>
      <c r="I380" t="s">
        <v>268</v>
      </c>
    </row>
    <row r="381" spans="1:9" x14ac:dyDescent="0.35">
      <c r="A381" t="s">
        <v>99</v>
      </c>
      <c r="B381" t="s">
        <v>67</v>
      </c>
      <c r="C381" t="s">
        <v>6</v>
      </c>
      <c r="D381" t="str">
        <f>VLOOKUP(Table7[[#This Row],[QuestionID]], FinalQuestions!$A:$C, 3, FALSE)</f>
        <v>Commitment</v>
      </c>
      <c r="E381">
        <f>IF(Table7[[#This Row],[Response]]="","",CHOOSE(MATCH(Table7[[#This Row],[Response]],{"Strongly Agree","Agree","Neutral","Disagree","Strongly Disagree","Not Applicable"},0),5,4,3,2,1,""))</f>
        <v>2</v>
      </c>
      <c r="F381">
        <f>Table7[[#This Row],[Scores]] * 20</f>
        <v>40</v>
      </c>
      <c r="G381">
        <f>IF(OR(Table7[[#This Row],[Response]]="Strongly Agree",Table7[[#This Row],[Response]]="Agree"),1,0)</f>
        <v>0</v>
      </c>
      <c r="H381" t="str">
        <f>_xlfn.XLOOKUP(Table7[[#This Row],[QuestionID]], FinalQuestions!$A:$A, FinalQuestions!$D:$D,"")</f>
        <v>Accountability for Risk Actions</v>
      </c>
      <c r="I381" t="s">
        <v>268</v>
      </c>
    </row>
    <row r="382" spans="1:9" x14ac:dyDescent="0.35">
      <c r="A382" t="s">
        <v>99</v>
      </c>
      <c r="B382" t="s">
        <v>69</v>
      </c>
      <c r="C382" t="s">
        <v>6</v>
      </c>
      <c r="D382" t="str">
        <f>VLOOKUP(Table7[[#This Row],[QuestionID]], FinalQuestions!$A:$C, 3, FALSE)</f>
        <v>Call someone to account</v>
      </c>
      <c r="E382">
        <f>IF(Table7[[#This Row],[Response]]="","",CHOOSE(MATCH(Table7[[#This Row],[Response]],{"Strongly Agree","Agree","Neutral","Disagree","Strongly Disagree","Not Applicable"},0),5,4,3,2,1,""))</f>
        <v>2</v>
      </c>
      <c r="F382">
        <f>Table7[[#This Row],[Scores]] * 20</f>
        <v>40</v>
      </c>
      <c r="G382">
        <f>IF(OR(Table7[[#This Row],[Response]]="Strongly Agree",Table7[[#This Row],[Response]]="Agree"),1,0)</f>
        <v>0</v>
      </c>
      <c r="H382" t="str">
        <f>_xlfn.XLOOKUP(Table7[[#This Row],[QuestionID]], FinalQuestions!$A:$A, FinalQuestions!$D:$D,"")</f>
        <v xml:space="preserve">Peer to peer Accountability </v>
      </c>
      <c r="I382" t="s">
        <v>268</v>
      </c>
    </row>
    <row r="383" spans="1:9" x14ac:dyDescent="0.35">
      <c r="A383" t="s">
        <v>99</v>
      </c>
      <c r="B383" t="s">
        <v>71</v>
      </c>
      <c r="C383" t="s">
        <v>2</v>
      </c>
      <c r="D383" t="str">
        <f>VLOOKUP(Table7[[#This Row],[QuestionID]], FinalQuestions!$A:$C, 3, FALSE)</f>
        <v>Call someone to account</v>
      </c>
      <c r="E383">
        <f>IF(Table7[[#This Row],[Response]]="","",CHOOSE(MATCH(Table7[[#This Row],[Response]],{"Strongly Agree","Agree","Neutral","Disagree","Strongly Disagree","Not Applicable"},0),5,4,3,2,1,""))</f>
        <v>4</v>
      </c>
      <c r="F383">
        <f>Table7[[#This Row],[Scores]] * 20</f>
        <v>80</v>
      </c>
      <c r="G383">
        <f>IF(OR(Table7[[#This Row],[Response]]="Strongly Agree",Table7[[#This Row],[Response]]="Agree"),1,0)</f>
        <v>1</v>
      </c>
      <c r="H383" t="str">
        <f>_xlfn.XLOOKUP(Table7[[#This Row],[QuestionID]], FinalQuestions!$A:$A, FinalQuestions!$D:$D,"")</f>
        <v>Timely Resolution of Accountability Issues</v>
      </c>
      <c r="I383" t="s">
        <v>268</v>
      </c>
    </row>
    <row r="384" spans="1:9" x14ac:dyDescent="0.35">
      <c r="A384" t="s">
        <v>99</v>
      </c>
      <c r="B384" t="s">
        <v>73</v>
      </c>
      <c r="C384" t="s">
        <v>6</v>
      </c>
      <c r="D384" t="str">
        <f>VLOOKUP(Table7[[#This Row],[QuestionID]], FinalQuestions!$A:$C, 3, FALSE)</f>
        <v>Call someone to account</v>
      </c>
      <c r="E384">
        <f>IF(Table7[[#This Row],[Response]]="","",CHOOSE(MATCH(Table7[[#This Row],[Response]],{"Strongly Agree","Agree","Neutral","Disagree","Strongly Disagree","Not Applicable"},0),5,4,3,2,1,""))</f>
        <v>2</v>
      </c>
      <c r="F384">
        <f>Table7[[#This Row],[Scores]] * 20</f>
        <v>40</v>
      </c>
      <c r="G384">
        <f>IF(OR(Table7[[#This Row],[Response]]="Strongly Agree",Table7[[#This Row],[Response]]="Agree"),1,0)</f>
        <v>0</v>
      </c>
      <c r="H384" t="str">
        <f>_xlfn.XLOOKUP(Table7[[#This Row],[QuestionID]], FinalQuestions!$A:$A, FinalQuestions!$D:$D,"")</f>
        <v>Comfort for Reporting Non‑Compliance.</v>
      </c>
      <c r="I384" t="s">
        <v>268</v>
      </c>
    </row>
    <row r="385" spans="1:9" x14ac:dyDescent="0.35">
      <c r="A385" t="s">
        <v>99</v>
      </c>
      <c r="B385" t="s">
        <v>75</v>
      </c>
      <c r="C385" t="s">
        <v>4</v>
      </c>
      <c r="D385" t="str">
        <f>VLOOKUP(Table7[[#This Row],[QuestionID]], FinalQuestions!$A:$C, 3, FALSE)</f>
        <v>Call someone to account</v>
      </c>
      <c r="E385">
        <f>IF(Table7[[#This Row],[Response]]="","",CHOOSE(MATCH(Table7[[#This Row],[Response]],{"Strongly Agree","Agree","Neutral","Disagree","Strongly Disagree","Not Applicable"},0),5,4,3,2,1,""))</f>
        <v>3</v>
      </c>
      <c r="F385">
        <f>Table7[[#This Row],[Scores]] * 20</f>
        <v>60</v>
      </c>
      <c r="G385">
        <f>IF(OR(Table7[[#This Row],[Response]]="Strongly Agree",Table7[[#This Row],[Response]]="Agree"),1,0)</f>
        <v>0</v>
      </c>
      <c r="H385" t="str">
        <f>_xlfn.XLOOKUP(Table7[[#This Row],[QuestionID]], FinalQuestions!$A:$A, FinalQuestions!$D:$D,"")</f>
        <v>Consistency of Conduct Enforcement</v>
      </c>
      <c r="I385" t="s">
        <v>268</v>
      </c>
    </row>
    <row r="386" spans="1:9" x14ac:dyDescent="0.35">
      <c r="A386" t="s">
        <v>100</v>
      </c>
      <c r="B386" t="s">
        <v>13</v>
      </c>
      <c r="C386" t="s">
        <v>85</v>
      </c>
      <c r="D386" t="str">
        <f>VLOOKUP(Table7[[#This Row],[QuestionID]], FinalQuestions!$A:$C, 3, FALSE)</f>
        <v>Role Modelling</v>
      </c>
      <c r="E386">
        <f>IF(Table7[[#This Row],[Response]]="","",CHOOSE(MATCH(Table7[[#This Row],[Response]],{"Strongly Agree","Agree","Neutral","Disagree","Strongly Disagree","Not Applicable"},0),5,4,3,2,1,""))</f>
        <v>5</v>
      </c>
      <c r="F386">
        <f>Table7[[#This Row],[Scores]] * 20</f>
        <v>100</v>
      </c>
      <c r="G386">
        <f>IF(OR(Table7[[#This Row],[Response]]="Strongly Agree",Table7[[#This Row],[Response]]="Agree"),1,0)</f>
        <v>1</v>
      </c>
      <c r="H386" t="str">
        <f>_xlfn.XLOOKUP(Table7[[#This Row],[QuestionID]], FinalQuestions!$A:$A, FinalQuestions!$D:$D,"")</f>
        <v xml:space="preserve">Leadership Example‑Setting in Risk Management </v>
      </c>
      <c r="I386" t="s">
        <v>265</v>
      </c>
    </row>
    <row r="387" spans="1:9" x14ac:dyDescent="0.35">
      <c r="A387" t="s">
        <v>100</v>
      </c>
      <c r="B387" t="s">
        <v>15</v>
      </c>
      <c r="C387" t="s">
        <v>85</v>
      </c>
      <c r="D387" t="str">
        <f>VLOOKUP(Table7[[#This Row],[QuestionID]], FinalQuestions!$A:$C, 3, FALSE)</f>
        <v>Role Modelling</v>
      </c>
      <c r="E387">
        <f>IF(Table7[[#This Row],[Response]]="","",CHOOSE(MATCH(Table7[[#This Row],[Response]],{"Strongly Agree","Agree","Neutral","Disagree","Strongly Disagree","Not Applicable"},0),5,4,3,2,1,""))</f>
        <v>5</v>
      </c>
      <c r="F387">
        <f>Table7[[#This Row],[Scores]] * 20</f>
        <v>100</v>
      </c>
      <c r="G387">
        <f>IF(OR(Table7[[#This Row],[Response]]="Strongly Agree",Table7[[#This Row],[Response]]="Agree"),1,0)</f>
        <v>1</v>
      </c>
      <c r="H387" t="str">
        <f>_xlfn.XLOOKUP(Table7[[#This Row],[QuestionID]], FinalQuestions!$A:$A, FinalQuestions!$D:$D,"")</f>
        <v>Executive Commitment to Risk Culture</v>
      </c>
      <c r="I387" t="s">
        <v>265</v>
      </c>
    </row>
    <row r="388" spans="1:9" x14ac:dyDescent="0.35">
      <c r="A388" t="s">
        <v>100</v>
      </c>
      <c r="B388" t="s">
        <v>17</v>
      </c>
      <c r="C388" t="s">
        <v>2</v>
      </c>
      <c r="D388" t="str">
        <f>VLOOKUP(Table7[[#This Row],[QuestionID]], FinalQuestions!$A:$C, 3, FALSE)</f>
        <v>Role Modelling</v>
      </c>
      <c r="E388">
        <f>IF(Table7[[#This Row],[Response]]="","",CHOOSE(MATCH(Table7[[#This Row],[Response]],{"Strongly Agree","Agree","Neutral","Disagree","Strongly Disagree","Not Applicable"},0),5,4,3,2,1,""))</f>
        <v>4</v>
      </c>
      <c r="F388">
        <f>Table7[[#This Row],[Scores]] * 20</f>
        <v>80</v>
      </c>
      <c r="G388">
        <f>IF(OR(Table7[[#This Row],[Response]]="Strongly Agree",Table7[[#This Row],[Response]]="Agree"),1,0)</f>
        <v>1</v>
      </c>
      <c r="H388" t="str">
        <f>_xlfn.XLOOKUP(Table7[[#This Row],[QuestionID]], FinalQuestions!$A:$A, FinalQuestions!$D:$D,"")</f>
        <v>Leadership Encouragement to Escalate Risks</v>
      </c>
      <c r="I388" t="s">
        <v>265</v>
      </c>
    </row>
    <row r="389" spans="1:9" x14ac:dyDescent="0.35">
      <c r="A389" t="s">
        <v>100</v>
      </c>
      <c r="B389" t="s">
        <v>19</v>
      </c>
      <c r="C389" t="s">
        <v>6</v>
      </c>
      <c r="D389" t="str">
        <f>VLOOKUP(Table7[[#This Row],[QuestionID]], FinalQuestions!$A:$C, 3, FALSE)</f>
        <v>Role Modelling</v>
      </c>
      <c r="E389">
        <f>IF(Table7[[#This Row],[Response]]="","",CHOOSE(MATCH(Table7[[#This Row],[Response]],{"Strongly Agree","Agree","Neutral","Disagree","Strongly Disagree","Not Applicable"},0),5,4,3,2,1,""))</f>
        <v>2</v>
      </c>
      <c r="F389">
        <f>Table7[[#This Row],[Scores]] * 20</f>
        <v>40</v>
      </c>
      <c r="G389">
        <f>IF(OR(Table7[[#This Row],[Response]]="Strongly Agree",Table7[[#This Row],[Response]]="Agree"),1,0)</f>
        <v>0</v>
      </c>
      <c r="H389" t="str">
        <f>_xlfn.XLOOKUP(Table7[[#This Row],[QuestionID]], FinalQuestions!$A:$A, FinalQuestions!$D:$D,"")</f>
        <v>Long-Term Decision Awareness</v>
      </c>
      <c r="I389" t="s">
        <v>265</v>
      </c>
    </row>
    <row r="390" spans="1:9" x14ac:dyDescent="0.35">
      <c r="A390" t="s">
        <v>100</v>
      </c>
      <c r="B390" t="s">
        <v>21</v>
      </c>
      <c r="C390" t="s">
        <v>4</v>
      </c>
      <c r="D390" t="str">
        <f>VLOOKUP(Table7[[#This Row],[QuestionID]], FinalQuestions!$A:$C, 3, FALSE)</f>
        <v>Discussability</v>
      </c>
      <c r="E390">
        <f>IF(Table7[[#This Row],[Response]]="","",CHOOSE(MATCH(Table7[[#This Row],[Response]],{"Strongly Agree","Agree","Neutral","Disagree","Strongly Disagree","Not Applicable"},0),5,4,3,2,1,""))</f>
        <v>3</v>
      </c>
      <c r="F390">
        <f>Table7[[#This Row],[Scores]] * 20</f>
        <v>60</v>
      </c>
      <c r="G390">
        <f>IF(OR(Table7[[#This Row],[Response]]="Strongly Agree",Table7[[#This Row],[Response]]="Agree"),1,0)</f>
        <v>0</v>
      </c>
      <c r="H390" t="str">
        <f>_xlfn.XLOOKUP(Table7[[#This Row],[QuestionID]], FinalQuestions!$A:$A, FinalQuestions!$D:$D,"")</f>
        <v>Openness to Discussions</v>
      </c>
      <c r="I390" t="s">
        <v>265</v>
      </c>
    </row>
    <row r="391" spans="1:9" x14ac:dyDescent="0.35">
      <c r="A391" t="s">
        <v>100</v>
      </c>
      <c r="B391" t="s">
        <v>23</v>
      </c>
      <c r="C391" t="s">
        <v>85</v>
      </c>
      <c r="D391" t="str">
        <f>VLOOKUP(Table7[[#This Row],[QuestionID]], FinalQuestions!$A:$C, 3, FALSE)</f>
        <v>Discussability</v>
      </c>
      <c r="E391">
        <f>IF(Table7[[#This Row],[Response]]="","",CHOOSE(MATCH(Table7[[#This Row],[Response]],{"Strongly Agree","Agree","Neutral","Disagree","Strongly Disagree","Not Applicable"},0),5,4,3,2,1,""))</f>
        <v>5</v>
      </c>
      <c r="F391">
        <f>Table7[[#This Row],[Scores]] * 20</f>
        <v>100</v>
      </c>
      <c r="G391">
        <f>IF(OR(Table7[[#This Row],[Response]]="Strongly Agree",Table7[[#This Row],[Response]]="Agree"),1,0)</f>
        <v>1</v>
      </c>
      <c r="H391" t="str">
        <f>_xlfn.XLOOKUP(Table7[[#This Row],[QuestionID]], FinalQuestions!$A:$A, FinalQuestions!$D:$D,"")</f>
        <v>Access to Guidance</v>
      </c>
      <c r="I391" t="s">
        <v>265</v>
      </c>
    </row>
    <row r="392" spans="1:9" x14ac:dyDescent="0.35">
      <c r="A392" t="s">
        <v>100</v>
      </c>
      <c r="B392" t="s">
        <v>25</v>
      </c>
      <c r="C392" t="s">
        <v>2</v>
      </c>
      <c r="D392" t="str">
        <f>VLOOKUP(Table7[[#This Row],[QuestionID]], FinalQuestions!$A:$C, 3, FALSE)</f>
        <v>Discussability</v>
      </c>
      <c r="E392">
        <f>IF(Table7[[#This Row],[Response]]="","",CHOOSE(MATCH(Table7[[#This Row],[Response]],{"Strongly Agree","Agree","Neutral","Disagree","Strongly Disagree","Not Applicable"},0),5,4,3,2,1,""))</f>
        <v>4</v>
      </c>
      <c r="F392">
        <f>Table7[[#This Row],[Scores]] * 20</f>
        <v>80</v>
      </c>
      <c r="G392">
        <f>IF(OR(Table7[[#This Row],[Response]]="Strongly Agree",Table7[[#This Row],[Response]]="Agree"),1,0)</f>
        <v>1</v>
      </c>
      <c r="H392" t="str">
        <f>_xlfn.XLOOKUP(Table7[[#This Row],[QuestionID]], FinalQuestions!$A:$A, FinalQuestions!$D:$D,"")</f>
        <v>Openness to Sharing Opinions</v>
      </c>
      <c r="I392" t="s">
        <v>265</v>
      </c>
    </row>
    <row r="393" spans="1:9" x14ac:dyDescent="0.35">
      <c r="A393" t="s">
        <v>100</v>
      </c>
      <c r="B393" t="s">
        <v>27</v>
      </c>
      <c r="C393" t="s">
        <v>6</v>
      </c>
      <c r="D393" t="str">
        <f>VLOOKUP(Table7[[#This Row],[QuestionID]], FinalQuestions!$A:$C, 3, FALSE)</f>
        <v>Discussability</v>
      </c>
      <c r="E393">
        <f>IF(Table7[[#This Row],[Response]]="","",CHOOSE(MATCH(Table7[[#This Row],[Response]],{"Strongly Agree","Agree","Neutral","Disagree","Strongly Disagree","Not Applicable"},0),5,4,3,2,1,""))</f>
        <v>2</v>
      </c>
      <c r="F393">
        <f>Table7[[#This Row],[Scores]] * 20</f>
        <v>40</v>
      </c>
      <c r="G393">
        <f>IF(OR(Table7[[#This Row],[Response]]="Strongly Agree",Table7[[#This Row],[Response]]="Agree"),1,0)</f>
        <v>0</v>
      </c>
      <c r="H393" t="str">
        <f>_xlfn.XLOOKUP(Table7[[#This Row],[QuestionID]], FinalQuestions!$A:$A, FinalQuestions!$D:$D,"")</f>
        <v>Comfort in Reporting Risk Dilemmas</v>
      </c>
      <c r="I393" t="s">
        <v>265</v>
      </c>
    </row>
    <row r="394" spans="1:9" x14ac:dyDescent="0.35">
      <c r="A394" t="s">
        <v>100</v>
      </c>
      <c r="B394" t="s">
        <v>29</v>
      </c>
      <c r="C394" t="s">
        <v>2</v>
      </c>
      <c r="D394" t="str">
        <f>VLOOKUP(Table7[[#This Row],[QuestionID]], FinalQuestions!$A:$C, 3, FALSE)</f>
        <v>Achievability</v>
      </c>
      <c r="E394">
        <f>IF(Table7[[#This Row],[Response]]="","",CHOOSE(MATCH(Table7[[#This Row],[Response]],{"Strongly Agree","Agree","Neutral","Disagree","Strongly Disagree","Not Applicable"},0),5,4,3,2,1,""))</f>
        <v>4</v>
      </c>
      <c r="F394">
        <f>Table7[[#This Row],[Scores]] * 20</f>
        <v>80</v>
      </c>
      <c r="G394">
        <f>IF(OR(Table7[[#This Row],[Response]]="Strongly Agree",Table7[[#This Row],[Response]]="Agree"),1,0)</f>
        <v>1</v>
      </c>
      <c r="H394" t="str">
        <f>_xlfn.XLOOKUP(Table7[[#This Row],[QuestionID]], FinalQuestions!$A:$A, FinalQuestions!$D:$D,"")</f>
        <v>Adequacy of Risk Management Training</v>
      </c>
      <c r="I394" t="s">
        <v>265</v>
      </c>
    </row>
    <row r="395" spans="1:9" x14ac:dyDescent="0.35">
      <c r="A395" t="s">
        <v>100</v>
      </c>
      <c r="B395" t="s">
        <v>31</v>
      </c>
      <c r="C395" t="s">
        <v>6</v>
      </c>
      <c r="D395" t="str">
        <f>VLOOKUP(Table7[[#This Row],[QuestionID]], FinalQuestions!$A:$C, 3, FALSE)</f>
        <v>Achievability</v>
      </c>
      <c r="E395">
        <f>IF(Table7[[#This Row],[Response]]="","",CHOOSE(MATCH(Table7[[#This Row],[Response]],{"Strongly Agree","Agree","Neutral","Disagree","Strongly Disagree","Not Applicable"},0),5,4,3,2,1,""))</f>
        <v>2</v>
      </c>
      <c r="F395">
        <f>Table7[[#This Row],[Scores]] * 20</f>
        <v>40</v>
      </c>
      <c r="G395">
        <f>IF(OR(Table7[[#This Row],[Response]]="Strongly Agree",Table7[[#This Row],[Response]]="Agree"),1,0)</f>
        <v>0</v>
      </c>
      <c r="H395" t="str">
        <f>_xlfn.XLOOKUP(Table7[[#This Row],[QuestionID]], FinalQuestions!$A:$A, FinalQuestions!$D:$D,"")</f>
        <v>Workload Balance &amp; Resource Sufficiency</v>
      </c>
      <c r="I395" t="s">
        <v>265</v>
      </c>
    </row>
    <row r="396" spans="1:9" x14ac:dyDescent="0.35">
      <c r="A396" t="s">
        <v>100</v>
      </c>
      <c r="B396" t="s">
        <v>33</v>
      </c>
      <c r="C396" t="s">
        <v>4</v>
      </c>
      <c r="D396" t="str">
        <f>VLOOKUP(Table7[[#This Row],[QuestionID]], FinalQuestions!$A:$C, 3, FALSE)</f>
        <v>Achievability</v>
      </c>
      <c r="E396">
        <f>IF(Table7[[#This Row],[Response]]="","",CHOOSE(MATCH(Table7[[#This Row],[Response]],{"Strongly Agree","Agree","Neutral","Disagree","Strongly Disagree","Not Applicable"},0),5,4,3,2,1,""))</f>
        <v>3</v>
      </c>
      <c r="F396">
        <f>Table7[[#This Row],[Scores]] * 20</f>
        <v>60</v>
      </c>
      <c r="G396">
        <f>IF(OR(Table7[[#This Row],[Response]]="Strongly Agree",Table7[[#This Row],[Response]]="Agree"),1,0)</f>
        <v>0</v>
      </c>
      <c r="H396" t="str">
        <f>_xlfn.XLOOKUP(Table7[[#This Row],[QuestionID]], FinalQuestions!$A:$A, FinalQuestions!$D:$D,"")</f>
        <v>Realistic Target Setting</v>
      </c>
      <c r="I396" t="s">
        <v>265</v>
      </c>
    </row>
    <row r="397" spans="1:9" x14ac:dyDescent="0.35">
      <c r="A397" t="s">
        <v>100</v>
      </c>
      <c r="B397" t="s">
        <v>35</v>
      </c>
      <c r="C397" t="s">
        <v>85</v>
      </c>
      <c r="D397" t="str">
        <f>VLOOKUP(Table7[[#This Row],[QuestionID]], FinalQuestions!$A:$C, 3, FALSE)</f>
        <v>Achievability</v>
      </c>
      <c r="E397">
        <f>IF(Table7[[#This Row],[Response]]="","",CHOOSE(MATCH(Table7[[#This Row],[Response]],{"Strongly Agree","Agree","Neutral","Disagree","Strongly Disagree","Not Applicable"},0),5,4,3,2,1,""))</f>
        <v>5</v>
      </c>
      <c r="F397">
        <f>Table7[[#This Row],[Scores]] * 20</f>
        <v>100</v>
      </c>
      <c r="G397">
        <f>IF(OR(Table7[[#This Row],[Response]]="Strongly Agree",Table7[[#This Row],[Response]]="Agree"),1,0)</f>
        <v>1</v>
      </c>
      <c r="H397" t="str">
        <f>_xlfn.XLOOKUP(Table7[[#This Row],[QuestionID]], FinalQuestions!$A:$A, FinalQuestions!$D:$D,"")</f>
        <v>Risk Insight in Decision Making</v>
      </c>
      <c r="I397" t="s">
        <v>265</v>
      </c>
    </row>
    <row r="398" spans="1:9" x14ac:dyDescent="0.35">
      <c r="A398" t="s">
        <v>100</v>
      </c>
      <c r="B398" t="s">
        <v>37</v>
      </c>
      <c r="C398" t="s">
        <v>85</v>
      </c>
      <c r="D398" t="str">
        <f>VLOOKUP(Table7[[#This Row],[QuestionID]], FinalQuestions!$A:$C, 3, FALSE)</f>
        <v>Enforcement</v>
      </c>
      <c r="E398">
        <f>IF(Table7[[#This Row],[Response]]="","",CHOOSE(MATCH(Table7[[#This Row],[Response]],{"Strongly Agree","Agree","Neutral","Disagree","Strongly Disagree","Not Applicable"},0),5,4,3,2,1,""))</f>
        <v>5</v>
      </c>
      <c r="F398">
        <f>Table7[[#This Row],[Scores]] * 20</f>
        <v>100</v>
      </c>
      <c r="G398">
        <f>IF(OR(Table7[[#This Row],[Response]]="Strongly Agree",Table7[[#This Row],[Response]]="Agree"),1,0)</f>
        <v>1</v>
      </c>
      <c r="H398" t="str">
        <f>_xlfn.XLOOKUP(Table7[[#This Row],[QuestionID]], FinalQuestions!$A:$A, FinalQuestions!$D:$D,"")</f>
        <v>Learning Culture from Non‑Compliance Cases</v>
      </c>
      <c r="I398" t="s">
        <v>265</v>
      </c>
    </row>
    <row r="399" spans="1:9" x14ac:dyDescent="0.35">
      <c r="A399" t="s">
        <v>100</v>
      </c>
      <c r="B399" t="s">
        <v>39</v>
      </c>
      <c r="C399" t="s">
        <v>2</v>
      </c>
      <c r="D399" t="str">
        <f>VLOOKUP(Table7[[#This Row],[QuestionID]], FinalQuestions!$A:$C, 3, FALSE)</f>
        <v>Enforcement</v>
      </c>
      <c r="E399">
        <f>IF(Table7[[#This Row],[Response]]="","",CHOOSE(MATCH(Table7[[#This Row],[Response]],{"Strongly Agree","Agree","Neutral","Disagree","Strongly Disagree","Not Applicable"},0),5,4,3,2,1,""))</f>
        <v>4</v>
      </c>
      <c r="F399">
        <f>Table7[[#This Row],[Scores]] * 20</f>
        <v>80</v>
      </c>
      <c r="G399">
        <f>IF(OR(Table7[[#This Row],[Response]]="Strongly Agree",Table7[[#This Row],[Response]]="Agree"),1,0)</f>
        <v>1</v>
      </c>
      <c r="H399" t="str">
        <f>_xlfn.XLOOKUP(Table7[[#This Row],[QuestionID]], FinalQuestions!$A:$A, FinalQuestions!$D:$D,"")</f>
        <v>Organizational View on Risk Culture</v>
      </c>
      <c r="I399" t="s">
        <v>265</v>
      </c>
    </row>
    <row r="400" spans="1:9" x14ac:dyDescent="0.35">
      <c r="A400" t="s">
        <v>100</v>
      </c>
      <c r="B400" t="s">
        <v>41</v>
      </c>
      <c r="C400" t="s">
        <v>6</v>
      </c>
      <c r="D400" t="str">
        <f>VLOOKUP(Table7[[#This Row],[QuestionID]], FinalQuestions!$A:$C, 3, FALSE)</f>
        <v>Enforcement</v>
      </c>
      <c r="E400">
        <f>IF(Table7[[#This Row],[Response]]="","",CHOOSE(MATCH(Table7[[#This Row],[Response]],{"Strongly Agree","Agree","Neutral","Disagree","Strongly Disagree","Not Applicable"},0),5,4,3,2,1,""))</f>
        <v>2</v>
      </c>
      <c r="F400">
        <f>Table7[[#This Row],[Scores]] * 20</f>
        <v>40</v>
      </c>
      <c r="G400">
        <f>IF(OR(Table7[[#This Row],[Response]]="Strongly Agree",Table7[[#This Row],[Response]]="Agree"),1,0)</f>
        <v>0</v>
      </c>
      <c r="H400" t="str">
        <f>_xlfn.XLOOKUP(Table7[[#This Row],[QuestionID]], FinalQuestions!$A:$A, FinalQuestions!$D:$D,"")</f>
        <v>Compliance Recognition &amp; enforcement</v>
      </c>
      <c r="I400" t="s">
        <v>265</v>
      </c>
    </row>
    <row r="401" spans="1:9" x14ac:dyDescent="0.35">
      <c r="A401" t="s">
        <v>100</v>
      </c>
      <c r="B401" t="s">
        <v>43</v>
      </c>
      <c r="C401" t="s">
        <v>4</v>
      </c>
      <c r="D401" t="str">
        <f>VLOOKUP(Table7[[#This Row],[QuestionID]], FinalQuestions!$A:$C, 3, FALSE)</f>
        <v>Enforcement</v>
      </c>
      <c r="E401">
        <f>IF(Table7[[#This Row],[Response]]="","",CHOOSE(MATCH(Table7[[#This Row],[Response]],{"Strongly Agree","Agree","Neutral","Disagree","Strongly Disagree","Not Applicable"},0),5,4,3,2,1,""))</f>
        <v>3</v>
      </c>
      <c r="F401">
        <f>Table7[[#This Row],[Scores]] * 20</f>
        <v>60</v>
      </c>
      <c r="G401">
        <f>IF(OR(Table7[[#This Row],[Response]]="Strongly Agree",Table7[[#This Row],[Response]]="Agree"),1,0)</f>
        <v>0</v>
      </c>
      <c r="H401" t="str">
        <f>_xlfn.XLOOKUP(Table7[[#This Row],[QuestionID]], FinalQuestions!$A:$A, FinalQuestions!$D:$D,"")</f>
        <v>Sense of Ownership</v>
      </c>
      <c r="I401" t="s">
        <v>265</v>
      </c>
    </row>
    <row r="402" spans="1:9" x14ac:dyDescent="0.35">
      <c r="A402" t="s">
        <v>100</v>
      </c>
      <c r="B402" t="s">
        <v>45</v>
      </c>
      <c r="C402" t="s">
        <v>85</v>
      </c>
      <c r="D402" t="str">
        <f>VLOOKUP(Table7[[#This Row],[QuestionID]], FinalQuestions!$A:$C, 3, FALSE)</f>
        <v>Clarity</v>
      </c>
      <c r="E402">
        <f>IF(Table7[[#This Row],[Response]]="","",CHOOSE(MATCH(Table7[[#This Row],[Response]],{"Strongly Agree","Agree","Neutral","Disagree","Strongly Disagree","Not Applicable"},0),5,4,3,2,1,""))</f>
        <v>5</v>
      </c>
      <c r="F402">
        <f>Table7[[#This Row],[Scores]] * 20</f>
        <v>100</v>
      </c>
      <c r="G402">
        <f>IF(OR(Table7[[#This Row],[Response]]="Strongly Agree",Table7[[#This Row],[Response]]="Agree"),1,0)</f>
        <v>1</v>
      </c>
      <c r="H402" t="str">
        <f>_xlfn.XLOOKUP(Table7[[#This Row],[QuestionID]], FinalQuestions!$A:$A, FinalQuestions!$D:$D,"")</f>
        <v>Clarity of Role and Responsibilities</v>
      </c>
      <c r="I402" t="s">
        <v>265</v>
      </c>
    </row>
    <row r="403" spans="1:9" x14ac:dyDescent="0.35">
      <c r="A403" t="s">
        <v>100</v>
      </c>
      <c r="B403" t="s">
        <v>47</v>
      </c>
      <c r="C403" t="s">
        <v>2</v>
      </c>
      <c r="D403" t="str">
        <f>VLOOKUP(Table7[[#This Row],[QuestionID]], FinalQuestions!$A:$C, 3, FALSE)</f>
        <v>Clarity</v>
      </c>
      <c r="E403">
        <f>IF(Table7[[#This Row],[Response]]="","",CHOOSE(MATCH(Table7[[#This Row],[Response]],{"Strongly Agree","Agree","Neutral","Disagree","Strongly Disagree","Not Applicable"},0),5,4,3,2,1,""))</f>
        <v>4</v>
      </c>
      <c r="F403">
        <f>Table7[[#This Row],[Scores]] * 20</f>
        <v>80</v>
      </c>
      <c r="G403">
        <f>IF(OR(Table7[[#This Row],[Response]]="Strongly Agree",Table7[[#This Row],[Response]]="Agree"),1,0)</f>
        <v>1</v>
      </c>
      <c r="H403" t="str">
        <f>_xlfn.XLOOKUP(Table7[[#This Row],[QuestionID]], FinalQuestions!$A:$A, FinalQuestions!$D:$D,"")</f>
        <v>Understanding of Risk Policies &amp; Procedures</v>
      </c>
      <c r="I403" t="s">
        <v>265</v>
      </c>
    </row>
    <row r="404" spans="1:9" x14ac:dyDescent="0.35">
      <c r="A404" t="s">
        <v>100</v>
      </c>
      <c r="B404" t="s">
        <v>49</v>
      </c>
      <c r="C404" t="s">
        <v>6</v>
      </c>
      <c r="D404" t="str">
        <f>VLOOKUP(Table7[[#This Row],[QuestionID]], FinalQuestions!$A:$C, 3, FALSE)</f>
        <v>Clarity</v>
      </c>
      <c r="E404">
        <f>IF(Table7[[#This Row],[Response]]="","",CHOOSE(MATCH(Table7[[#This Row],[Response]],{"Strongly Agree","Agree","Neutral","Disagree","Strongly Disagree","Not Applicable"},0),5,4,3,2,1,""))</f>
        <v>2</v>
      </c>
      <c r="F404">
        <f>Table7[[#This Row],[Scores]] * 20</f>
        <v>40</v>
      </c>
      <c r="G404">
        <f>IF(OR(Table7[[#This Row],[Response]]="Strongly Agree",Table7[[#This Row],[Response]]="Agree"),1,0)</f>
        <v>0</v>
      </c>
      <c r="H404" t="str">
        <f>_xlfn.XLOOKUP(Table7[[#This Row],[QuestionID]], FinalQuestions!$A:$A, FinalQuestions!$D:$D,"")</f>
        <v>Clarity of Personal Risk Boundaries</v>
      </c>
      <c r="I404" t="s">
        <v>265</v>
      </c>
    </row>
    <row r="405" spans="1:9" x14ac:dyDescent="0.35">
      <c r="A405" t="s">
        <v>100</v>
      </c>
      <c r="B405" t="s">
        <v>51</v>
      </c>
      <c r="C405" t="s">
        <v>6</v>
      </c>
      <c r="D405" t="str">
        <f>VLOOKUP(Table7[[#This Row],[QuestionID]], FinalQuestions!$A:$C, 3, FALSE)</f>
        <v>Clarity</v>
      </c>
      <c r="E405">
        <f>IF(Table7[[#This Row],[Response]]="","",CHOOSE(MATCH(Table7[[#This Row],[Response]],{"Strongly Agree","Agree","Neutral","Disagree","Strongly Disagree","Not Applicable"},0),5,4,3,2,1,""))</f>
        <v>2</v>
      </c>
      <c r="F405">
        <f>Table7[[#This Row],[Scores]] * 20</f>
        <v>40</v>
      </c>
      <c r="G405">
        <f>IF(OR(Table7[[#This Row],[Response]]="Strongly Agree",Table7[[#This Row],[Response]]="Agree"),1,0)</f>
        <v>0</v>
      </c>
      <c r="H405" t="str">
        <f>_xlfn.XLOOKUP(Table7[[#This Row],[QuestionID]], FinalQuestions!$A:$A, FinalQuestions!$D:$D,"")</f>
        <v>Effectiveness of Risk Communication &amp; Training</v>
      </c>
      <c r="I405" t="s">
        <v>265</v>
      </c>
    </row>
    <row r="406" spans="1:9" x14ac:dyDescent="0.35">
      <c r="A406" t="s">
        <v>100</v>
      </c>
      <c r="B406" t="s">
        <v>53</v>
      </c>
      <c r="C406" t="s">
        <v>2</v>
      </c>
      <c r="D406" t="str">
        <f>VLOOKUP(Table7[[#This Row],[QuestionID]], FinalQuestions!$A:$C, 3, FALSE)</f>
        <v>Transparency</v>
      </c>
      <c r="E406">
        <f>IF(Table7[[#This Row],[Response]]="","",CHOOSE(MATCH(Table7[[#This Row],[Response]],{"Strongly Agree","Agree","Neutral","Disagree","Strongly Disagree","Not Applicable"},0),5,4,3,2,1,""))</f>
        <v>4</v>
      </c>
      <c r="F406">
        <f>Table7[[#This Row],[Scores]] * 20</f>
        <v>80</v>
      </c>
      <c r="G406">
        <f>IF(OR(Table7[[#This Row],[Response]]="Strongly Agree",Table7[[#This Row],[Response]]="Agree"),1,0)</f>
        <v>1</v>
      </c>
      <c r="H406" t="str">
        <f>_xlfn.XLOOKUP(Table7[[#This Row],[QuestionID]], FinalQuestions!$A:$A, FinalQuestions!$D:$D,"")</f>
        <v>Compliance Confidence in team</v>
      </c>
      <c r="I406" t="s">
        <v>265</v>
      </c>
    </row>
    <row r="407" spans="1:9" x14ac:dyDescent="0.35">
      <c r="A407" t="s">
        <v>100</v>
      </c>
      <c r="B407" t="s">
        <v>55</v>
      </c>
      <c r="C407" t="s">
        <v>6</v>
      </c>
      <c r="D407" t="str">
        <f>VLOOKUP(Table7[[#This Row],[QuestionID]], FinalQuestions!$A:$C, 3, FALSE)</f>
        <v>Transparency</v>
      </c>
      <c r="E407">
        <f>IF(Table7[[#This Row],[Response]]="","",CHOOSE(MATCH(Table7[[#This Row],[Response]],{"Strongly Agree","Agree","Neutral","Disagree","Strongly Disagree","Not Applicable"},0),5,4,3,2,1,""))</f>
        <v>2</v>
      </c>
      <c r="F407">
        <f>Table7[[#This Row],[Scores]] * 20</f>
        <v>40</v>
      </c>
      <c r="G407">
        <f>IF(OR(Table7[[#This Row],[Response]]="Strongly Agree",Table7[[#This Row],[Response]]="Agree"),1,0)</f>
        <v>0</v>
      </c>
      <c r="H407" t="str">
        <f>_xlfn.XLOOKUP(Table7[[#This Row],[QuestionID]], FinalQuestions!$A:$A, FinalQuestions!$D:$D,"")</f>
        <v>Transparency in Decision‑Making</v>
      </c>
      <c r="I407" t="s">
        <v>265</v>
      </c>
    </row>
    <row r="408" spans="1:9" x14ac:dyDescent="0.35">
      <c r="A408" t="s">
        <v>100</v>
      </c>
      <c r="B408" t="s">
        <v>57</v>
      </c>
      <c r="C408" t="s">
        <v>4</v>
      </c>
      <c r="D408" t="str">
        <f>VLOOKUP(Table7[[#This Row],[QuestionID]], FinalQuestions!$A:$C, 3, FALSE)</f>
        <v>Transparency</v>
      </c>
      <c r="E408">
        <f>IF(Table7[[#This Row],[Response]]="","",CHOOSE(MATCH(Table7[[#This Row],[Response]],{"Strongly Agree","Agree","Neutral","Disagree","Strongly Disagree","Not Applicable"},0),5,4,3,2,1,""))</f>
        <v>3</v>
      </c>
      <c r="F408">
        <f>Table7[[#This Row],[Scores]] * 20</f>
        <v>60</v>
      </c>
      <c r="G408">
        <f>IF(OR(Table7[[#This Row],[Response]]="Strongly Agree",Table7[[#This Row],[Response]]="Agree"),1,0)</f>
        <v>0</v>
      </c>
      <c r="H408" t="str">
        <f>_xlfn.XLOOKUP(Table7[[#This Row],[QuestionID]], FinalQuestions!$A:$A, FinalQuestions!$D:$D,"")</f>
        <v>Fairness &amp; Equity of Expectations</v>
      </c>
      <c r="I408" t="s">
        <v>265</v>
      </c>
    </row>
    <row r="409" spans="1:9" x14ac:dyDescent="0.35">
      <c r="A409" t="s">
        <v>100</v>
      </c>
      <c r="B409" t="s">
        <v>59</v>
      </c>
      <c r="C409" t="s">
        <v>85</v>
      </c>
      <c r="D409" t="str">
        <f>VLOOKUP(Table7[[#This Row],[QuestionID]], FinalQuestions!$A:$C, 3, FALSE)</f>
        <v>Transparency</v>
      </c>
      <c r="E409">
        <f>IF(Table7[[#This Row],[Response]]="","",CHOOSE(MATCH(Table7[[#This Row],[Response]],{"Strongly Agree","Agree","Neutral","Disagree","Strongly Disagree","Not Applicable"},0),5,4,3,2,1,""))</f>
        <v>5</v>
      </c>
      <c r="F409">
        <f>Table7[[#This Row],[Scores]] * 20</f>
        <v>100</v>
      </c>
      <c r="G409">
        <f>IF(OR(Table7[[#This Row],[Response]]="Strongly Agree",Table7[[#This Row],[Response]]="Agree"),1,0)</f>
        <v>1</v>
      </c>
      <c r="H409" t="str">
        <f>_xlfn.XLOOKUP(Table7[[#This Row],[QuestionID]], FinalQuestions!$A:$A, FinalQuestions!$D:$D,"")</f>
        <v>Leadership Awareness in the team</v>
      </c>
      <c r="I409" t="s">
        <v>265</v>
      </c>
    </row>
    <row r="410" spans="1:9" x14ac:dyDescent="0.35">
      <c r="A410" t="s">
        <v>100</v>
      </c>
      <c r="B410" t="s">
        <v>61</v>
      </c>
      <c r="C410" t="s">
        <v>85</v>
      </c>
      <c r="D410" t="str">
        <f>VLOOKUP(Table7[[#This Row],[QuestionID]], FinalQuestions!$A:$C, 3, FALSE)</f>
        <v>Commitment</v>
      </c>
      <c r="E410">
        <f>IF(Table7[[#This Row],[Response]]="","",CHOOSE(MATCH(Table7[[#This Row],[Response]],{"Strongly Agree","Agree","Neutral","Disagree","Strongly Disagree","Not Applicable"},0),5,4,3,2,1,""))</f>
        <v>5</v>
      </c>
      <c r="F410">
        <f>Table7[[#This Row],[Scores]] * 20</f>
        <v>100</v>
      </c>
      <c r="G410">
        <f>IF(OR(Table7[[#This Row],[Response]]="Strongly Agree",Table7[[#This Row],[Response]]="Agree"),1,0)</f>
        <v>1</v>
      </c>
      <c r="H410" t="str">
        <f>_xlfn.XLOOKUP(Table7[[#This Row],[QuestionID]], FinalQuestions!$A:$A, FinalQuestions!$D:$D,"")</f>
        <v>Motivation for Risk Ownership</v>
      </c>
      <c r="I410" t="s">
        <v>265</v>
      </c>
    </row>
    <row r="411" spans="1:9" x14ac:dyDescent="0.35">
      <c r="A411" t="s">
        <v>100</v>
      </c>
      <c r="B411" t="s">
        <v>63</v>
      </c>
      <c r="C411" t="s">
        <v>2</v>
      </c>
      <c r="D411" t="str">
        <f>VLOOKUP(Table7[[#This Row],[QuestionID]], FinalQuestions!$A:$C, 3, FALSE)</f>
        <v>Commitment</v>
      </c>
      <c r="E411">
        <f>IF(Table7[[#This Row],[Response]]="","",CHOOSE(MATCH(Table7[[#This Row],[Response]],{"Strongly Agree","Agree","Neutral","Disagree","Strongly Disagree","Not Applicable"},0),5,4,3,2,1,""))</f>
        <v>4</v>
      </c>
      <c r="F411">
        <f>Table7[[#This Row],[Scores]] * 20</f>
        <v>80</v>
      </c>
      <c r="G411">
        <f>IF(OR(Table7[[#This Row],[Response]]="Strongly Agree",Table7[[#This Row],[Response]]="Agree"),1,0)</f>
        <v>1</v>
      </c>
      <c r="H411" t="str">
        <f>_xlfn.XLOOKUP(Table7[[#This Row],[QuestionID]], FinalQuestions!$A:$A, FinalQuestions!$D:$D,"")</f>
        <v>Sense of Belonging to the Organization</v>
      </c>
      <c r="I411" t="s">
        <v>265</v>
      </c>
    </row>
    <row r="412" spans="1:9" x14ac:dyDescent="0.35">
      <c r="A412" t="s">
        <v>100</v>
      </c>
      <c r="B412" t="s">
        <v>65</v>
      </c>
      <c r="C412" t="s">
        <v>6</v>
      </c>
      <c r="D412" t="str">
        <f>VLOOKUP(Table7[[#This Row],[QuestionID]], FinalQuestions!$A:$C, 3, FALSE)</f>
        <v>Commitment</v>
      </c>
      <c r="E412">
        <f>IF(Table7[[#This Row],[Response]]="","",CHOOSE(MATCH(Table7[[#This Row],[Response]],{"Strongly Agree","Agree","Neutral","Disagree","Strongly Disagree","Not Applicable"},0),5,4,3,2,1,""))</f>
        <v>2</v>
      </c>
      <c r="F412">
        <f>Table7[[#This Row],[Scores]] * 20</f>
        <v>40</v>
      </c>
      <c r="G412">
        <f>IF(OR(Table7[[#This Row],[Response]]="Strongly Agree",Table7[[#This Row],[Response]]="Agree"),1,0)</f>
        <v>0</v>
      </c>
      <c r="H412" t="str">
        <f>_xlfn.XLOOKUP(Table7[[#This Row],[QuestionID]], FinalQuestions!$A:$A, FinalQuestions!$D:$D,"")</f>
        <v>Consideration of Impact on Others</v>
      </c>
      <c r="I412" t="s">
        <v>265</v>
      </c>
    </row>
    <row r="413" spans="1:9" x14ac:dyDescent="0.35">
      <c r="A413" t="s">
        <v>100</v>
      </c>
      <c r="B413" t="s">
        <v>67</v>
      </c>
      <c r="C413" t="s">
        <v>4</v>
      </c>
      <c r="D413" t="str">
        <f>VLOOKUP(Table7[[#This Row],[QuestionID]], FinalQuestions!$A:$C, 3, FALSE)</f>
        <v>Commitment</v>
      </c>
      <c r="E413">
        <f>IF(Table7[[#This Row],[Response]]="","",CHOOSE(MATCH(Table7[[#This Row],[Response]],{"Strongly Agree","Agree","Neutral","Disagree","Strongly Disagree","Not Applicable"},0),5,4,3,2,1,""))</f>
        <v>3</v>
      </c>
      <c r="F413">
        <f>Table7[[#This Row],[Scores]] * 20</f>
        <v>60</v>
      </c>
      <c r="G413">
        <f>IF(OR(Table7[[#This Row],[Response]]="Strongly Agree",Table7[[#This Row],[Response]]="Agree"),1,0)</f>
        <v>0</v>
      </c>
      <c r="H413" t="str">
        <f>_xlfn.XLOOKUP(Table7[[#This Row],[QuestionID]], FinalQuestions!$A:$A, FinalQuestions!$D:$D,"")</f>
        <v>Accountability for Risk Actions</v>
      </c>
      <c r="I413" t="s">
        <v>265</v>
      </c>
    </row>
    <row r="414" spans="1:9" x14ac:dyDescent="0.35">
      <c r="A414" t="s">
        <v>100</v>
      </c>
      <c r="B414" t="s">
        <v>69</v>
      </c>
      <c r="C414" t="s">
        <v>85</v>
      </c>
      <c r="D414" t="str">
        <f>VLOOKUP(Table7[[#This Row],[QuestionID]], FinalQuestions!$A:$C, 3, FALSE)</f>
        <v>Call someone to account</v>
      </c>
      <c r="E414">
        <f>IF(Table7[[#This Row],[Response]]="","",CHOOSE(MATCH(Table7[[#This Row],[Response]],{"Strongly Agree","Agree","Neutral","Disagree","Strongly Disagree","Not Applicable"},0),5,4,3,2,1,""))</f>
        <v>5</v>
      </c>
      <c r="F414">
        <f>Table7[[#This Row],[Scores]] * 20</f>
        <v>100</v>
      </c>
      <c r="G414">
        <f>IF(OR(Table7[[#This Row],[Response]]="Strongly Agree",Table7[[#This Row],[Response]]="Agree"),1,0)</f>
        <v>1</v>
      </c>
      <c r="H414" t="str">
        <f>_xlfn.XLOOKUP(Table7[[#This Row],[QuestionID]], FinalQuestions!$A:$A, FinalQuestions!$D:$D,"")</f>
        <v xml:space="preserve">Peer to peer Accountability </v>
      </c>
      <c r="I414" t="s">
        <v>265</v>
      </c>
    </row>
    <row r="415" spans="1:9" x14ac:dyDescent="0.35">
      <c r="A415" t="s">
        <v>100</v>
      </c>
      <c r="B415" t="s">
        <v>71</v>
      </c>
      <c r="C415" t="s">
        <v>2</v>
      </c>
      <c r="D415" t="str">
        <f>VLOOKUP(Table7[[#This Row],[QuestionID]], FinalQuestions!$A:$C, 3, FALSE)</f>
        <v>Call someone to account</v>
      </c>
      <c r="E415">
        <f>IF(Table7[[#This Row],[Response]]="","",CHOOSE(MATCH(Table7[[#This Row],[Response]],{"Strongly Agree","Agree","Neutral","Disagree","Strongly Disagree","Not Applicable"},0),5,4,3,2,1,""))</f>
        <v>4</v>
      </c>
      <c r="F415">
        <f>Table7[[#This Row],[Scores]] * 20</f>
        <v>80</v>
      </c>
      <c r="G415">
        <f>IF(OR(Table7[[#This Row],[Response]]="Strongly Agree",Table7[[#This Row],[Response]]="Agree"),1,0)</f>
        <v>1</v>
      </c>
      <c r="H415" t="str">
        <f>_xlfn.XLOOKUP(Table7[[#This Row],[QuestionID]], FinalQuestions!$A:$A, FinalQuestions!$D:$D,"")</f>
        <v>Timely Resolution of Accountability Issues</v>
      </c>
      <c r="I415" t="s">
        <v>265</v>
      </c>
    </row>
    <row r="416" spans="1:9" x14ac:dyDescent="0.35">
      <c r="A416" t="s">
        <v>100</v>
      </c>
      <c r="B416" t="s">
        <v>73</v>
      </c>
      <c r="C416" t="s">
        <v>6</v>
      </c>
      <c r="D416" t="str">
        <f>VLOOKUP(Table7[[#This Row],[QuestionID]], FinalQuestions!$A:$C, 3, FALSE)</f>
        <v>Call someone to account</v>
      </c>
      <c r="E416">
        <f>IF(Table7[[#This Row],[Response]]="","",CHOOSE(MATCH(Table7[[#This Row],[Response]],{"Strongly Agree","Agree","Neutral","Disagree","Strongly Disagree","Not Applicable"},0),5,4,3,2,1,""))</f>
        <v>2</v>
      </c>
      <c r="F416">
        <f>Table7[[#This Row],[Scores]] * 20</f>
        <v>40</v>
      </c>
      <c r="G416">
        <f>IF(OR(Table7[[#This Row],[Response]]="Strongly Agree",Table7[[#This Row],[Response]]="Agree"),1,0)</f>
        <v>0</v>
      </c>
      <c r="H416" t="str">
        <f>_xlfn.XLOOKUP(Table7[[#This Row],[QuestionID]], FinalQuestions!$A:$A, FinalQuestions!$D:$D,"")</f>
        <v>Comfort for Reporting Non‑Compliance.</v>
      </c>
      <c r="I416" t="s">
        <v>265</v>
      </c>
    </row>
    <row r="417" spans="1:9" x14ac:dyDescent="0.35">
      <c r="A417" t="s">
        <v>100</v>
      </c>
      <c r="B417" t="s">
        <v>75</v>
      </c>
      <c r="C417" t="s">
        <v>4</v>
      </c>
      <c r="D417" t="str">
        <f>VLOOKUP(Table7[[#This Row],[QuestionID]], FinalQuestions!$A:$C, 3, FALSE)</f>
        <v>Call someone to account</v>
      </c>
      <c r="E417">
        <f>IF(Table7[[#This Row],[Response]]="","",CHOOSE(MATCH(Table7[[#This Row],[Response]],{"Strongly Agree","Agree","Neutral","Disagree","Strongly Disagree","Not Applicable"},0),5,4,3,2,1,""))</f>
        <v>3</v>
      </c>
      <c r="F417">
        <f>Table7[[#This Row],[Scores]] * 20</f>
        <v>60</v>
      </c>
      <c r="G417">
        <f>IF(OR(Table7[[#This Row],[Response]]="Strongly Agree",Table7[[#This Row],[Response]]="Agree"),1,0)</f>
        <v>0</v>
      </c>
      <c r="H417" t="str">
        <f>_xlfn.XLOOKUP(Table7[[#This Row],[QuestionID]], FinalQuestions!$A:$A, FinalQuestions!$D:$D,"")</f>
        <v>Consistency of Conduct Enforcement</v>
      </c>
      <c r="I417" t="s">
        <v>265</v>
      </c>
    </row>
    <row r="418" spans="1:9" x14ac:dyDescent="0.35">
      <c r="A418" t="s">
        <v>101</v>
      </c>
      <c r="B418" t="s">
        <v>13</v>
      </c>
      <c r="C418" t="s">
        <v>85</v>
      </c>
      <c r="D418" t="str">
        <f>VLOOKUP(Table7[[#This Row],[QuestionID]], FinalQuestions!$A:$C, 3, FALSE)</f>
        <v>Role Modelling</v>
      </c>
      <c r="E418">
        <f>IF(Table7[[#This Row],[Response]]="","",CHOOSE(MATCH(Table7[[#This Row],[Response]],{"Strongly Agree","Agree","Neutral","Disagree","Strongly Disagree","Not Applicable"},0),5,4,3,2,1,""))</f>
        <v>5</v>
      </c>
      <c r="F418">
        <f>Table7[[#This Row],[Scores]] * 20</f>
        <v>100</v>
      </c>
      <c r="G418">
        <f>IF(OR(Table7[[#This Row],[Response]]="Strongly Agree",Table7[[#This Row],[Response]]="Agree"),1,0)</f>
        <v>1</v>
      </c>
      <c r="H418" t="str">
        <f>_xlfn.XLOOKUP(Table7[[#This Row],[QuestionID]], FinalQuestions!$A:$A, FinalQuestions!$D:$D,"")</f>
        <v xml:space="preserve">Leadership Example‑Setting in Risk Management </v>
      </c>
      <c r="I418" t="s">
        <v>266</v>
      </c>
    </row>
    <row r="419" spans="1:9" x14ac:dyDescent="0.35">
      <c r="A419" t="s">
        <v>101</v>
      </c>
      <c r="B419" t="s">
        <v>15</v>
      </c>
      <c r="C419" t="s">
        <v>85</v>
      </c>
      <c r="D419" t="str">
        <f>VLOOKUP(Table7[[#This Row],[QuestionID]], FinalQuestions!$A:$C, 3, FALSE)</f>
        <v>Role Modelling</v>
      </c>
      <c r="E419">
        <f>IF(Table7[[#This Row],[Response]]="","",CHOOSE(MATCH(Table7[[#This Row],[Response]],{"Strongly Agree","Agree","Neutral","Disagree","Strongly Disagree","Not Applicable"},0),5,4,3,2,1,""))</f>
        <v>5</v>
      </c>
      <c r="F419">
        <f>Table7[[#This Row],[Scores]] * 20</f>
        <v>100</v>
      </c>
      <c r="G419">
        <f>IF(OR(Table7[[#This Row],[Response]]="Strongly Agree",Table7[[#This Row],[Response]]="Agree"),1,0)</f>
        <v>1</v>
      </c>
      <c r="H419" t="str">
        <f>_xlfn.XLOOKUP(Table7[[#This Row],[QuestionID]], FinalQuestions!$A:$A, FinalQuestions!$D:$D,"")</f>
        <v>Executive Commitment to Risk Culture</v>
      </c>
      <c r="I419" t="s">
        <v>266</v>
      </c>
    </row>
    <row r="420" spans="1:9" x14ac:dyDescent="0.35">
      <c r="A420" t="s">
        <v>101</v>
      </c>
      <c r="B420" t="s">
        <v>17</v>
      </c>
      <c r="C420" t="s">
        <v>2</v>
      </c>
      <c r="D420" t="str">
        <f>VLOOKUP(Table7[[#This Row],[QuestionID]], FinalQuestions!$A:$C, 3, FALSE)</f>
        <v>Role Modelling</v>
      </c>
      <c r="E420">
        <f>IF(Table7[[#This Row],[Response]]="","",CHOOSE(MATCH(Table7[[#This Row],[Response]],{"Strongly Agree","Agree","Neutral","Disagree","Strongly Disagree","Not Applicable"},0),5,4,3,2,1,""))</f>
        <v>4</v>
      </c>
      <c r="F420">
        <f>Table7[[#This Row],[Scores]] * 20</f>
        <v>80</v>
      </c>
      <c r="G420">
        <f>IF(OR(Table7[[#This Row],[Response]]="Strongly Agree",Table7[[#This Row],[Response]]="Agree"),1,0)</f>
        <v>1</v>
      </c>
      <c r="H420" t="str">
        <f>_xlfn.XLOOKUP(Table7[[#This Row],[QuestionID]], FinalQuestions!$A:$A, FinalQuestions!$D:$D,"")</f>
        <v>Leadership Encouragement to Escalate Risks</v>
      </c>
      <c r="I420" t="s">
        <v>266</v>
      </c>
    </row>
    <row r="421" spans="1:9" x14ac:dyDescent="0.35">
      <c r="A421" t="s">
        <v>101</v>
      </c>
      <c r="B421" t="s">
        <v>19</v>
      </c>
      <c r="C421" t="s">
        <v>6</v>
      </c>
      <c r="D421" t="str">
        <f>VLOOKUP(Table7[[#This Row],[QuestionID]], FinalQuestions!$A:$C, 3, FALSE)</f>
        <v>Role Modelling</v>
      </c>
      <c r="E421">
        <f>IF(Table7[[#This Row],[Response]]="","",CHOOSE(MATCH(Table7[[#This Row],[Response]],{"Strongly Agree","Agree","Neutral","Disagree","Strongly Disagree","Not Applicable"},0),5,4,3,2,1,""))</f>
        <v>2</v>
      </c>
      <c r="F421">
        <f>Table7[[#This Row],[Scores]] * 20</f>
        <v>40</v>
      </c>
      <c r="G421">
        <f>IF(OR(Table7[[#This Row],[Response]]="Strongly Agree",Table7[[#This Row],[Response]]="Agree"),1,0)</f>
        <v>0</v>
      </c>
      <c r="H421" t="str">
        <f>_xlfn.XLOOKUP(Table7[[#This Row],[QuestionID]], FinalQuestions!$A:$A, FinalQuestions!$D:$D,"")</f>
        <v>Long-Term Decision Awareness</v>
      </c>
      <c r="I421" t="s">
        <v>266</v>
      </c>
    </row>
    <row r="422" spans="1:9" x14ac:dyDescent="0.35">
      <c r="A422" t="s">
        <v>101</v>
      </c>
      <c r="B422" t="s">
        <v>21</v>
      </c>
      <c r="C422" t="s">
        <v>4</v>
      </c>
      <c r="D422" t="str">
        <f>VLOOKUP(Table7[[#This Row],[QuestionID]], FinalQuestions!$A:$C, 3, FALSE)</f>
        <v>Discussability</v>
      </c>
      <c r="E422">
        <f>IF(Table7[[#This Row],[Response]]="","",CHOOSE(MATCH(Table7[[#This Row],[Response]],{"Strongly Agree","Agree","Neutral","Disagree","Strongly Disagree","Not Applicable"},0),5,4,3,2,1,""))</f>
        <v>3</v>
      </c>
      <c r="F422">
        <f>Table7[[#This Row],[Scores]] * 20</f>
        <v>60</v>
      </c>
      <c r="G422">
        <f>IF(OR(Table7[[#This Row],[Response]]="Strongly Agree",Table7[[#This Row],[Response]]="Agree"),1,0)</f>
        <v>0</v>
      </c>
      <c r="H422" t="str">
        <f>_xlfn.XLOOKUP(Table7[[#This Row],[QuestionID]], FinalQuestions!$A:$A, FinalQuestions!$D:$D,"")</f>
        <v>Openness to Discussions</v>
      </c>
      <c r="I422" t="s">
        <v>266</v>
      </c>
    </row>
    <row r="423" spans="1:9" x14ac:dyDescent="0.35">
      <c r="A423" t="s">
        <v>101</v>
      </c>
      <c r="B423" t="s">
        <v>23</v>
      </c>
      <c r="C423" t="s">
        <v>85</v>
      </c>
      <c r="D423" t="str">
        <f>VLOOKUP(Table7[[#This Row],[QuestionID]], FinalQuestions!$A:$C, 3, FALSE)</f>
        <v>Discussability</v>
      </c>
      <c r="E423">
        <f>IF(Table7[[#This Row],[Response]]="","",CHOOSE(MATCH(Table7[[#This Row],[Response]],{"Strongly Agree","Agree","Neutral","Disagree","Strongly Disagree","Not Applicable"},0),5,4,3,2,1,""))</f>
        <v>5</v>
      </c>
      <c r="F423">
        <f>Table7[[#This Row],[Scores]] * 20</f>
        <v>100</v>
      </c>
      <c r="G423">
        <f>IF(OR(Table7[[#This Row],[Response]]="Strongly Agree",Table7[[#This Row],[Response]]="Agree"),1,0)</f>
        <v>1</v>
      </c>
      <c r="H423" t="str">
        <f>_xlfn.XLOOKUP(Table7[[#This Row],[QuestionID]], FinalQuestions!$A:$A, FinalQuestions!$D:$D,"")</f>
        <v>Access to Guidance</v>
      </c>
      <c r="I423" t="s">
        <v>266</v>
      </c>
    </row>
    <row r="424" spans="1:9" x14ac:dyDescent="0.35">
      <c r="A424" t="s">
        <v>101</v>
      </c>
      <c r="B424" t="s">
        <v>25</v>
      </c>
      <c r="C424" t="s">
        <v>2</v>
      </c>
      <c r="D424" t="str">
        <f>VLOOKUP(Table7[[#This Row],[QuestionID]], FinalQuestions!$A:$C, 3, FALSE)</f>
        <v>Discussability</v>
      </c>
      <c r="E424">
        <f>IF(Table7[[#This Row],[Response]]="","",CHOOSE(MATCH(Table7[[#This Row],[Response]],{"Strongly Agree","Agree","Neutral","Disagree","Strongly Disagree","Not Applicable"},0),5,4,3,2,1,""))</f>
        <v>4</v>
      </c>
      <c r="F424">
        <f>Table7[[#This Row],[Scores]] * 20</f>
        <v>80</v>
      </c>
      <c r="G424">
        <f>IF(OR(Table7[[#This Row],[Response]]="Strongly Agree",Table7[[#This Row],[Response]]="Agree"),1,0)</f>
        <v>1</v>
      </c>
      <c r="H424" t="str">
        <f>_xlfn.XLOOKUP(Table7[[#This Row],[QuestionID]], FinalQuestions!$A:$A, FinalQuestions!$D:$D,"")</f>
        <v>Openness to Sharing Opinions</v>
      </c>
      <c r="I424" t="s">
        <v>266</v>
      </c>
    </row>
    <row r="425" spans="1:9" x14ac:dyDescent="0.35">
      <c r="A425" t="s">
        <v>101</v>
      </c>
      <c r="B425" t="s">
        <v>27</v>
      </c>
      <c r="C425" t="s">
        <v>6</v>
      </c>
      <c r="D425" t="str">
        <f>VLOOKUP(Table7[[#This Row],[QuestionID]], FinalQuestions!$A:$C, 3, FALSE)</f>
        <v>Discussability</v>
      </c>
      <c r="E425">
        <f>IF(Table7[[#This Row],[Response]]="","",CHOOSE(MATCH(Table7[[#This Row],[Response]],{"Strongly Agree","Agree","Neutral","Disagree","Strongly Disagree","Not Applicable"},0),5,4,3,2,1,""))</f>
        <v>2</v>
      </c>
      <c r="F425">
        <f>Table7[[#This Row],[Scores]] * 20</f>
        <v>40</v>
      </c>
      <c r="G425">
        <f>IF(OR(Table7[[#This Row],[Response]]="Strongly Agree",Table7[[#This Row],[Response]]="Agree"),1,0)</f>
        <v>0</v>
      </c>
      <c r="H425" t="str">
        <f>_xlfn.XLOOKUP(Table7[[#This Row],[QuestionID]], FinalQuestions!$A:$A, FinalQuestions!$D:$D,"")</f>
        <v>Comfort in Reporting Risk Dilemmas</v>
      </c>
      <c r="I425" t="s">
        <v>266</v>
      </c>
    </row>
    <row r="426" spans="1:9" x14ac:dyDescent="0.35">
      <c r="A426" t="s">
        <v>101</v>
      </c>
      <c r="B426" t="s">
        <v>29</v>
      </c>
      <c r="C426" t="s">
        <v>6</v>
      </c>
      <c r="D426" t="str">
        <f>VLOOKUP(Table7[[#This Row],[QuestionID]], FinalQuestions!$A:$C, 3, FALSE)</f>
        <v>Achievability</v>
      </c>
      <c r="E426">
        <f>IF(Table7[[#This Row],[Response]]="","",CHOOSE(MATCH(Table7[[#This Row],[Response]],{"Strongly Agree","Agree","Neutral","Disagree","Strongly Disagree","Not Applicable"},0),5,4,3,2,1,""))</f>
        <v>2</v>
      </c>
      <c r="F426">
        <f>Table7[[#This Row],[Scores]] * 20</f>
        <v>40</v>
      </c>
      <c r="G426">
        <f>IF(OR(Table7[[#This Row],[Response]]="Strongly Agree",Table7[[#This Row],[Response]]="Agree"),1,0)</f>
        <v>0</v>
      </c>
      <c r="H426" t="str">
        <f>_xlfn.XLOOKUP(Table7[[#This Row],[QuestionID]], FinalQuestions!$A:$A, FinalQuestions!$D:$D,"")</f>
        <v>Adequacy of Risk Management Training</v>
      </c>
      <c r="I426" t="s">
        <v>266</v>
      </c>
    </row>
    <row r="427" spans="1:9" x14ac:dyDescent="0.35">
      <c r="A427" t="s">
        <v>101</v>
      </c>
      <c r="B427" t="s">
        <v>31</v>
      </c>
      <c r="C427" t="s">
        <v>2</v>
      </c>
      <c r="D427" t="str">
        <f>VLOOKUP(Table7[[#This Row],[QuestionID]], FinalQuestions!$A:$C, 3, FALSE)</f>
        <v>Achievability</v>
      </c>
      <c r="E427">
        <f>IF(Table7[[#This Row],[Response]]="","",CHOOSE(MATCH(Table7[[#This Row],[Response]],{"Strongly Agree","Agree","Neutral","Disagree","Strongly Disagree","Not Applicable"},0),5,4,3,2,1,""))</f>
        <v>4</v>
      </c>
      <c r="F427">
        <f>Table7[[#This Row],[Scores]] * 20</f>
        <v>80</v>
      </c>
      <c r="G427">
        <f>IF(OR(Table7[[#This Row],[Response]]="Strongly Agree",Table7[[#This Row],[Response]]="Agree"),1,0)</f>
        <v>1</v>
      </c>
      <c r="H427" t="str">
        <f>_xlfn.XLOOKUP(Table7[[#This Row],[QuestionID]], FinalQuestions!$A:$A, FinalQuestions!$D:$D,"")</f>
        <v>Workload Balance &amp; Resource Sufficiency</v>
      </c>
      <c r="I427" t="s">
        <v>266</v>
      </c>
    </row>
    <row r="428" spans="1:9" x14ac:dyDescent="0.35">
      <c r="A428" t="s">
        <v>101</v>
      </c>
      <c r="B428" t="s">
        <v>33</v>
      </c>
      <c r="C428" t="s">
        <v>6</v>
      </c>
      <c r="D428" t="str">
        <f>VLOOKUP(Table7[[#This Row],[QuestionID]], FinalQuestions!$A:$C, 3, FALSE)</f>
        <v>Achievability</v>
      </c>
      <c r="E428">
        <f>IF(Table7[[#This Row],[Response]]="","",CHOOSE(MATCH(Table7[[#This Row],[Response]],{"Strongly Agree","Agree","Neutral","Disagree","Strongly Disagree","Not Applicable"},0),5,4,3,2,1,""))</f>
        <v>2</v>
      </c>
      <c r="F428">
        <f>Table7[[#This Row],[Scores]] * 20</f>
        <v>40</v>
      </c>
      <c r="G428">
        <f>IF(OR(Table7[[#This Row],[Response]]="Strongly Agree",Table7[[#This Row],[Response]]="Agree"),1,0)</f>
        <v>0</v>
      </c>
      <c r="H428" t="str">
        <f>_xlfn.XLOOKUP(Table7[[#This Row],[QuestionID]], FinalQuestions!$A:$A, FinalQuestions!$D:$D,"")</f>
        <v>Realistic Target Setting</v>
      </c>
      <c r="I428" t="s">
        <v>266</v>
      </c>
    </row>
    <row r="429" spans="1:9" x14ac:dyDescent="0.35">
      <c r="A429" t="s">
        <v>101</v>
      </c>
      <c r="B429" t="s">
        <v>35</v>
      </c>
      <c r="C429" t="s">
        <v>4</v>
      </c>
      <c r="D429" t="str">
        <f>VLOOKUP(Table7[[#This Row],[QuestionID]], FinalQuestions!$A:$C, 3, FALSE)</f>
        <v>Achievability</v>
      </c>
      <c r="E429">
        <f>IF(Table7[[#This Row],[Response]]="","",CHOOSE(MATCH(Table7[[#This Row],[Response]],{"Strongly Agree","Agree","Neutral","Disagree","Strongly Disagree","Not Applicable"},0),5,4,3,2,1,""))</f>
        <v>3</v>
      </c>
      <c r="F429">
        <f>Table7[[#This Row],[Scores]] * 20</f>
        <v>60</v>
      </c>
      <c r="G429">
        <f>IF(OR(Table7[[#This Row],[Response]]="Strongly Agree",Table7[[#This Row],[Response]]="Agree"),1,0)</f>
        <v>0</v>
      </c>
      <c r="H429" t="str">
        <f>_xlfn.XLOOKUP(Table7[[#This Row],[QuestionID]], FinalQuestions!$A:$A, FinalQuestions!$D:$D,"")</f>
        <v>Risk Insight in Decision Making</v>
      </c>
      <c r="I429" t="s">
        <v>266</v>
      </c>
    </row>
    <row r="430" spans="1:9" x14ac:dyDescent="0.35">
      <c r="A430" t="s">
        <v>101</v>
      </c>
      <c r="B430" t="s">
        <v>37</v>
      </c>
      <c r="C430" t="s">
        <v>85</v>
      </c>
      <c r="D430" t="str">
        <f>VLOOKUP(Table7[[#This Row],[QuestionID]], FinalQuestions!$A:$C, 3, FALSE)</f>
        <v>Enforcement</v>
      </c>
      <c r="E430">
        <f>IF(Table7[[#This Row],[Response]]="","",CHOOSE(MATCH(Table7[[#This Row],[Response]],{"Strongly Agree","Agree","Neutral","Disagree","Strongly Disagree","Not Applicable"},0),5,4,3,2,1,""))</f>
        <v>5</v>
      </c>
      <c r="F430">
        <f>Table7[[#This Row],[Scores]] * 20</f>
        <v>100</v>
      </c>
      <c r="G430">
        <f>IF(OR(Table7[[#This Row],[Response]]="Strongly Agree",Table7[[#This Row],[Response]]="Agree"),1,0)</f>
        <v>1</v>
      </c>
      <c r="H430" t="str">
        <f>_xlfn.XLOOKUP(Table7[[#This Row],[QuestionID]], FinalQuestions!$A:$A, FinalQuestions!$D:$D,"")</f>
        <v>Learning Culture from Non‑Compliance Cases</v>
      </c>
      <c r="I430" t="s">
        <v>266</v>
      </c>
    </row>
    <row r="431" spans="1:9" x14ac:dyDescent="0.35">
      <c r="A431" t="s">
        <v>101</v>
      </c>
      <c r="B431" t="s">
        <v>39</v>
      </c>
      <c r="C431" t="s">
        <v>85</v>
      </c>
      <c r="D431" t="str">
        <f>VLOOKUP(Table7[[#This Row],[QuestionID]], FinalQuestions!$A:$C, 3, FALSE)</f>
        <v>Enforcement</v>
      </c>
      <c r="E431">
        <f>IF(Table7[[#This Row],[Response]]="","",CHOOSE(MATCH(Table7[[#This Row],[Response]],{"Strongly Agree","Agree","Neutral","Disagree","Strongly Disagree","Not Applicable"},0),5,4,3,2,1,""))</f>
        <v>5</v>
      </c>
      <c r="F431">
        <f>Table7[[#This Row],[Scores]] * 20</f>
        <v>100</v>
      </c>
      <c r="G431">
        <f>IF(OR(Table7[[#This Row],[Response]]="Strongly Agree",Table7[[#This Row],[Response]]="Agree"),1,0)</f>
        <v>1</v>
      </c>
      <c r="H431" t="str">
        <f>_xlfn.XLOOKUP(Table7[[#This Row],[QuestionID]], FinalQuestions!$A:$A, FinalQuestions!$D:$D,"")</f>
        <v>Organizational View on Risk Culture</v>
      </c>
      <c r="I431" t="s">
        <v>266</v>
      </c>
    </row>
    <row r="432" spans="1:9" x14ac:dyDescent="0.35">
      <c r="A432" t="s">
        <v>101</v>
      </c>
      <c r="B432" t="s">
        <v>41</v>
      </c>
      <c r="C432" t="s">
        <v>2</v>
      </c>
      <c r="D432" t="str">
        <f>VLOOKUP(Table7[[#This Row],[QuestionID]], FinalQuestions!$A:$C, 3, FALSE)</f>
        <v>Enforcement</v>
      </c>
      <c r="E432">
        <f>IF(Table7[[#This Row],[Response]]="","",CHOOSE(MATCH(Table7[[#This Row],[Response]],{"Strongly Agree","Agree","Neutral","Disagree","Strongly Disagree","Not Applicable"},0),5,4,3,2,1,""))</f>
        <v>4</v>
      </c>
      <c r="F432">
        <f>Table7[[#This Row],[Scores]] * 20</f>
        <v>80</v>
      </c>
      <c r="G432">
        <f>IF(OR(Table7[[#This Row],[Response]]="Strongly Agree",Table7[[#This Row],[Response]]="Agree"),1,0)</f>
        <v>1</v>
      </c>
      <c r="H432" t="str">
        <f>_xlfn.XLOOKUP(Table7[[#This Row],[QuestionID]], FinalQuestions!$A:$A, FinalQuestions!$D:$D,"")</f>
        <v>Compliance Recognition &amp; enforcement</v>
      </c>
      <c r="I432" t="s">
        <v>266</v>
      </c>
    </row>
    <row r="433" spans="1:9" x14ac:dyDescent="0.35">
      <c r="A433" t="s">
        <v>101</v>
      </c>
      <c r="B433" t="s">
        <v>43</v>
      </c>
      <c r="C433" t="s">
        <v>6</v>
      </c>
      <c r="D433" t="str">
        <f>VLOOKUP(Table7[[#This Row],[QuestionID]], FinalQuestions!$A:$C, 3, FALSE)</f>
        <v>Enforcement</v>
      </c>
      <c r="E433">
        <f>IF(Table7[[#This Row],[Response]]="","",CHOOSE(MATCH(Table7[[#This Row],[Response]],{"Strongly Agree","Agree","Neutral","Disagree","Strongly Disagree","Not Applicable"},0),5,4,3,2,1,""))</f>
        <v>2</v>
      </c>
      <c r="F433">
        <f>Table7[[#This Row],[Scores]] * 20</f>
        <v>40</v>
      </c>
      <c r="G433">
        <f>IF(OR(Table7[[#This Row],[Response]]="Strongly Agree",Table7[[#This Row],[Response]]="Agree"),1,0)</f>
        <v>0</v>
      </c>
      <c r="H433" t="str">
        <f>_xlfn.XLOOKUP(Table7[[#This Row],[QuestionID]], FinalQuestions!$A:$A, FinalQuestions!$D:$D,"")</f>
        <v>Sense of Ownership</v>
      </c>
      <c r="I433" t="s">
        <v>266</v>
      </c>
    </row>
    <row r="434" spans="1:9" x14ac:dyDescent="0.35">
      <c r="A434" t="s">
        <v>101</v>
      </c>
      <c r="B434" t="s">
        <v>45</v>
      </c>
      <c r="C434" t="s">
        <v>4</v>
      </c>
      <c r="D434" t="str">
        <f>VLOOKUP(Table7[[#This Row],[QuestionID]], FinalQuestions!$A:$C, 3, FALSE)</f>
        <v>Clarity</v>
      </c>
      <c r="E434">
        <f>IF(Table7[[#This Row],[Response]]="","",CHOOSE(MATCH(Table7[[#This Row],[Response]],{"Strongly Agree","Agree","Neutral","Disagree","Strongly Disagree","Not Applicable"},0),5,4,3,2,1,""))</f>
        <v>3</v>
      </c>
      <c r="F434">
        <f>Table7[[#This Row],[Scores]] * 20</f>
        <v>60</v>
      </c>
      <c r="G434">
        <f>IF(OR(Table7[[#This Row],[Response]]="Strongly Agree",Table7[[#This Row],[Response]]="Agree"),1,0)</f>
        <v>0</v>
      </c>
      <c r="H434" t="str">
        <f>_xlfn.XLOOKUP(Table7[[#This Row],[QuestionID]], FinalQuestions!$A:$A, FinalQuestions!$D:$D,"")</f>
        <v>Clarity of Role and Responsibilities</v>
      </c>
      <c r="I434" t="s">
        <v>266</v>
      </c>
    </row>
    <row r="435" spans="1:9" x14ac:dyDescent="0.35">
      <c r="A435" t="s">
        <v>101</v>
      </c>
      <c r="B435" t="s">
        <v>47</v>
      </c>
      <c r="C435" t="s">
        <v>85</v>
      </c>
      <c r="D435" t="str">
        <f>VLOOKUP(Table7[[#This Row],[QuestionID]], FinalQuestions!$A:$C, 3, FALSE)</f>
        <v>Clarity</v>
      </c>
      <c r="E435">
        <f>IF(Table7[[#This Row],[Response]]="","",CHOOSE(MATCH(Table7[[#This Row],[Response]],{"Strongly Agree","Agree","Neutral","Disagree","Strongly Disagree","Not Applicable"},0),5,4,3,2,1,""))</f>
        <v>5</v>
      </c>
      <c r="F435">
        <f>Table7[[#This Row],[Scores]] * 20</f>
        <v>100</v>
      </c>
      <c r="G435">
        <f>IF(OR(Table7[[#This Row],[Response]]="Strongly Agree",Table7[[#This Row],[Response]]="Agree"),1,0)</f>
        <v>1</v>
      </c>
      <c r="H435" t="str">
        <f>_xlfn.XLOOKUP(Table7[[#This Row],[QuestionID]], FinalQuestions!$A:$A, FinalQuestions!$D:$D,"")</f>
        <v>Understanding of Risk Policies &amp; Procedures</v>
      </c>
      <c r="I435" t="s">
        <v>266</v>
      </c>
    </row>
    <row r="436" spans="1:9" x14ac:dyDescent="0.35">
      <c r="A436" t="s">
        <v>101</v>
      </c>
      <c r="B436" t="s">
        <v>49</v>
      </c>
      <c r="C436" t="s">
        <v>2</v>
      </c>
      <c r="D436" t="str">
        <f>VLOOKUP(Table7[[#This Row],[QuestionID]], FinalQuestions!$A:$C, 3, FALSE)</f>
        <v>Clarity</v>
      </c>
      <c r="E436">
        <f>IF(Table7[[#This Row],[Response]]="","",CHOOSE(MATCH(Table7[[#This Row],[Response]],{"Strongly Agree","Agree","Neutral","Disagree","Strongly Disagree","Not Applicable"},0),5,4,3,2,1,""))</f>
        <v>4</v>
      </c>
      <c r="F436">
        <f>Table7[[#This Row],[Scores]] * 20</f>
        <v>80</v>
      </c>
      <c r="G436">
        <f>IF(OR(Table7[[#This Row],[Response]]="Strongly Agree",Table7[[#This Row],[Response]]="Agree"),1,0)</f>
        <v>1</v>
      </c>
      <c r="H436" t="str">
        <f>_xlfn.XLOOKUP(Table7[[#This Row],[QuestionID]], FinalQuestions!$A:$A, FinalQuestions!$D:$D,"")</f>
        <v>Clarity of Personal Risk Boundaries</v>
      </c>
      <c r="I436" t="s">
        <v>266</v>
      </c>
    </row>
    <row r="437" spans="1:9" x14ac:dyDescent="0.35">
      <c r="A437" t="s">
        <v>101</v>
      </c>
      <c r="B437" t="s">
        <v>51</v>
      </c>
      <c r="C437" t="s">
        <v>6</v>
      </c>
      <c r="D437" t="str">
        <f>VLOOKUP(Table7[[#This Row],[QuestionID]], FinalQuestions!$A:$C, 3, FALSE)</f>
        <v>Clarity</v>
      </c>
      <c r="E437">
        <f>IF(Table7[[#This Row],[Response]]="","",CHOOSE(MATCH(Table7[[#This Row],[Response]],{"Strongly Agree","Agree","Neutral","Disagree","Strongly Disagree","Not Applicable"},0),5,4,3,2,1,""))</f>
        <v>2</v>
      </c>
      <c r="F437">
        <f>Table7[[#This Row],[Scores]] * 20</f>
        <v>40</v>
      </c>
      <c r="G437">
        <f>IF(OR(Table7[[#This Row],[Response]]="Strongly Agree",Table7[[#This Row],[Response]]="Agree"),1,0)</f>
        <v>0</v>
      </c>
      <c r="H437" t="str">
        <f>_xlfn.XLOOKUP(Table7[[#This Row],[QuestionID]], FinalQuestions!$A:$A, FinalQuestions!$D:$D,"")</f>
        <v>Effectiveness of Risk Communication &amp; Training</v>
      </c>
      <c r="I437" t="s">
        <v>266</v>
      </c>
    </row>
    <row r="438" spans="1:9" x14ac:dyDescent="0.35">
      <c r="A438" t="s">
        <v>101</v>
      </c>
      <c r="B438" t="s">
        <v>53</v>
      </c>
      <c r="C438" t="s">
        <v>4</v>
      </c>
      <c r="D438" t="str">
        <f>VLOOKUP(Table7[[#This Row],[QuestionID]], FinalQuestions!$A:$C, 3, FALSE)</f>
        <v>Transparency</v>
      </c>
      <c r="E438">
        <f>IF(Table7[[#This Row],[Response]]="","",CHOOSE(MATCH(Table7[[#This Row],[Response]],{"Strongly Agree","Agree","Neutral","Disagree","Strongly Disagree","Not Applicable"},0),5,4,3,2,1,""))</f>
        <v>3</v>
      </c>
      <c r="F438">
        <f>Table7[[#This Row],[Scores]] * 20</f>
        <v>60</v>
      </c>
      <c r="G438">
        <f>IF(OR(Table7[[#This Row],[Response]]="Strongly Agree",Table7[[#This Row],[Response]]="Agree"),1,0)</f>
        <v>0</v>
      </c>
      <c r="H438" t="str">
        <f>_xlfn.XLOOKUP(Table7[[#This Row],[QuestionID]], FinalQuestions!$A:$A, FinalQuestions!$D:$D,"")</f>
        <v>Compliance Confidence in team</v>
      </c>
      <c r="I438" t="s">
        <v>266</v>
      </c>
    </row>
    <row r="439" spans="1:9" x14ac:dyDescent="0.35">
      <c r="A439" t="s">
        <v>101</v>
      </c>
      <c r="B439" t="s">
        <v>55</v>
      </c>
      <c r="C439" t="s">
        <v>85</v>
      </c>
      <c r="D439" t="str">
        <f>VLOOKUP(Table7[[#This Row],[QuestionID]], FinalQuestions!$A:$C, 3, FALSE)</f>
        <v>Transparency</v>
      </c>
      <c r="E439">
        <f>IF(Table7[[#This Row],[Response]]="","",CHOOSE(MATCH(Table7[[#This Row],[Response]],{"Strongly Agree","Agree","Neutral","Disagree","Strongly Disagree","Not Applicable"},0),5,4,3,2,1,""))</f>
        <v>5</v>
      </c>
      <c r="F439">
        <f>Table7[[#This Row],[Scores]] * 20</f>
        <v>100</v>
      </c>
      <c r="G439">
        <f>IF(OR(Table7[[#This Row],[Response]]="Strongly Agree",Table7[[#This Row],[Response]]="Agree"),1,0)</f>
        <v>1</v>
      </c>
      <c r="H439" t="str">
        <f>_xlfn.XLOOKUP(Table7[[#This Row],[QuestionID]], FinalQuestions!$A:$A, FinalQuestions!$D:$D,"")</f>
        <v>Transparency in Decision‑Making</v>
      </c>
      <c r="I439" t="s">
        <v>266</v>
      </c>
    </row>
    <row r="440" spans="1:9" x14ac:dyDescent="0.35">
      <c r="A440" t="s">
        <v>101</v>
      </c>
      <c r="B440" t="s">
        <v>57</v>
      </c>
      <c r="C440" t="s">
        <v>85</v>
      </c>
      <c r="D440" t="str">
        <f>VLOOKUP(Table7[[#This Row],[QuestionID]], FinalQuestions!$A:$C, 3, FALSE)</f>
        <v>Transparency</v>
      </c>
      <c r="E440">
        <f>IF(Table7[[#This Row],[Response]]="","",CHOOSE(MATCH(Table7[[#This Row],[Response]],{"Strongly Agree","Agree","Neutral","Disagree","Strongly Disagree","Not Applicable"},0),5,4,3,2,1,""))</f>
        <v>5</v>
      </c>
      <c r="F440">
        <f>Table7[[#This Row],[Scores]] * 20</f>
        <v>100</v>
      </c>
      <c r="G440">
        <f>IF(OR(Table7[[#This Row],[Response]]="Strongly Agree",Table7[[#This Row],[Response]]="Agree"),1,0)</f>
        <v>1</v>
      </c>
      <c r="H440" t="str">
        <f>_xlfn.XLOOKUP(Table7[[#This Row],[QuestionID]], FinalQuestions!$A:$A, FinalQuestions!$D:$D,"")</f>
        <v>Fairness &amp; Equity of Expectations</v>
      </c>
      <c r="I440" t="s">
        <v>266</v>
      </c>
    </row>
    <row r="441" spans="1:9" x14ac:dyDescent="0.35">
      <c r="A441" t="s">
        <v>101</v>
      </c>
      <c r="B441" t="s">
        <v>59</v>
      </c>
      <c r="C441" t="s">
        <v>2</v>
      </c>
      <c r="D441" t="str">
        <f>VLOOKUP(Table7[[#This Row],[QuestionID]], FinalQuestions!$A:$C, 3, FALSE)</f>
        <v>Transparency</v>
      </c>
      <c r="E441">
        <f>IF(Table7[[#This Row],[Response]]="","",CHOOSE(MATCH(Table7[[#This Row],[Response]],{"Strongly Agree","Agree","Neutral","Disagree","Strongly Disagree","Not Applicable"},0),5,4,3,2,1,""))</f>
        <v>4</v>
      </c>
      <c r="F441">
        <f>Table7[[#This Row],[Scores]] * 20</f>
        <v>80</v>
      </c>
      <c r="G441">
        <f>IF(OR(Table7[[#This Row],[Response]]="Strongly Agree",Table7[[#This Row],[Response]]="Agree"),1,0)</f>
        <v>1</v>
      </c>
      <c r="H441" t="str">
        <f>_xlfn.XLOOKUP(Table7[[#This Row],[QuestionID]], FinalQuestions!$A:$A, FinalQuestions!$D:$D,"")</f>
        <v>Leadership Awareness in the team</v>
      </c>
      <c r="I441" t="s">
        <v>266</v>
      </c>
    </row>
    <row r="442" spans="1:9" x14ac:dyDescent="0.35">
      <c r="A442" t="s">
        <v>101</v>
      </c>
      <c r="B442" t="s">
        <v>61</v>
      </c>
      <c r="C442" t="s">
        <v>6</v>
      </c>
      <c r="D442" t="str">
        <f>VLOOKUP(Table7[[#This Row],[QuestionID]], FinalQuestions!$A:$C, 3, FALSE)</f>
        <v>Commitment</v>
      </c>
      <c r="E442">
        <f>IF(Table7[[#This Row],[Response]]="","",CHOOSE(MATCH(Table7[[#This Row],[Response]],{"Strongly Agree","Agree","Neutral","Disagree","Strongly Disagree","Not Applicable"},0),5,4,3,2,1,""))</f>
        <v>2</v>
      </c>
      <c r="F442">
        <f>Table7[[#This Row],[Scores]] * 20</f>
        <v>40</v>
      </c>
      <c r="G442">
        <f>IF(OR(Table7[[#This Row],[Response]]="Strongly Agree",Table7[[#This Row],[Response]]="Agree"),1,0)</f>
        <v>0</v>
      </c>
      <c r="H442" t="str">
        <f>_xlfn.XLOOKUP(Table7[[#This Row],[QuestionID]], FinalQuestions!$A:$A, FinalQuestions!$D:$D,"")</f>
        <v>Motivation for Risk Ownership</v>
      </c>
      <c r="I442" t="s">
        <v>266</v>
      </c>
    </row>
    <row r="443" spans="1:9" x14ac:dyDescent="0.35">
      <c r="A443" t="s">
        <v>101</v>
      </c>
      <c r="B443" t="s">
        <v>63</v>
      </c>
      <c r="C443" t="s">
        <v>4</v>
      </c>
      <c r="D443" t="str">
        <f>VLOOKUP(Table7[[#This Row],[QuestionID]], FinalQuestions!$A:$C, 3, FALSE)</f>
        <v>Commitment</v>
      </c>
      <c r="E443">
        <f>IF(Table7[[#This Row],[Response]]="","",CHOOSE(MATCH(Table7[[#This Row],[Response]],{"Strongly Agree","Agree","Neutral","Disagree","Strongly Disagree","Not Applicable"},0),5,4,3,2,1,""))</f>
        <v>3</v>
      </c>
      <c r="F443">
        <f>Table7[[#This Row],[Scores]] * 20</f>
        <v>60</v>
      </c>
      <c r="G443">
        <f>IF(OR(Table7[[#This Row],[Response]]="Strongly Agree",Table7[[#This Row],[Response]]="Agree"),1,0)</f>
        <v>0</v>
      </c>
      <c r="H443" t="str">
        <f>_xlfn.XLOOKUP(Table7[[#This Row],[QuestionID]], FinalQuestions!$A:$A, FinalQuestions!$D:$D,"")</f>
        <v>Sense of Belonging to the Organization</v>
      </c>
      <c r="I443" t="s">
        <v>266</v>
      </c>
    </row>
    <row r="444" spans="1:9" x14ac:dyDescent="0.35">
      <c r="A444" t="s">
        <v>101</v>
      </c>
      <c r="B444" t="s">
        <v>65</v>
      </c>
      <c r="C444" t="s">
        <v>85</v>
      </c>
      <c r="D444" t="str">
        <f>VLOOKUP(Table7[[#This Row],[QuestionID]], FinalQuestions!$A:$C, 3, FALSE)</f>
        <v>Commitment</v>
      </c>
      <c r="E444">
        <f>IF(Table7[[#This Row],[Response]]="","",CHOOSE(MATCH(Table7[[#This Row],[Response]],{"Strongly Agree","Agree","Neutral","Disagree","Strongly Disagree","Not Applicable"},0),5,4,3,2,1,""))</f>
        <v>5</v>
      </c>
      <c r="F444">
        <f>Table7[[#This Row],[Scores]] * 20</f>
        <v>100</v>
      </c>
      <c r="G444">
        <f>IF(OR(Table7[[#This Row],[Response]]="Strongly Agree",Table7[[#This Row],[Response]]="Agree"),1,0)</f>
        <v>1</v>
      </c>
      <c r="H444" t="str">
        <f>_xlfn.XLOOKUP(Table7[[#This Row],[QuestionID]], FinalQuestions!$A:$A, FinalQuestions!$D:$D,"")</f>
        <v>Consideration of Impact on Others</v>
      </c>
      <c r="I444" t="s">
        <v>266</v>
      </c>
    </row>
    <row r="445" spans="1:9" x14ac:dyDescent="0.35">
      <c r="A445" t="s">
        <v>101</v>
      </c>
      <c r="B445" t="s">
        <v>67</v>
      </c>
      <c r="C445" t="s">
        <v>2</v>
      </c>
      <c r="D445" t="str">
        <f>VLOOKUP(Table7[[#This Row],[QuestionID]], FinalQuestions!$A:$C, 3, FALSE)</f>
        <v>Commitment</v>
      </c>
      <c r="E445">
        <f>IF(Table7[[#This Row],[Response]]="","",CHOOSE(MATCH(Table7[[#This Row],[Response]],{"Strongly Agree","Agree","Neutral","Disagree","Strongly Disagree","Not Applicable"},0),5,4,3,2,1,""))</f>
        <v>4</v>
      </c>
      <c r="F445">
        <f>Table7[[#This Row],[Scores]] * 20</f>
        <v>80</v>
      </c>
      <c r="G445">
        <f>IF(OR(Table7[[#This Row],[Response]]="Strongly Agree",Table7[[#This Row],[Response]]="Agree"),1,0)</f>
        <v>1</v>
      </c>
      <c r="H445" t="str">
        <f>_xlfn.XLOOKUP(Table7[[#This Row],[QuestionID]], FinalQuestions!$A:$A, FinalQuestions!$D:$D,"")</f>
        <v>Accountability for Risk Actions</v>
      </c>
      <c r="I445" t="s">
        <v>266</v>
      </c>
    </row>
    <row r="446" spans="1:9" x14ac:dyDescent="0.35">
      <c r="A446" t="s">
        <v>101</v>
      </c>
      <c r="B446" t="s">
        <v>69</v>
      </c>
      <c r="C446" t="s">
        <v>6</v>
      </c>
      <c r="D446" t="str">
        <f>VLOOKUP(Table7[[#This Row],[QuestionID]], FinalQuestions!$A:$C, 3, FALSE)</f>
        <v>Call someone to account</v>
      </c>
      <c r="E446">
        <f>IF(Table7[[#This Row],[Response]]="","",CHOOSE(MATCH(Table7[[#This Row],[Response]],{"Strongly Agree","Agree","Neutral","Disagree","Strongly Disagree","Not Applicable"},0),5,4,3,2,1,""))</f>
        <v>2</v>
      </c>
      <c r="F446">
        <f>Table7[[#This Row],[Scores]] * 20</f>
        <v>40</v>
      </c>
      <c r="G446">
        <f>IF(OR(Table7[[#This Row],[Response]]="Strongly Agree",Table7[[#This Row],[Response]]="Agree"),1,0)</f>
        <v>0</v>
      </c>
      <c r="H446" t="str">
        <f>_xlfn.XLOOKUP(Table7[[#This Row],[QuestionID]], FinalQuestions!$A:$A, FinalQuestions!$D:$D,"")</f>
        <v xml:space="preserve">Peer to peer Accountability </v>
      </c>
      <c r="I446" t="s">
        <v>266</v>
      </c>
    </row>
    <row r="447" spans="1:9" x14ac:dyDescent="0.35">
      <c r="A447" t="s">
        <v>101</v>
      </c>
      <c r="B447" t="s">
        <v>71</v>
      </c>
      <c r="C447" t="s">
        <v>6</v>
      </c>
      <c r="D447" t="str">
        <f>VLOOKUP(Table7[[#This Row],[QuestionID]], FinalQuestions!$A:$C, 3, FALSE)</f>
        <v>Call someone to account</v>
      </c>
      <c r="E447">
        <f>IF(Table7[[#This Row],[Response]]="","",CHOOSE(MATCH(Table7[[#This Row],[Response]],{"Strongly Agree","Agree","Neutral","Disagree","Strongly Disagree","Not Applicable"},0),5,4,3,2,1,""))</f>
        <v>2</v>
      </c>
      <c r="F447">
        <f>Table7[[#This Row],[Scores]] * 20</f>
        <v>40</v>
      </c>
      <c r="G447">
        <f>IF(OR(Table7[[#This Row],[Response]]="Strongly Agree",Table7[[#This Row],[Response]]="Agree"),1,0)</f>
        <v>0</v>
      </c>
      <c r="H447" t="str">
        <f>_xlfn.XLOOKUP(Table7[[#This Row],[QuestionID]], FinalQuestions!$A:$A, FinalQuestions!$D:$D,"")</f>
        <v>Timely Resolution of Accountability Issues</v>
      </c>
      <c r="I447" t="s">
        <v>266</v>
      </c>
    </row>
    <row r="448" spans="1:9" x14ac:dyDescent="0.35">
      <c r="A448" t="s">
        <v>101</v>
      </c>
      <c r="B448" t="s">
        <v>73</v>
      </c>
      <c r="C448" t="s">
        <v>2</v>
      </c>
      <c r="D448" t="str">
        <f>VLOOKUP(Table7[[#This Row],[QuestionID]], FinalQuestions!$A:$C, 3, FALSE)</f>
        <v>Call someone to account</v>
      </c>
      <c r="E448">
        <f>IF(Table7[[#This Row],[Response]]="","",CHOOSE(MATCH(Table7[[#This Row],[Response]],{"Strongly Agree","Agree","Neutral","Disagree","Strongly Disagree","Not Applicable"},0),5,4,3,2,1,""))</f>
        <v>4</v>
      </c>
      <c r="F448">
        <f>Table7[[#This Row],[Scores]] * 20</f>
        <v>80</v>
      </c>
      <c r="G448">
        <f>IF(OR(Table7[[#This Row],[Response]]="Strongly Agree",Table7[[#This Row],[Response]]="Agree"),1,0)</f>
        <v>1</v>
      </c>
      <c r="H448" t="str">
        <f>_xlfn.XLOOKUP(Table7[[#This Row],[QuestionID]], FinalQuestions!$A:$A, FinalQuestions!$D:$D,"")</f>
        <v>Comfort for Reporting Non‑Compliance.</v>
      </c>
      <c r="I448" t="s">
        <v>266</v>
      </c>
    </row>
    <row r="449" spans="1:9" x14ac:dyDescent="0.35">
      <c r="A449" t="s">
        <v>101</v>
      </c>
      <c r="B449" t="s">
        <v>75</v>
      </c>
      <c r="C449" t="s">
        <v>6</v>
      </c>
      <c r="D449" t="str">
        <f>VLOOKUP(Table7[[#This Row],[QuestionID]], FinalQuestions!$A:$C, 3, FALSE)</f>
        <v>Call someone to account</v>
      </c>
      <c r="E449">
        <f>IF(Table7[[#This Row],[Response]]="","",CHOOSE(MATCH(Table7[[#This Row],[Response]],{"Strongly Agree","Agree","Neutral","Disagree","Strongly Disagree","Not Applicable"},0),5,4,3,2,1,""))</f>
        <v>2</v>
      </c>
      <c r="F449">
        <f>Table7[[#This Row],[Scores]] * 20</f>
        <v>40</v>
      </c>
      <c r="G449">
        <f>IF(OR(Table7[[#This Row],[Response]]="Strongly Agree",Table7[[#This Row],[Response]]="Agree"),1,0)</f>
        <v>0</v>
      </c>
      <c r="H449" t="str">
        <f>_xlfn.XLOOKUP(Table7[[#This Row],[QuestionID]], FinalQuestions!$A:$A, FinalQuestions!$D:$D,"")</f>
        <v>Consistency of Conduct Enforcement</v>
      </c>
      <c r="I449" t="s">
        <v>266</v>
      </c>
    </row>
    <row r="450" spans="1:9" x14ac:dyDescent="0.35">
      <c r="A450" t="s">
        <v>102</v>
      </c>
      <c r="B450" t="s">
        <v>13</v>
      </c>
      <c r="C450" t="s">
        <v>4</v>
      </c>
      <c r="D450" t="str">
        <f>VLOOKUP(Table7[[#This Row],[QuestionID]], FinalQuestions!$A:$C, 3, FALSE)</f>
        <v>Role Modelling</v>
      </c>
      <c r="E450">
        <f>IF(Table7[[#This Row],[Response]]="","",CHOOSE(MATCH(Table7[[#This Row],[Response]],{"Strongly Agree","Agree","Neutral","Disagree","Strongly Disagree","Not Applicable"},0),5,4,3,2,1,""))</f>
        <v>3</v>
      </c>
      <c r="F450">
        <f>Table7[[#This Row],[Scores]] * 20</f>
        <v>60</v>
      </c>
      <c r="G450">
        <f>IF(OR(Table7[[#This Row],[Response]]="Strongly Agree",Table7[[#This Row],[Response]]="Agree"),1,0)</f>
        <v>0</v>
      </c>
      <c r="H450" t="str">
        <f>_xlfn.XLOOKUP(Table7[[#This Row],[QuestionID]], FinalQuestions!$A:$A, FinalQuestions!$D:$D,"")</f>
        <v xml:space="preserve">Leadership Example‑Setting in Risk Management </v>
      </c>
      <c r="I450" t="s">
        <v>267</v>
      </c>
    </row>
    <row r="451" spans="1:9" x14ac:dyDescent="0.35">
      <c r="A451" t="s">
        <v>102</v>
      </c>
      <c r="B451" t="s">
        <v>15</v>
      </c>
      <c r="C451" t="s">
        <v>85</v>
      </c>
      <c r="D451" t="str">
        <f>VLOOKUP(Table7[[#This Row],[QuestionID]], FinalQuestions!$A:$C, 3, FALSE)</f>
        <v>Role Modelling</v>
      </c>
      <c r="E451">
        <f>IF(Table7[[#This Row],[Response]]="","",CHOOSE(MATCH(Table7[[#This Row],[Response]],{"Strongly Agree","Agree","Neutral","Disagree","Strongly Disagree","Not Applicable"},0),5,4,3,2,1,""))</f>
        <v>5</v>
      </c>
      <c r="F451">
        <f>Table7[[#This Row],[Scores]] * 20</f>
        <v>100</v>
      </c>
      <c r="G451">
        <f>IF(OR(Table7[[#This Row],[Response]]="Strongly Agree",Table7[[#This Row],[Response]]="Agree"),1,0)</f>
        <v>1</v>
      </c>
      <c r="H451" t="str">
        <f>_xlfn.XLOOKUP(Table7[[#This Row],[QuestionID]], FinalQuestions!$A:$A, FinalQuestions!$D:$D,"")</f>
        <v>Executive Commitment to Risk Culture</v>
      </c>
      <c r="I451" t="s">
        <v>267</v>
      </c>
    </row>
    <row r="452" spans="1:9" x14ac:dyDescent="0.35">
      <c r="A452" t="s">
        <v>102</v>
      </c>
      <c r="B452" t="s">
        <v>17</v>
      </c>
      <c r="C452" t="s">
        <v>85</v>
      </c>
      <c r="D452" t="str">
        <f>VLOOKUP(Table7[[#This Row],[QuestionID]], FinalQuestions!$A:$C, 3, FALSE)</f>
        <v>Role Modelling</v>
      </c>
      <c r="E452">
        <f>IF(Table7[[#This Row],[Response]]="","",CHOOSE(MATCH(Table7[[#This Row],[Response]],{"Strongly Agree","Agree","Neutral","Disagree","Strongly Disagree","Not Applicable"},0),5,4,3,2,1,""))</f>
        <v>5</v>
      </c>
      <c r="F452">
        <f>Table7[[#This Row],[Scores]] * 20</f>
        <v>100</v>
      </c>
      <c r="G452">
        <f>IF(OR(Table7[[#This Row],[Response]]="Strongly Agree",Table7[[#This Row],[Response]]="Agree"),1,0)</f>
        <v>1</v>
      </c>
      <c r="H452" t="str">
        <f>_xlfn.XLOOKUP(Table7[[#This Row],[QuestionID]], FinalQuestions!$A:$A, FinalQuestions!$D:$D,"")</f>
        <v>Leadership Encouragement to Escalate Risks</v>
      </c>
      <c r="I452" t="s">
        <v>267</v>
      </c>
    </row>
    <row r="453" spans="1:9" x14ac:dyDescent="0.35">
      <c r="A453" t="s">
        <v>102</v>
      </c>
      <c r="B453" t="s">
        <v>19</v>
      </c>
      <c r="C453" t="s">
        <v>2</v>
      </c>
      <c r="D453" t="str">
        <f>VLOOKUP(Table7[[#This Row],[QuestionID]], FinalQuestions!$A:$C, 3, FALSE)</f>
        <v>Role Modelling</v>
      </c>
      <c r="E453">
        <f>IF(Table7[[#This Row],[Response]]="","",CHOOSE(MATCH(Table7[[#This Row],[Response]],{"Strongly Agree","Agree","Neutral","Disagree","Strongly Disagree","Not Applicable"},0),5,4,3,2,1,""))</f>
        <v>4</v>
      </c>
      <c r="F453">
        <f>Table7[[#This Row],[Scores]] * 20</f>
        <v>80</v>
      </c>
      <c r="G453">
        <f>IF(OR(Table7[[#This Row],[Response]]="Strongly Agree",Table7[[#This Row],[Response]]="Agree"),1,0)</f>
        <v>1</v>
      </c>
      <c r="H453" t="str">
        <f>_xlfn.XLOOKUP(Table7[[#This Row],[QuestionID]], FinalQuestions!$A:$A, FinalQuestions!$D:$D,"")</f>
        <v>Long-Term Decision Awareness</v>
      </c>
      <c r="I453" t="s">
        <v>267</v>
      </c>
    </row>
    <row r="454" spans="1:9" x14ac:dyDescent="0.35">
      <c r="A454" t="s">
        <v>102</v>
      </c>
      <c r="B454" t="s">
        <v>21</v>
      </c>
      <c r="C454" t="s">
        <v>6</v>
      </c>
      <c r="D454" t="str">
        <f>VLOOKUP(Table7[[#This Row],[QuestionID]], FinalQuestions!$A:$C, 3, FALSE)</f>
        <v>Discussability</v>
      </c>
      <c r="E454">
        <f>IF(Table7[[#This Row],[Response]]="","",CHOOSE(MATCH(Table7[[#This Row],[Response]],{"Strongly Agree","Agree","Neutral","Disagree","Strongly Disagree","Not Applicable"},0),5,4,3,2,1,""))</f>
        <v>2</v>
      </c>
      <c r="F454">
        <f>Table7[[#This Row],[Scores]] * 20</f>
        <v>40</v>
      </c>
      <c r="G454">
        <f>IF(OR(Table7[[#This Row],[Response]]="Strongly Agree",Table7[[#This Row],[Response]]="Agree"),1,0)</f>
        <v>0</v>
      </c>
      <c r="H454" t="str">
        <f>_xlfn.XLOOKUP(Table7[[#This Row],[QuestionID]], FinalQuestions!$A:$A, FinalQuestions!$D:$D,"")</f>
        <v>Openness to Discussions</v>
      </c>
      <c r="I454" t="s">
        <v>267</v>
      </c>
    </row>
    <row r="455" spans="1:9" x14ac:dyDescent="0.35">
      <c r="A455" t="s">
        <v>102</v>
      </c>
      <c r="B455" t="s">
        <v>23</v>
      </c>
      <c r="C455" t="s">
        <v>4</v>
      </c>
      <c r="D455" t="str">
        <f>VLOOKUP(Table7[[#This Row],[QuestionID]], FinalQuestions!$A:$C, 3, FALSE)</f>
        <v>Discussability</v>
      </c>
      <c r="E455">
        <f>IF(Table7[[#This Row],[Response]]="","",CHOOSE(MATCH(Table7[[#This Row],[Response]],{"Strongly Agree","Agree","Neutral","Disagree","Strongly Disagree","Not Applicable"},0),5,4,3,2,1,""))</f>
        <v>3</v>
      </c>
      <c r="F455">
        <f>Table7[[#This Row],[Scores]] * 20</f>
        <v>60</v>
      </c>
      <c r="G455">
        <f>IF(OR(Table7[[#This Row],[Response]]="Strongly Agree",Table7[[#This Row],[Response]]="Agree"),1,0)</f>
        <v>0</v>
      </c>
      <c r="H455" t="str">
        <f>_xlfn.XLOOKUP(Table7[[#This Row],[QuestionID]], FinalQuestions!$A:$A, FinalQuestions!$D:$D,"")</f>
        <v>Access to Guidance</v>
      </c>
      <c r="I455" t="s">
        <v>267</v>
      </c>
    </row>
    <row r="456" spans="1:9" x14ac:dyDescent="0.35">
      <c r="A456" t="s">
        <v>102</v>
      </c>
      <c r="B456" t="s">
        <v>25</v>
      </c>
      <c r="C456" t="s">
        <v>85</v>
      </c>
      <c r="D456" t="str">
        <f>VLOOKUP(Table7[[#This Row],[QuestionID]], FinalQuestions!$A:$C, 3, FALSE)</f>
        <v>Discussability</v>
      </c>
      <c r="E456">
        <f>IF(Table7[[#This Row],[Response]]="","",CHOOSE(MATCH(Table7[[#This Row],[Response]],{"Strongly Agree","Agree","Neutral","Disagree","Strongly Disagree","Not Applicable"},0),5,4,3,2,1,""))</f>
        <v>5</v>
      </c>
      <c r="F456">
        <f>Table7[[#This Row],[Scores]] * 20</f>
        <v>100</v>
      </c>
      <c r="G456">
        <f>IF(OR(Table7[[#This Row],[Response]]="Strongly Agree",Table7[[#This Row],[Response]]="Agree"),1,0)</f>
        <v>1</v>
      </c>
      <c r="H456" t="str">
        <f>_xlfn.XLOOKUP(Table7[[#This Row],[QuestionID]], FinalQuestions!$A:$A, FinalQuestions!$D:$D,"")</f>
        <v>Openness to Sharing Opinions</v>
      </c>
      <c r="I456" t="s">
        <v>267</v>
      </c>
    </row>
    <row r="457" spans="1:9" x14ac:dyDescent="0.35">
      <c r="A457" t="s">
        <v>102</v>
      </c>
      <c r="B457" t="s">
        <v>27</v>
      </c>
      <c r="C457" t="s">
        <v>2</v>
      </c>
      <c r="D457" t="str">
        <f>VLOOKUP(Table7[[#This Row],[QuestionID]], FinalQuestions!$A:$C, 3, FALSE)</f>
        <v>Discussability</v>
      </c>
      <c r="E457">
        <f>IF(Table7[[#This Row],[Response]]="","",CHOOSE(MATCH(Table7[[#This Row],[Response]],{"Strongly Agree","Agree","Neutral","Disagree","Strongly Disagree","Not Applicable"},0),5,4,3,2,1,""))</f>
        <v>4</v>
      </c>
      <c r="F457">
        <f>Table7[[#This Row],[Scores]] * 20</f>
        <v>80</v>
      </c>
      <c r="G457">
        <f>IF(OR(Table7[[#This Row],[Response]]="Strongly Agree",Table7[[#This Row],[Response]]="Agree"),1,0)</f>
        <v>1</v>
      </c>
      <c r="H457" t="str">
        <f>_xlfn.XLOOKUP(Table7[[#This Row],[QuestionID]], FinalQuestions!$A:$A, FinalQuestions!$D:$D,"")</f>
        <v>Comfort in Reporting Risk Dilemmas</v>
      </c>
      <c r="I457" t="s">
        <v>267</v>
      </c>
    </row>
    <row r="458" spans="1:9" x14ac:dyDescent="0.35">
      <c r="A458" t="s">
        <v>102</v>
      </c>
      <c r="B458" t="s">
        <v>29</v>
      </c>
      <c r="C458" t="s">
        <v>6</v>
      </c>
      <c r="D458" t="str">
        <f>VLOOKUP(Table7[[#This Row],[QuestionID]], FinalQuestions!$A:$C, 3, FALSE)</f>
        <v>Achievability</v>
      </c>
      <c r="E458">
        <f>IF(Table7[[#This Row],[Response]]="","",CHOOSE(MATCH(Table7[[#This Row],[Response]],{"Strongly Agree","Agree","Neutral","Disagree","Strongly Disagree","Not Applicable"},0),5,4,3,2,1,""))</f>
        <v>2</v>
      </c>
      <c r="F458">
        <f>Table7[[#This Row],[Scores]] * 20</f>
        <v>40</v>
      </c>
      <c r="G458">
        <f>IF(OR(Table7[[#This Row],[Response]]="Strongly Agree",Table7[[#This Row],[Response]]="Agree"),1,0)</f>
        <v>0</v>
      </c>
      <c r="H458" t="str">
        <f>_xlfn.XLOOKUP(Table7[[#This Row],[QuestionID]], FinalQuestions!$A:$A, FinalQuestions!$D:$D,"")</f>
        <v>Adequacy of Risk Management Training</v>
      </c>
      <c r="I458" t="s">
        <v>267</v>
      </c>
    </row>
    <row r="459" spans="1:9" x14ac:dyDescent="0.35">
      <c r="A459" t="s">
        <v>102</v>
      </c>
      <c r="B459" t="s">
        <v>31</v>
      </c>
      <c r="C459" t="s">
        <v>6</v>
      </c>
      <c r="D459" t="str">
        <f>VLOOKUP(Table7[[#This Row],[QuestionID]], FinalQuestions!$A:$C, 3, FALSE)</f>
        <v>Achievability</v>
      </c>
      <c r="E459">
        <f>IF(Table7[[#This Row],[Response]]="","",CHOOSE(MATCH(Table7[[#This Row],[Response]],{"Strongly Agree","Agree","Neutral","Disagree","Strongly Disagree","Not Applicable"},0),5,4,3,2,1,""))</f>
        <v>2</v>
      </c>
      <c r="F459">
        <f>Table7[[#This Row],[Scores]] * 20</f>
        <v>40</v>
      </c>
      <c r="G459">
        <f>IF(OR(Table7[[#This Row],[Response]]="Strongly Agree",Table7[[#This Row],[Response]]="Agree"),1,0)</f>
        <v>0</v>
      </c>
      <c r="H459" t="str">
        <f>_xlfn.XLOOKUP(Table7[[#This Row],[QuestionID]], FinalQuestions!$A:$A, FinalQuestions!$D:$D,"")</f>
        <v>Workload Balance &amp; Resource Sufficiency</v>
      </c>
      <c r="I459" t="s">
        <v>267</v>
      </c>
    </row>
    <row r="460" spans="1:9" x14ac:dyDescent="0.35">
      <c r="A460" t="s">
        <v>102</v>
      </c>
      <c r="B460" t="s">
        <v>33</v>
      </c>
      <c r="C460" t="s">
        <v>2</v>
      </c>
      <c r="D460" t="str">
        <f>VLOOKUP(Table7[[#This Row],[QuestionID]], FinalQuestions!$A:$C, 3, FALSE)</f>
        <v>Achievability</v>
      </c>
      <c r="E460">
        <f>IF(Table7[[#This Row],[Response]]="","",CHOOSE(MATCH(Table7[[#This Row],[Response]],{"Strongly Agree","Agree","Neutral","Disagree","Strongly Disagree","Not Applicable"},0),5,4,3,2,1,""))</f>
        <v>4</v>
      </c>
      <c r="F460">
        <f>Table7[[#This Row],[Scores]] * 20</f>
        <v>80</v>
      </c>
      <c r="G460">
        <f>IF(OR(Table7[[#This Row],[Response]]="Strongly Agree",Table7[[#This Row],[Response]]="Agree"),1,0)</f>
        <v>1</v>
      </c>
      <c r="H460" t="str">
        <f>_xlfn.XLOOKUP(Table7[[#This Row],[QuestionID]], FinalQuestions!$A:$A, FinalQuestions!$D:$D,"")</f>
        <v>Realistic Target Setting</v>
      </c>
      <c r="I460" t="s">
        <v>267</v>
      </c>
    </row>
    <row r="461" spans="1:9" x14ac:dyDescent="0.35">
      <c r="A461" t="s">
        <v>102</v>
      </c>
      <c r="B461" t="s">
        <v>35</v>
      </c>
      <c r="C461" t="s">
        <v>6</v>
      </c>
      <c r="D461" t="str">
        <f>VLOOKUP(Table7[[#This Row],[QuestionID]], FinalQuestions!$A:$C, 3, FALSE)</f>
        <v>Achievability</v>
      </c>
      <c r="E461">
        <f>IF(Table7[[#This Row],[Response]]="","",CHOOSE(MATCH(Table7[[#This Row],[Response]],{"Strongly Agree","Agree","Neutral","Disagree","Strongly Disagree","Not Applicable"},0),5,4,3,2,1,""))</f>
        <v>2</v>
      </c>
      <c r="F461">
        <f>Table7[[#This Row],[Scores]] * 20</f>
        <v>40</v>
      </c>
      <c r="G461">
        <f>IF(OR(Table7[[#This Row],[Response]]="Strongly Agree",Table7[[#This Row],[Response]]="Agree"),1,0)</f>
        <v>0</v>
      </c>
      <c r="H461" t="str">
        <f>_xlfn.XLOOKUP(Table7[[#This Row],[QuestionID]], FinalQuestions!$A:$A, FinalQuestions!$D:$D,"")</f>
        <v>Risk Insight in Decision Making</v>
      </c>
      <c r="I461" t="s">
        <v>267</v>
      </c>
    </row>
    <row r="462" spans="1:9" x14ac:dyDescent="0.35">
      <c r="A462" t="s">
        <v>102</v>
      </c>
      <c r="B462" t="s">
        <v>37</v>
      </c>
      <c r="C462" t="s">
        <v>4</v>
      </c>
      <c r="D462" t="str">
        <f>VLOOKUP(Table7[[#This Row],[QuestionID]], FinalQuestions!$A:$C, 3, FALSE)</f>
        <v>Enforcement</v>
      </c>
      <c r="E462">
        <f>IF(Table7[[#This Row],[Response]]="","",CHOOSE(MATCH(Table7[[#This Row],[Response]],{"Strongly Agree","Agree","Neutral","Disagree","Strongly Disagree","Not Applicable"},0),5,4,3,2,1,""))</f>
        <v>3</v>
      </c>
      <c r="F462">
        <f>Table7[[#This Row],[Scores]] * 20</f>
        <v>60</v>
      </c>
      <c r="G462">
        <f>IF(OR(Table7[[#This Row],[Response]]="Strongly Agree",Table7[[#This Row],[Response]]="Agree"),1,0)</f>
        <v>0</v>
      </c>
      <c r="H462" t="str">
        <f>_xlfn.XLOOKUP(Table7[[#This Row],[QuestionID]], FinalQuestions!$A:$A, FinalQuestions!$D:$D,"")</f>
        <v>Learning Culture from Non‑Compliance Cases</v>
      </c>
      <c r="I462" t="s">
        <v>267</v>
      </c>
    </row>
    <row r="463" spans="1:9" x14ac:dyDescent="0.35">
      <c r="A463" t="s">
        <v>102</v>
      </c>
      <c r="B463" t="s">
        <v>39</v>
      </c>
      <c r="C463" t="s">
        <v>85</v>
      </c>
      <c r="D463" t="str">
        <f>VLOOKUP(Table7[[#This Row],[QuestionID]], FinalQuestions!$A:$C, 3, FALSE)</f>
        <v>Enforcement</v>
      </c>
      <c r="E463">
        <f>IF(Table7[[#This Row],[Response]]="","",CHOOSE(MATCH(Table7[[#This Row],[Response]],{"Strongly Agree","Agree","Neutral","Disagree","Strongly Disagree","Not Applicable"},0),5,4,3,2,1,""))</f>
        <v>5</v>
      </c>
      <c r="F463">
        <f>Table7[[#This Row],[Scores]] * 20</f>
        <v>100</v>
      </c>
      <c r="G463">
        <f>IF(OR(Table7[[#This Row],[Response]]="Strongly Agree",Table7[[#This Row],[Response]]="Agree"),1,0)</f>
        <v>1</v>
      </c>
      <c r="H463" t="str">
        <f>_xlfn.XLOOKUP(Table7[[#This Row],[QuestionID]], FinalQuestions!$A:$A, FinalQuestions!$D:$D,"")</f>
        <v>Organizational View on Risk Culture</v>
      </c>
      <c r="I463" t="s">
        <v>267</v>
      </c>
    </row>
    <row r="464" spans="1:9" x14ac:dyDescent="0.35">
      <c r="A464" t="s">
        <v>102</v>
      </c>
      <c r="B464" t="s">
        <v>41</v>
      </c>
      <c r="C464" t="s">
        <v>85</v>
      </c>
      <c r="D464" t="str">
        <f>VLOOKUP(Table7[[#This Row],[QuestionID]], FinalQuestions!$A:$C, 3, FALSE)</f>
        <v>Enforcement</v>
      </c>
      <c r="E464">
        <f>IF(Table7[[#This Row],[Response]]="","",CHOOSE(MATCH(Table7[[#This Row],[Response]],{"Strongly Agree","Agree","Neutral","Disagree","Strongly Disagree","Not Applicable"},0),5,4,3,2,1,""))</f>
        <v>5</v>
      </c>
      <c r="F464">
        <f>Table7[[#This Row],[Scores]] * 20</f>
        <v>100</v>
      </c>
      <c r="G464">
        <f>IF(OR(Table7[[#This Row],[Response]]="Strongly Agree",Table7[[#This Row],[Response]]="Agree"),1,0)</f>
        <v>1</v>
      </c>
      <c r="H464" t="str">
        <f>_xlfn.XLOOKUP(Table7[[#This Row],[QuestionID]], FinalQuestions!$A:$A, FinalQuestions!$D:$D,"")</f>
        <v>Compliance Recognition &amp; enforcement</v>
      </c>
      <c r="I464" t="s">
        <v>267</v>
      </c>
    </row>
    <row r="465" spans="1:9" x14ac:dyDescent="0.35">
      <c r="A465" t="s">
        <v>102</v>
      </c>
      <c r="B465" t="s">
        <v>43</v>
      </c>
      <c r="C465" t="s">
        <v>2</v>
      </c>
      <c r="D465" t="str">
        <f>VLOOKUP(Table7[[#This Row],[QuestionID]], FinalQuestions!$A:$C, 3, FALSE)</f>
        <v>Enforcement</v>
      </c>
      <c r="E465">
        <f>IF(Table7[[#This Row],[Response]]="","",CHOOSE(MATCH(Table7[[#This Row],[Response]],{"Strongly Agree","Agree","Neutral","Disagree","Strongly Disagree","Not Applicable"},0),5,4,3,2,1,""))</f>
        <v>4</v>
      </c>
      <c r="F465">
        <f>Table7[[#This Row],[Scores]] * 20</f>
        <v>80</v>
      </c>
      <c r="G465">
        <f>IF(OR(Table7[[#This Row],[Response]]="Strongly Agree",Table7[[#This Row],[Response]]="Agree"),1,0)</f>
        <v>1</v>
      </c>
      <c r="H465" t="str">
        <f>_xlfn.XLOOKUP(Table7[[#This Row],[QuestionID]], FinalQuestions!$A:$A, FinalQuestions!$D:$D,"")</f>
        <v>Sense of Ownership</v>
      </c>
      <c r="I465" t="s">
        <v>267</v>
      </c>
    </row>
    <row r="466" spans="1:9" x14ac:dyDescent="0.35">
      <c r="A466" t="s">
        <v>102</v>
      </c>
      <c r="B466" t="s">
        <v>45</v>
      </c>
      <c r="C466" t="s">
        <v>6</v>
      </c>
      <c r="D466" t="str">
        <f>VLOOKUP(Table7[[#This Row],[QuestionID]], FinalQuestions!$A:$C, 3, FALSE)</f>
        <v>Clarity</v>
      </c>
      <c r="E466">
        <f>IF(Table7[[#This Row],[Response]]="","",CHOOSE(MATCH(Table7[[#This Row],[Response]],{"Strongly Agree","Agree","Neutral","Disagree","Strongly Disagree","Not Applicable"},0),5,4,3,2,1,""))</f>
        <v>2</v>
      </c>
      <c r="F466">
        <f>Table7[[#This Row],[Scores]] * 20</f>
        <v>40</v>
      </c>
      <c r="G466">
        <f>IF(OR(Table7[[#This Row],[Response]]="Strongly Agree",Table7[[#This Row],[Response]]="Agree"),1,0)</f>
        <v>0</v>
      </c>
      <c r="H466" t="str">
        <f>_xlfn.XLOOKUP(Table7[[#This Row],[QuestionID]], FinalQuestions!$A:$A, FinalQuestions!$D:$D,"")</f>
        <v>Clarity of Role and Responsibilities</v>
      </c>
      <c r="I466" t="s">
        <v>267</v>
      </c>
    </row>
    <row r="467" spans="1:9" x14ac:dyDescent="0.35">
      <c r="A467" t="s">
        <v>102</v>
      </c>
      <c r="B467" t="s">
        <v>47</v>
      </c>
      <c r="C467" t="s">
        <v>4</v>
      </c>
      <c r="D467" t="str">
        <f>VLOOKUP(Table7[[#This Row],[QuestionID]], FinalQuestions!$A:$C, 3, FALSE)</f>
        <v>Clarity</v>
      </c>
      <c r="E467">
        <f>IF(Table7[[#This Row],[Response]]="","",CHOOSE(MATCH(Table7[[#This Row],[Response]],{"Strongly Agree","Agree","Neutral","Disagree","Strongly Disagree","Not Applicable"},0),5,4,3,2,1,""))</f>
        <v>3</v>
      </c>
      <c r="F467">
        <f>Table7[[#This Row],[Scores]] * 20</f>
        <v>60</v>
      </c>
      <c r="G467">
        <f>IF(OR(Table7[[#This Row],[Response]]="Strongly Agree",Table7[[#This Row],[Response]]="Agree"),1,0)</f>
        <v>0</v>
      </c>
      <c r="H467" t="str">
        <f>_xlfn.XLOOKUP(Table7[[#This Row],[QuestionID]], FinalQuestions!$A:$A, FinalQuestions!$D:$D,"")</f>
        <v>Understanding of Risk Policies &amp; Procedures</v>
      </c>
      <c r="I467" t="s">
        <v>267</v>
      </c>
    </row>
    <row r="468" spans="1:9" x14ac:dyDescent="0.35">
      <c r="A468" t="s">
        <v>102</v>
      </c>
      <c r="B468" t="s">
        <v>49</v>
      </c>
      <c r="C468" t="s">
        <v>85</v>
      </c>
      <c r="D468" t="str">
        <f>VLOOKUP(Table7[[#This Row],[QuestionID]], FinalQuestions!$A:$C, 3, FALSE)</f>
        <v>Clarity</v>
      </c>
      <c r="E468">
        <f>IF(Table7[[#This Row],[Response]]="","",CHOOSE(MATCH(Table7[[#This Row],[Response]],{"Strongly Agree","Agree","Neutral","Disagree","Strongly Disagree","Not Applicable"},0),5,4,3,2,1,""))</f>
        <v>5</v>
      </c>
      <c r="F468">
        <f>Table7[[#This Row],[Scores]] * 20</f>
        <v>100</v>
      </c>
      <c r="G468">
        <f>IF(OR(Table7[[#This Row],[Response]]="Strongly Agree",Table7[[#This Row],[Response]]="Agree"),1,0)</f>
        <v>1</v>
      </c>
      <c r="H468" t="str">
        <f>_xlfn.XLOOKUP(Table7[[#This Row],[QuestionID]], FinalQuestions!$A:$A, FinalQuestions!$D:$D,"")</f>
        <v>Clarity of Personal Risk Boundaries</v>
      </c>
      <c r="I468" t="s">
        <v>267</v>
      </c>
    </row>
    <row r="469" spans="1:9" x14ac:dyDescent="0.35">
      <c r="A469" t="s">
        <v>102</v>
      </c>
      <c r="B469" t="s">
        <v>51</v>
      </c>
      <c r="C469" t="s">
        <v>2</v>
      </c>
      <c r="D469" t="str">
        <f>VLOOKUP(Table7[[#This Row],[QuestionID]], FinalQuestions!$A:$C, 3, FALSE)</f>
        <v>Clarity</v>
      </c>
      <c r="E469">
        <f>IF(Table7[[#This Row],[Response]]="","",CHOOSE(MATCH(Table7[[#This Row],[Response]],{"Strongly Agree","Agree","Neutral","Disagree","Strongly Disagree","Not Applicable"},0),5,4,3,2,1,""))</f>
        <v>4</v>
      </c>
      <c r="F469">
        <f>Table7[[#This Row],[Scores]] * 20</f>
        <v>80</v>
      </c>
      <c r="G469">
        <f>IF(OR(Table7[[#This Row],[Response]]="Strongly Agree",Table7[[#This Row],[Response]]="Agree"),1,0)</f>
        <v>1</v>
      </c>
      <c r="H469" t="str">
        <f>_xlfn.XLOOKUP(Table7[[#This Row],[QuestionID]], FinalQuestions!$A:$A, FinalQuestions!$D:$D,"")</f>
        <v>Effectiveness of Risk Communication &amp; Training</v>
      </c>
      <c r="I469" t="s">
        <v>267</v>
      </c>
    </row>
    <row r="470" spans="1:9" x14ac:dyDescent="0.35">
      <c r="A470" t="s">
        <v>102</v>
      </c>
      <c r="B470" t="s">
        <v>53</v>
      </c>
      <c r="C470" t="s">
        <v>6</v>
      </c>
      <c r="D470" t="str">
        <f>VLOOKUP(Table7[[#This Row],[QuestionID]], FinalQuestions!$A:$C, 3, FALSE)</f>
        <v>Transparency</v>
      </c>
      <c r="E470">
        <f>IF(Table7[[#This Row],[Response]]="","",CHOOSE(MATCH(Table7[[#This Row],[Response]],{"Strongly Agree","Agree","Neutral","Disagree","Strongly Disagree","Not Applicable"},0),5,4,3,2,1,""))</f>
        <v>2</v>
      </c>
      <c r="F470">
        <f>Table7[[#This Row],[Scores]] * 20</f>
        <v>40</v>
      </c>
      <c r="G470">
        <f>IF(OR(Table7[[#This Row],[Response]]="Strongly Agree",Table7[[#This Row],[Response]]="Agree"),1,0)</f>
        <v>0</v>
      </c>
      <c r="H470" t="str">
        <f>_xlfn.XLOOKUP(Table7[[#This Row],[QuestionID]], FinalQuestions!$A:$A, FinalQuestions!$D:$D,"")</f>
        <v>Compliance Confidence in team</v>
      </c>
      <c r="I470" t="s">
        <v>267</v>
      </c>
    </row>
    <row r="471" spans="1:9" x14ac:dyDescent="0.35">
      <c r="A471" t="s">
        <v>102</v>
      </c>
      <c r="B471" t="s">
        <v>55</v>
      </c>
      <c r="C471" t="s">
        <v>4</v>
      </c>
      <c r="D471" t="str">
        <f>VLOOKUP(Table7[[#This Row],[QuestionID]], FinalQuestions!$A:$C, 3, FALSE)</f>
        <v>Transparency</v>
      </c>
      <c r="E471">
        <f>IF(Table7[[#This Row],[Response]]="","",CHOOSE(MATCH(Table7[[#This Row],[Response]],{"Strongly Agree","Agree","Neutral","Disagree","Strongly Disagree","Not Applicable"},0),5,4,3,2,1,""))</f>
        <v>3</v>
      </c>
      <c r="F471">
        <f>Table7[[#This Row],[Scores]] * 20</f>
        <v>60</v>
      </c>
      <c r="G471">
        <f>IF(OR(Table7[[#This Row],[Response]]="Strongly Agree",Table7[[#This Row],[Response]]="Agree"),1,0)</f>
        <v>0</v>
      </c>
      <c r="H471" t="str">
        <f>_xlfn.XLOOKUP(Table7[[#This Row],[QuestionID]], FinalQuestions!$A:$A, FinalQuestions!$D:$D,"")</f>
        <v>Transparency in Decision‑Making</v>
      </c>
      <c r="I471" t="s">
        <v>267</v>
      </c>
    </row>
    <row r="472" spans="1:9" x14ac:dyDescent="0.35">
      <c r="A472" t="s">
        <v>102</v>
      </c>
      <c r="B472" t="s">
        <v>57</v>
      </c>
      <c r="C472" t="s">
        <v>85</v>
      </c>
      <c r="D472" t="str">
        <f>VLOOKUP(Table7[[#This Row],[QuestionID]], FinalQuestions!$A:$C, 3, FALSE)</f>
        <v>Transparency</v>
      </c>
      <c r="E472">
        <f>IF(Table7[[#This Row],[Response]]="","",CHOOSE(MATCH(Table7[[#This Row],[Response]],{"Strongly Agree","Agree","Neutral","Disagree","Strongly Disagree","Not Applicable"},0),5,4,3,2,1,""))</f>
        <v>5</v>
      </c>
      <c r="F472">
        <f>Table7[[#This Row],[Scores]] * 20</f>
        <v>100</v>
      </c>
      <c r="G472">
        <f>IF(OR(Table7[[#This Row],[Response]]="Strongly Agree",Table7[[#This Row],[Response]]="Agree"),1,0)</f>
        <v>1</v>
      </c>
      <c r="H472" t="str">
        <f>_xlfn.XLOOKUP(Table7[[#This Row],[QuestionID]], FinalQuestions!$A:$A, FinalQuestions!$D:$D,"")</f>
        <v>Fairness &amp; Equity of Expectations</v>
      </c>
      <c r="I472" t="s">
        <v>267</v>
      </c>
    </row>
    <row r="473" spans="1:9" x14ac:dyDescent="0.35">
      <c r="A473" t="s">
        <v>102</v>
      </c>
      <c r="B473" t="s">
        <v>59</v>
      </c>
      <c r="C473" t="s">
        <v>85</v>
      </c>
      <c r="D473" t="str">
        <f>VLOOKUP(Table7[[#This Row],[QuestionID]], FinalQuestions!$A:$C, 3, FALSE)</f>
        <v>Transparency</v>
      </c>
      <c r="E473">
        <f>IF(Table7[[#This Row],[Response]]="","",CHOOSE(MATCH(Table7[[#This Row],[Response]],{"Strongly Agree","Agree","Neutral","Disagree","Strongly Disagree","Not Applicable"},0),5,4,3,2,1,""))</f>
        <v>5</v>
      </c>
      <c r="F473">
        <f>Table7[[#This Row],[Scores]] * 20</f>
        <v>100</v>
      </c>
      <c r="G473">
        <f>IF(OR(Table7[[#This Row],[Response]]="Strongly Agree",Table7[[#This Row],[Response]]="Agree"),1,0)</f>
        <v>1</v>
      </c>
      <c r="H473" t="str">
        <f>_xlfn.XLOOKUP(Table7[[#This Row],[QuestionID]], FinalQuestions!$A:$A, FinalQuestions!$D:$D,"")</f>
        <v>Leadership Awareness in the team</v>
      </c>
      <c r="I473" t="s">
        <v>267</v>
      </c>
    </row>
    <row r="474" spans="1:9" x14ac:dyDescent="0.35">
      <c r="A474" t="s">
        <v>102</v>
      </c>
      <c r="B474" t="s">
        <v>61</v>
      </c>
      <c r="C474" t="s">
        <v>2</v>
      </c>
      <c r="D474" t="str">
        <f>VLOOKUP(Table7[[#This Row],[QuestionID]], FinalQuestions!$A:$C, 3, FALSE)</f>
        <v>Commitment</v>
      </c>
      <c r="E474">
        <f>IF(Table7[[#This Row],[Response]]="","",CHOOSE(MATCH(Table7[[#This Row],[Response]],{"Strongly Agree","Agree","Neutral","Disagree","Strongly Disagree","Not Applicable"},0),5,4,3,2,1,""))</f>
        <v>4</v>
      </c>
      <c r="F474">
        <f>Table7[[#This Row],[Scores]] * 20</f>
        <v>80</v>
      </c>
      <c r="G474">
        <f>IF(OR(Table7[[#This Row],[Response]]="Strongly Agree",Table7[[#This Row],[Response]]="Agree"),1,0)</f>
        <v>1</v>
      </c>
      <c r="H474" t="str">
        <f>_xlfn.XLOOKUP(Table7[[#This Row],[QuestionID]], FinalQuestions!$A:$A, FinalQuestions!$D:$D,"")</f>
        <v>Motivation for Risk Ownership</v>
      </c>
      <c r="I474" t="s">
        <v>267</v>
      </c>
    </row>
    <row r="475" spans="1:9" x14ac:dyDescent="0.35">
      <c r="A475" t="s">
        <v>102</v>
      </c>
      <c r="B475" t="s">
        <v>63</v>
      </c>
      <c r="C475" t="s">
        <v>2</v>
      </c>
      <c r="D475" t="str">
        <f>VLOOKUP(Table7[[#This Row],[QuestionID]], FinalQuestions!$A:$C, 3, FALSE)</f>
        <v>Commitment</v>
      </c>
      <c r="E475">
        <f>IF(Table7[[#This Row],[Response]]="","",CHOOSE(MATCH(Table7[[#This Row],[Response]],{"Strongly Agree","Agree","Neutral","Disagree","Strongly Disagree","Not Applicable"},0),5,4,3,2,1,""))</f>
        <v>4</v>
      </c>
      <c r="F475">
        <f>Table7[[#This Row],[Scores]] * 20</f>
        <v>80</v>
      </c>
      <c r="G475">
        <f>IF(OR(Table7[[#This Row],[Response]]="Strongly Agree",Table7[[#This Row],[Response]]="Agree"),1,0)</f>
        <v>1</v>
      </c>
      <c r="H475" t="str">
        <f>_xlfn.XLOOKUP(Table7[[#This Row],[QuestionID]], FinalQuestions!$A:$A, FinalQuestions!$D:$D,"")</f>
        <v>Sense of Belonging to the Organization</v>
      </c>
      <c r="I475" t="s">
        <v>267</v>
      </c>
    </row>
    <row r="476" spans="1:9" x14ac:dyDescent="0.35">
      <c r="A476" t="s">
        <v>102</v>
      </c>
      <c r="B476" t="s">
        <v>65</v>
      </c>
      <c r="C476" t="s">
        <v>6</v>
      </c>
      <c r="D476" t="str">
        <f>VLOOKUP(Table7[[#This Row],[QuestionID]], FinalQuestions!$A:$C, 3, FALSE)</f>
        <v>Commitment</v>
      </c>
      <c r="E476">
        <f>IF(Table7[[#This Row],[Response]]="","",CHOOSE(MATCH(Table7[[#This Row],[Response]],{"Strongly Agree","Agree","Neutral","Disagree","Strongly Disagree","Not Applicable"},0),5,4,3,2,1,""))</f>
        <v>2</v>
      </c>
      <c r="F476">
        <f>Table7[[#This Row],[Scores]] * 20</f>
        <v>40</v>
      </c>
      <c r="G476">
        <f>IF(OR(Table7[[#This Row],[Response]]="Strongly Agree",Table7[[#This Row],[Response]]="Agree"),1,0)</f>
        <v>0</v>
      </c>
      <c r="H476" t="str">
        <f>_xlfn.XLOOKUP(Table7[[#This Row],[QuestionID]], FinalQuestions!$A:$A, FinalQuestions!$D:$D,"")</f>
        <v>Consideration of Impact on Others</v>
      </c>
      <c r="I476" t="s">
        <v>267</v>
      </c>
    </row>
    <row r="477" spans="1:9" x14ac:dyDescent="0.35">
      <c r="A477" t="s">
        <v>102</v>
      </c>
      <c r="B477" t="s">
        <v>67</v>
      </c>
      <c r="C477" t="s">
        <v>4</v>
      </c>
      <c r="D477" t="str">
        <f>VLOOKUP(Table7[[#This Row],[QuestionID]], FinalQuestions!$A:$C, 3, FALSE)</f>
        <v>Commitment</v>
      </c>
      <c r="E477">
        <f>IF(Table7[[#This Row],[Response]]="","",CHOOSE(MATCH(Table7[[#This Row],[Response]],{"Strongly Agree","Agree","Neutral","Disagree","Strongly Disagree","Not Applicable"},0),5,4,3,2,1,""))</f>
        <v>3</v>
      </c>
      <c r="F477">
        <f>Table7[[#This Row],[Scores]] * 20</f>
        <v>60</v>
      </c>
      <c r="G477">
        <f>IF(OR(Table7[[#This Row],[Response]]="Strongly Agree",Table7[[#This Row],[Response]]="Agree"),1,0)</f>
        <v>0</v>
      </c>
      <c r="H477" t="str">
        <f>_xlfn.XLOOKUP(Table7[[#This Row],[QuestionID]], FinalQuestions!$A:$A, FinalQuestions!$D:$D,"")</f>
        <v>Accountability for Risk Actions</v>
      </c>
      <c r="I477" t="s">
        <v>267</v>
      </c>
    </row>
    <row r="478" spans="1:9" x14ac:dyDescent="0.35">
      <c r="A478" t="s">
        <v>102</v>
      </c>
      <c r="B478" t="s">
        <v>69</v>
      </c>
      <c r="C478" t="s">
        <v>85</v>
      </c>
      <c r="D478" t="str">
        <f>VLOOKUP(Table7[[#This Row],[QuestionID]], FinalQuestions!$A:$C, 3, FALSE)</f>
        <v>Call someone to account</v>
      </c>
      <c r="E478">
        <f>IF(Table7[[#This Row],[Response]]="","",CHOOSE(MATCH(Table7[[#This Row],[Response]],{"Strongly Agree","Agree","Neutral","Disagree","Strongly Disagree","Not Applicable"},0),5,4,3,2,1,""))</f>
        <v>5</v>
      </c>
      <c r="F478">
        <f>Table7[[#This Row],[Scores]] * 20</f>
        <v>100</v>
      </c>
      <c r="G478">
        <f>IF(OR(Table7[[#This Row],[Response]]="Strongly Agree",Table7[[#This Row],[Response]]="Agree"),1,0)</f>
        <v>1</v>
      </c>
      <c r="H478" t="str">
        <f>_xlfn.XLOOKUP(Table7[[#This Row],[QuestionID]], FinalQuestions!$A:$A, FinalQuestions!$D:$D,"")</f>
        <v xml:space="preserve">Peer to peer Accountability </v>
      </c>
      <c r="I478" t="s">
        <v>267</v>
      </c>
    </row>
    <row r="479" spans="1:9" x14ac:dyDescent="0.35">
      <c r="A479" t="s">
        <v>102</v>
      </c>
      <c r="B479" t="s">
        <v>71</v>
      </c>
      <c r="C479" t="s">
        <v>4</v>
      </c>
      <c r="D479" t="str">
        <f>VLOOKUP(Table7[[#This Row],[QuestionID]], FinalQuestions!$A:$C, 3, FALSE)</f>
        <v>Call someone to account</v>
      </c>
      <c r="E479">
        <f>IF(Table7[[#This Row],[Response]]="","",CHOOSE(MATCH(Table7[[#This Row],[Response]],{"Strongly Agree","Agree","Neutral","Disagree","Strongly Disagree","Not Applicable"},0),5,4,3,2,1,""))</f>
        <v>3</v>
      </c>
      <c r="F479">
        <f>Table7[[#This Row],[Scores]] * 20</f>
        <v>60</v>
      </c>
      <c r="G479">
        <f>IF(OR(Table7[[#This Row],[Response]]="Strongly Agree",Table7[[#This Row],[Response]]="Agree"),1,0)</f>
        <v>0</v>
      </c>
      <c r="H479" t="str">
        <f>_xlfn.XLOOKUP(Table7[[#This Row],[QuestionID]], FinalQuestions!$A:$A, FinalQuestions!$D:$D,"")</f>
        <v>Timely Resolution of Accountability Issues</v>
      </c>
      <c r="I479" t="s">
        <v>267</v>
      </c>
    </row>
    <row r="480" spans="1:9" x14ac:dyDescent="0.35">
      <c r="A480" t="s">
        <v>102</v>
      </c>
      <c r="B480" t="s">
        <v>73</v>
      </c>
      <c r="C480" t="s">
        <v>85</v>
      </c>
      <c r="D480" t="str">
        <f>VLOOKUP(Table7[[#This Row],[QuestionID]], FinalQuestions!$A:$C, 3, FALSE)</f>
        <v>Call someone to account</v>
      </c>
      <c r="E480">
        <f>IF(Table7[[#This Row],[Response]]="","",CHOOSE(MATCH(Table7[[#This Row],[Response]],{"Strongly Agree","Agree","Neutral","Disagree","Strongly Disagree","Not Applicable"},0),5,4,3,2,1,""))</f>
        <v>5</v>
      </c>
      <c r="F480">
        <f>Table7[[#This Row],[Scores]] * 20</f>
        <v>100</v>
      </c>
      <c r="G480">
        <f>IF(OR(Table7[[#This Row],[Response]]="Strongly Agree",Table7[[#This Row],[Response]]="Agree"),1,0)</f>
        <v>1</v>
      </c>
      <c r="H480" t="str">
        <f>_xlfn.XLOOKUP(Table7[[#This Row],[QuestionID]], FinalQuestions!$A:$A, FinalQuestions!$D:$D,"")</f>
        <v>Comfort for Reporting Non‑Compliance.</v>
      </c>
      <c r="I480" t="s">
        <v>267</v>
      </c>
    </row>
    <row r="481" spans="1:9" x14ac:dyDescent="0.35">
      <c r="A481" t="s">
        <v>102</v>
      </c>
      <c r="B481" t="s">
        <v>75</v>
      </c>
      <c r="C481" t="s">
        <v>2</v>
      </c>
      <c r="D481" t="str">
        <f>VLOOKUP(Table7[[#This Row],[QuestionID]], FinalQuestions!$A:$C, 3, FALSE)</f>
        <v>Call someone to account</v>
      </c>
      <c r="E481">
        <f>IF(Table7[[#This Row],[Response]]="","",CHOOSE(MATCH(Table7[[#This Row],[Response]],{"Strongly Agree","Agree","Neutral","Disagree","Strongly Disagree","Not Applicable"},0),5,4,3,2,1,""))</f>
        <v>4</v>
      </c>
      <c r="F481">
        <f>Table7[[#This Row],[Scores]] * 20</f>
        <v>80</v>
      </c>
      <c r="G481">
        <f>IF(OR(Table7[[#This Row],[Response]]="Strongly Agree",Table7[[#This Row],[Response]]="Agree"),1,0)</f>
        <v>1</v>
      </c>
      <c r="H481" t="str">
        <f>_xlfn.XLOOKUP(Table7[[#This Row],[QuestionID]], FinalQuestions!$A:$A, FinalQuestions!$D:$D,"")</f>
        <v>Consistency of Conduct Enforcement</v>
      </c>
      <c r="I481" t="s">
        <v>267</v>
      </c>
    </row>
    <row r="482" spans="1:9" x14ac:dyDescent="0.35">
      <c r="A482" t="s">
        <v>103</v>
      </c>
      <c r="B482" t="s">
        <v>13</v>
      </c>
      <c r="C482" t="s">
        <v>6</v>
      </c>
      <c r="D482" t="str">
        <f>VLOOKUP(Table7[[#This Row],[QuestionID]], FinalQuestions!$A:$C, 3, FALSE)</f>
        <v>Role Modelling</v>
      </c>
      <c r="E482">
        <f>IF(Table7[[#This Row],[Response]]="","",CHOOSE(MATCH(Table7[[#This Row],[Response]],{"Strongly Agree","Agree","Neutral","Disagree","Strongly Disagree","Not Applicable"},0),5,4,3,2,1,""))</f>
        <v>2</v>
      </c>
      <c r="F482">
        <f>Table7[[#This Row],[Scores]] * 20</f>
        <v>40</v>
      </c>
      <c r="G482">
        <f>IF(OR(Table7[[#This Row],[Response]]="Strongly Agree",Table7[[#This Row],[Response]]="Agree"),1,0)</f>
        <v>0</v>
      </c>
      <c r="H482" t="str">
        <f>_xlfn.XLOOKUP(Table7[[#This Row],[QuestionID]], FinalQuestions!$A:$A, FinalQuestions!$D:$D,"")</f>
        <v xml:space="preserve">Leadership Example‑Setting in Risk Management </v>
      </c>
      <c r="I482" t="s">
        <v>267</v>
      </c>
    </row>
    <row r="483" spans="1:9" x14ac:dyDescent="0.35">
      <c r="A483" t="s">
        <v>103</v>
      </c>
      <c r="B483" t="s">
        <v>15</v>
      </c>
      <c r="C483" t="s">
        <v>6</v>
      </c>
      <c r="D483" t="str">
        <f>VLOOKUP(Table7[[#This Row],[QuestionID]], FinalQuestions!$A:$C, 3, FALSE)</f>
        <v>Role Modelling</v>
      </c>
      <c r="E483">
        <f>IF(Table7[[#This Row],[Response]]="","",CHOOSE(MATCH(Table7[[#This Row],[Response]],{"Strongly Agree","Agree","Neutral","Disagree","Strongly Disagree","Not Applicable"},0),5,4,3,2,1,""))</f>
        <v>2</v>
      </c>
      <c r="F483">
        <f>Table7[[#This Row],[Scores]] * 20</f>
        <v>40</v>
      </c>
      <c r="G483">
        <f>IF(OR(Table7[[#This Row],[Response]]="Strongly Agree",Table7[[#This Row],[Response]]="Agree"),1,0)</f>
        <v>0</v>
      </c>
      <c r="H483" t="str">
        <f>_xlfn.XLOOKUP(Table7[[#This Row],[QuestionID]], FinalQuestions!$A:$A, FinalQuestions!$D:$D,"")</f>
        <v>Executive Commitment to Risk Culture</v>
      </c>
      <c r="I483" t="s">
        <v>267</v>
      </c>
    </row>
    <row r="484" spans="1:9" x14ac:dyDescent="0.35">
      <c r="A484" t="s">
        <v>103</v>
      </c>
      <c r="B484" t="s">
        <v>17</v>
      </c>
      <c r="C484" t="s">
        <v>2</v>
      </c>
      <c r="D484" t="str">
        <f>VLOOKUP(Table7[[#This Row],[QuestionID]], FinalQuestions!$A:$C, 3, FALSE)</f>
        <v>Role Modelling</v>
      </c>
      <c r="E484">
        <f>IF(Table7[[#This Row],[Response]]="","",CHOOSE(MATCH(Table7[[#This Row],[Response]],{"Strongly Agree","Agree","Neutral","Disagree","Strongly Disagree","Not Applicable"},0),5,4,3,2,1,""))</f>
        <v>4</v>
      </c>
      <c r="F484">
        <f>Table7[[#This Row],[Scores]] * 20</f>
        <v>80</v>
      </c>
      <c r="G484">
        <f>IF(OR(Table7[[#This Row],[Response]]="Strongly Agree",Table7[[#This Row],[Response]]="Agree"),1,0)</f>
        <v>1</v>
      </c>
      <c r="H484" t="str">
        <f>_xlfn.XLOOKUP(Table7[[#This Row],[QuestionID]], FinalQuestions!$A:$A, FinalQuestions!$D:$D,"")</f>
        <v>Leadership Encouragement to Escalate Risks</v>
      </c>
      <c r="I484" t="s">
        <v>267</v>
      </c>
    </row>
    <row r="485" spans="1:9" x14ac:dyDescent="0.35">
      <c r="A485" t="s">
        <v>103</v>
      </c>
      <c r="B485" t="s">
        <v>19</v>
      </c>
      <c r="C485" t="s">
        <v>6</v>
      </c>
      <c r="D485" t="str">
        <f>VLOOKUP(Table7[[#This Row],[QuestionID]], FinalQuestions!$A:$C, 3, FALSE)</f>
        <v>Role Modelling</v>
      </c>
      <c r="E485">
        <f>IF(Table7[[#This Row],[Response]]="","",CHOOSE(MATCH(Table7[[#This Row],[Response]],{"Strongly Agree","Agree","Neutral","Disagree","Strongly Disagree","Not Applicable"},0),5,4,3,2,1,""))</f>
        <v>2</v>
      </c>
      <c r="F485">
        <f>Table7[[#This Row],[Scores]] * 20</f>
        <v>40</v>
      </c>
      <c r="G485">
        <f>IF(OR(Table7[[#This Row],[Response]]="Strongly Agree",Table7[[#This Row],[Response]]="Agree"),1,0)</f>
        <v>0</v>
      </c>
      <c r="H485" t="str">
        <f>_xlfn.XLOOKUP(Table7[[#This Row],[QuestionID]], FinalQuestions!$A:$A, FinalQuestions!$D:$D,"")</f>
        <v>Long-Term Decision Awareness</v>
      </c>
      <c r="I485" t="s">
        <v>267</v>
      </c>
    </row>
    <row r="486" spans="1:9" x14ac:dyDescent="0.35">
      <c r="A486" t="s">
        <v>103</v>
      </c>
      <c r="B486" t="s">
        <v>21</v>
      </c>
      <c r="C486" t="s">
        <v>4</v>
      </c>
      <c r="D486" t="str">
        <f>VLOOKUP(Table7[[#This Row],[QuestionID]], FinalQuestions!$A:$C, 3, FALSE)</f>
        <v>Discussability</v>
      </c>
      <c r="E486">
        <f>IF(Table7[[#This Row],[Response]]="","",CHOOSE(MATCH(Table7[[#This Row],[Response]],{"Strongly Agree","Agree","Neutral","Disagree","Strongly Disagree","Not Applicable"},0),5,4,3,2,1,""))</f>
        <v>3</v>
      </c>
      <c r="F486">
        <f>Table7[[#This Row],[Scores]] * 20</f>
        <v>60</v>
      </c>
      <c r="G486">
        <f>IF(OR(Table7[[#This Row],[Response]]="Strongly Agree",Table7[[#This Row],[Response]]="Agree"),1,0)</f>
        <v>0</v>
      </c>
      <c r="H486" t="str">
        <f>_xlfn.XLOOKUP(Table7[[#This Row],[QuestionID]], FinalQuestions!$A:$A, FinalQuestions!$D:$D,"")</f>
        <v>Openness to Discussions</v>
      </c>
      <c r="I486" t="s">
        <v>267</v>
      </c>
    </row>
    <row r="487" spans="1:9" x14ac:dyDescent="0.35">
      <c r="A487" t="s">
        <v>103</v>
      </c>
      <c r="B487" t="s">
        <v>23</v>
      </c>
      <c r="C487" t="s">
        <v>85</v>
      </c>
      <c r="D487" t="str">
        <f>VLOOKUP(Table7[[#This Row],[QuestionID]], FinalQuestions!$A:$C, 3, FALSE)</f>
        <v>Discussability</v>
      </c>
      <c r="E487">
        <f>IF(Table7[[#This Row],[Response]]="","",CHOOSE(MATCH(Table7[[#This Row],[Response]],{"Strongly Agree","Agree","Neutral","Disagree","Strongly Disagree","Not Applicable"},0),5,4,3,2,1,""))</f>
        <v>5</v>
      </c>
      <c r="F487">
        <f>Table7[[#This Row],[Scores]] * 20</f>
        <v>100</v>
      </c>
      <c r="G487">
        <f>IF(OR(Table7[[#This Row],[Response]]="Strongly Agree",Table7[[#This Row],[Response]]="Agree"),1,0)</f>
        <v>1</v>
      </c>
      <c r="H487" t="str">
        <f>_xlfn.XLOOKUP(Table7[[#This Row],[QuestionID]], FinalQuestions!$A:$A, FinalQuestions!$D:$D,"")</f>
        <v>Access to Guidance</v>
      </c>
      <c r="I487" t="s">
        <v>267</v>
      </c>
    </row>
    <row r="488" spans="1:9" x14ac:dyDescent="0.35">
      <c r="A488" t="s">
        <v>103</v>
      </c>
      <c r="B488" t="s">
        <v>25</v>
      </c>
      <c r="C488" t="s">
        <v>85</v>
      </c>
      <c r="D488" t="str">
        <f>VLOOKUP(Table7[[#This Row],[QuestionID]], FinalQuestions!$A:$C, 3, FALSE)</f>
        <v>Discussability</v>
      </c>
      <c r="E488">
        <f>IF(Table7[[#This Row],[Response]]="","",CHOOSE(MATCH(Table7[[#This Row],[Response]],{"Strongly Agree","Agree","Neutral","Disagree","Strongly Disagree","Not Applicable"},0),5,4,3,2,1,""))</f>
        <v>5</v>
      </c>
      <c r="F488">
        <f>Table7[[#This Row],[Scores]] * 20</f>
        <v>100</v>
      </c>
      <c r="G488">
        <f>IF(OR(Table7[[#This Row],[Response]]="Strongly Agree",Table7[[#This Row],[Response]]="Agree"),1,0)</f>
        <v>1</v>
      </c>
      <c r="H488" t="str">
        <f>_xlfn.XLOOKUP(Table7[[#This Row],[QuestionID]], FinalQuestions!$A:$A, FinalQuestions!$D:$D,"")</f>
        <v>Openness to Sharing Opinions</v>
      </c>
      <c r="I488" t="s">
        <v>267</v>
      </c>
    </row>
    <row r="489" spans="1:9" x14ac:dyDescent="0.35">
      <c r="A489" t="s">
        <v>103</v>
      </c>
      <c r="B489" t="s">
        <v>27</v>
      </c>
      <c r="C489" t="s">
        <v>2</v>
      </c>
      <c r="D489" t="str">
        <f>VLOOKUP(Table7[[#This Row],[QuestionID]], FinalQuestions!$A:$C, 3, FALSE)</f>
        <v>Discussability</v>
      </c>
      <c r="E489">
        <f>IF(Table7[[#This Row],[Response]]="","",CHOOSE(MATCH(Table7[[#This Row],[Response]],{"Strongly Agree","Agree","Neutral","Disagree","Strongly Disagree","Not Applicable"},0),5,4,3,2,1,""))</f>
        <v>4</v>
      </c>
      <c r="F489">
        <f>Table7[[#This Row],[Scores]] * 20</f>
        <v>80</v>
      </c>
      <c r="G489">
        <f>IF(OR(Table7[[#This Row],[Response]]="Strongly Agree",Table7[[#This Row],[Response]]="Agree"),1,0)</f>
        <v>1</v>
      </c>
      <c r="H489" t="str">
        <f>_xlfn.XLOOKUP(Table7[[#This Row],[QuestionID]], FinalQuestions!$A:$A, FinalQuestions!$D:$D,"")</f>
        <v>Comfort in Reporting Risk Dilemmas</v>
      </c>
      <c r="I489" t="s">
        <v>267</v>
      </c>
    </row>
    <row r="490" spans="1:9" x14ac:dyDescent="0.35">
      <c r="A490" t="s">
        <v>103</v>
      </c>
      <c r="B490" t="s">
        <v>29</v>
      </c>
      <c r="C490" t="s">
        <v>6</v>
      </c>
      <c r="D490" t="str">
        <f>VLOOKUP(Table7[[#This Row],[QuestionID]], FinalQuestions!$A:$C, 3, FALSE)</f>
        <v>Achievability</v>
      </c>
      <c r="E490">
        <f>IF(Table7[[#This Row],[Response]]="","",CHOOSE(MATCH(Table7[[#This Row],[Response]],{"Strongly Agree","Agree","Neutral","Disagree","Strongly Disagree","Not Applicable"},0),5,4,3,2,1,""))</f>
        <v>2</v>
      </c>
      <c r="F490">
        <f>Table7[[#This Row],[Scores]] * 20</f>
        <v>40</v>
      </c>
      <c r="G490">
        <f>IF(OR(Table7[[#This Row],[Response]]="Strongly Agree",Table7[[#This Row],[Response]]="Agree"),1,0)</f>
        <v>0</v>
      </c>
      <c r="H490" t="str">
        <f>_xlfn.XLOOKUP(Table7[[#This Row],[QuestionID]], FinalQuestions!$A:$A, FinalQuestions!$D:$D,"")</f>
        <v>Adequacy of Risk Management Training</v>
      </c>
      <c r="I490" t="s">
        <v>267</v>
      </c>
    </row>
    <row r="491" spans="1:9" x14ac:dyDescent="0.35">
      <c r="A491" t="s">
        <v>103</v>
      </c>
      <c r="B491" t="s">
        <v>31</v>
      </c>
      <c r="C491" t="s">
        <v>4</v>
      </c>
      <c r="D491" t="str">
        <f>VLOOKUP(Table7[[#This Row],[QuestionID]], FinalQuestions!$A:$C, 3, FALSE)</f>
        <v>Achievability</v>
      </c>
      <c r="E491">
        <f>IF(Table7[[#This Row],[Response]]="","",CHOOSE(MATCH(Table7[[#This Row],[Response]],{"Strongly Agree","Agree","Neutral","Disagree","Strongly Disagree","Not Applicable"},0),5,4,3,2,1,""))</f>
        <v>3</v>
      </c>
      <c r="F491">
        <f>Table7[[#This Row],[Scores]] * 20</f>
        <v>60</v>
      </c>
      <c r="G491">
        <f>IF(OR(Table7[[#This Row],[Response]]="Strongly Agree",Table7[[#This Row],[Response]]="Agree"),1,0)</f>
        <v>0</v>
      </c>
      <c r="H491" t="str">
        <f>_xlfn.XLOOKUP(Table7[[#This Row],[QuestionID]], FinalQuestions!$A:$A, FinalQuestions!$D:$D,"")</f>
        <v>Workload Balance &amp; Resource Sufficiency</v>
      </c>
      <c r="I491" t="s">
        <v>267</v>
      </c>
    </row>
    <row r="492" spans="1:9" x14ac:dyDescent="0.35">
      <c r="A492" t="s">
        <v>103</v>
      </c>
      <c r="B492" t="s">
        <v>33</v>
      </c>
      <c r="C492" t="s">
        <v>85</v>
      </c>
      <c r="D492" t="str">
        <f>VLOOKUP(Table7[[#This Row],[QuestionID]], FinalQuestions!$A:$C, 3, FALSE)</f>
        <v>Achievability</v>
      </c>
      <c r="E492">
        <f>IF(Table7[[#This Row],[Response]]="","",CHOOSE(MATCH(Table7[[#This Row],[Response]],{"Strongly Agree","Agree","Neutral","Disagree","Strongly Disagree","Not Applicable"},0),5,4,3,2,1,""))</f>
        <v>5</v>
      </c>
      <c r="F492">
        <f>Table7[[#This Row],[Scores]] * 20</f>
        <v>100</v>
      </c>
      <c r="G492">
        <f>IF(OR(Table7[[#This Row],[Response]]="Strongly Agree",Table7[[#This Row],[Response]]="Agree"),1,0)</f>
        <v>1</v>
      </c>
      <c r="H492" t="str">
        <f>_xlfn.XLOOKUP(Table7[[#This Row],[QuestionID]], FinalQuestions!$A:$A, FinalQuestions!$D:$D,"")</f>
        <v>Realistic Target Setting</v>
      </c>
      <c r="I492" t="s">
        <v>267</v>
      </c>
    </row>
    <row r="493" spans="1:9" x14ac:dyDescent="0.35">
      <c r="A493" t="s">
        <v>103</v>
      </c>
      <c r="B493" t="s">
        <v>35</v>
      </c>
      <c r="C493" t="s">
        <v>2</v>
      </c>
      <c r="D493" t="str">
        <f>VLOOKUP(Table7[[#This Row],[QuestionID]], FinalQuestions!$A:$C, 3, FALSE)</f>
        <v>Achievability</v>
      </c>
      <c r="E493">
        <f>IF(Table7[[#This Row],[Response]]="","",CHOOSE(MATCH(Table7[[#This Row],[Response]],{"Strongly Agree","Agree","Neutral","Disagree","Strongly Disagree","Not Applicable"},0),5,4,3,2,1,""))</f>
        <v>4</v>
      </c>
      <c r="F493">
        <f>Table7[[#This Row],[Scores]] * 20</f>
        <v>80</v>
      </c>
      <c r="G493">
        <f>IF(OR(Table7[[#This Row],[Response]]="Strongly Agree",Table7[[#This Row],[Response]]="Agree"),1,0)</f>
        <v>1</v>
      </c>
      <c r="H493" t="str">
        <f>_xlfn.XLOOKUP(Table7[[#This Row],[QuestionID]], FinalQuestions!$A:$A, FinalQuestions!$D:$D,"")</f>
        <v>Risk Insight in Decision Making</v>
      </c>
      <c r="I493" t="s">
        <v>267</v>
      </c>
    </row>
    <row r="494" spans="1:9" x14ac:dyDescent="0.35">
      <c r="A494" t="s">
        <v>103</v>
      </c>
      <c r="B494" t="s">
        <v>37</v>
      </c>
      <c r="C494" t="s">
        <v>6</v>
      </c>
      <c r="D494" t="str">
        <f>VLOOKUP(Table7[[#This Row],[QuestionID]], FinalQuestions!$A:$C, 3, FALSE)</f>
        <v>Enforcement</v>
      </c>
      <c r="E494">
        <f>IF(Table7[[#This Row],[Response]]="","",CHOOSE(MATCH(Table7[[#This Row],[Response]],{"Strongly Agree","Agree","Neutral","Disagree","Strongly Disagree","Not Applicable"},0),5,4,3,2,1,""))</f>
        <v>2</v>
      </c>
      <c r="F494">
        <f>Table7[[#This Row],[Scores]] * 20</f>
        <v>40</v>
      </c>
      <c r="G494">
        <f>IF(OR(Table7[[#This Row],[Response]]="Strongly Agree",Table7[[#This Row],[Response]]="Agree"),1,0)</f>
        <v>0</v>
      </c>
      <c r="H494" t="str">
        <f>_xlfn.XLOOKUP(Table7[[#This Row],[QuestionID]], FinalQuestions!$A:$A, FinalQuestions!$D:$D,"")</f>
        <v>Learning Culture from Non‑Compliance Cases</v>
      </c>
      <c r="I494" t="s">
        <v>267</v>
      </c>
    </row>
    <row r="495" spans="1:9" x14ac:dyDescent="0.35">
      <c r="A495" t="s">
        <v>103</v>
      </c>
      <c r="B495" t="s">
        <v>39</v>
      </c>
      <c r="C495" t="s">
        <v>4</v>
      </c>
      <c r="D495" t="str">
        <f>VLOOKUP(Table7[[#This Row],[QuestionID]], FinalQuestions!$A:$C, 3, FALSE)</f>
        <v>Enforcement</v>
      </c>
      <c r="E495">
        <f>IF(Table7[[#This Row],[Response]]="","",CHOOSE(MATCH(Table7[[#This Row],[Response]],{"Strongly Agree","Agree","Neutral","Disagree","Strongly Disagree","Not Applicable"},0),5,4,3,2,1,""))</f>
        <v>3</v>
      </c>
      <c r="F495">
        <f>Table7[[#This Row],[Scores]] * 20</f>
        <v>60</v>
      </c>
      <c r="G495">
        <f>IF(OR(Table7[[#This Row],[Response]]="Strongly Agree",Table7[[#This Row],[Response]]="Agree"),1,0)</f>
        <v>0</v>
      </c>
      <c r="H495" t="str">
        <f>_xlfn.XLOOKUP(Table7[[#This Row],[QuestionID]], FinalQuestions!$A:$A, FinalQuestions!$D:$D,"")</f>
        <v>Organizational View on Risk Culture</v>
      </c>
      <c r="I495" t="s">
        <v>267</v>
      </c>
    </row>
    <row r="496" spans="1:9" x14ac:dyDescent="0.35">
      <c r="A496" t="s">
        <v>103</v>
      </c>
      <c r="B496" t="s">
        <v>41</v>
      </c>
      <c r="C496" t="s">
        <v>85</v>
      </c>
      <c r="D496" t="str">
        <f>VLOOKUP(Table7[[#This Row],[QuestionID]], FinalQuestions!$A:$C, 3, FALSE)</f>
        <v>Enforcement</v>
      </c>
      <c r="E496">
        <f>IF(Table7[[#This Row],[Response]]="","",CHOOSE(MATCH(Table7[[#This Row],[Response]],{"Strongly Agree","Agree","Neutral","Disagree","Strongly Disagree","Not Applicable"},0),5,4,3,2,1,""))</f>
        <v>5</v>
      </c>
      <c r="F496">
        <f>Table7[[#This Row],[Scores]] * 20</f>
        <v>100</v>
      </c>
      <c r="G496">
        <f>IF(OR(Table7[[#This Row],[Response]]="Strongly Agree",Table7[[#This Row],[Response]]="Agree"),1,0)</f>
        <v>1</v>
      </c>
      <c r="H496" t="str">
        <f>_xlfn.XLOOKUP(Table7[[#This Row],[QuestionID]], FinalQuestions!$A:$A, FinalQuestions!$D:$D,"")</f>
        <v>Compliance Recognition &amp; enforcement</v>
      </c>
      <c r="I496" t="s">
        <v>267</v>
      </c>
    </row>
    <row r="497" spans="1:9" x14ac:dyDescent="0.35">
      <c r="A497" t="s">
        <v>103</v>
      </c>
      <c r="B497" t="s">
        <v>43</v>
      </c>
      <c r="C497" t="s">
        <v>85</v>
      </c>
      <c r="D497" t="str">
        <f>VLOOKUP(Table7[[#This Row],[QuestionID]], FinalQuestions!$A:$C, 3, FALSE)</f>
        <v>Enforcement</v>
      </c>
      <c r="E497">
        <f>IF(Table7[[#This Row],[Response]]="","",CHOOSE(MATCH(Table7[[#This Row],[Response]],{"Strongly Agree","Agree","Neutral","Disagree","Strongly Disagree","Not Applicable"},0),5,4,3,2,1,""))</f>
        <v>5</v>
      </c>
      <c r="F497">
        <f>Table7[[#This Row],[Scores]] * 20</f>
        <v>100</v>
      </c>
      <c r="G497">
        <f>IF(OR(Table7[[#This Row],[Response]]="Strongly Agree",Table7[[#This Row],[Response]]="Agree"),1,0)</f>
        <v>1</v>
      </c>
      <c r="H497" t="str">
        <f>_xlfn.XLOOKUP(Table7[[#This Row],[QuestionID]], FinalQuestions!$A:$A, FinalQuestions!$D:$D,"")</f>
        <v>Sense of Ownership</v>
      </c>
      <c r="I497" t="s">
        <v>267</v>
      </c>
    </row>
    <row r="498" spans="1:9" x14ac:dyDescent="0.35">
      <c r="A498" t="s">
        <v>103</v>
      </c>
      <c r="B498" t="s">
        <v>45</v>
      </c>
      <c r="C498" t="s">
        <v>2</v>
      </c>
      <c r="D498" t="str">
        <f>VLOOKUP(Table7[[#This Row],[QuestionID]], FinalQuestions!$A:$C, 3, FALSE)</f>
        <v>Clarity</v>
      </c>
      <c r="E498">
        <f>IF(Table7[[#This Row],[Response]]="","",CHOOSE(MATCH(Table7[[#This Row],[Response]],{"Strongly Agree","Agree","Neutral","Disagree","Strongly Disagree","Not Applicable"},0),5,4,3,2,1,""))</f>
        <v>4</v>
      </c>
      <c r="F498">
        <f>Table7[[#This Row],[Scores]] * 20</f>
        <v>80</v>
      </c>
      <c r="G498">
        <f>IF(OR(Table7[[#This Row],[Response]]="Strongly Agree",Table7[[#This Row],[Response]]="Agree"),1,0)</f>
        <v>1</v>
      </c>
      <c r="H498" t="str">
        <f>_xlfn.XLOOKUP(Table7[[#This Row],[QuestionID]], FinalQuestions!$A:$A, FinalQuestions!$D:$D,"")</f>
        <v>Clarity of Role and Responsibilities</v>
      </c>
      <c r="I498" t="s">
        <v>267</v>
      </c>
    </row>
    <row r="499" spans="1:9" x14ac:dyDescent="0.35">
      <c r="A499" t="s">
        <v>103</v>
      </c>
      <c r="B499" t="s">
        <v>47</v>
      </c>
      <c r="C499" t="s">
        <v>4</v>
      </c>
      <c r="D499" t="str">
        <f>VLOOKUP(Table7[[#This Row],[QuestionID]], FinalQuestions!$A:$C, 3, FALSE)</f>
        <v>Clarity</v>
      </c>
      <c r="E499">
        <f>IF(Table7[[#This Row],[Response]]="","",CHOOSE(MATCH(Table7[[#This Row],[Response]],{"Strongly Agree","Agree","Neutral","Disagree","Strongly Disagree","Not Applicable"},0),5,4,3,2,1,""))</f>
        <v>3</v>
      </c>
      <c r="F499">
        <f>Table7[[#This Row],[Scores]] * 20</f>
        <v>60</v>
      </c>
      <c r="G499">
        <f>IF(OR(Table7[[#This Row],[Response]]="Strongly Agree",Table7[[#This Row],[Response]]="Agree"),1,0)</f>
        <v>0</v>
      </c>
      <c r="H499" t="str">
        <f>_xlfn.XLOOKUP(Table7[[#This Row],[QuestionID]], FinalQuestions!$A:$A, FinalQuestions!$D:$D,"")</f>
        <v>Understanding of Risk Policies &amp; Procedures</v>
      </c>
      <c r="I499" t="s">
        <v>267</v>
      </c>
    </row>
    <row r="500" spans="1:9" x14ac:dyDescent="0.35">
      <c r="A500" t="s">
        <v>103</v>
      </c>
      <c r="B500" t="s">
        <v>49</v>
      </c>
      <c r="C500" t="s">
        <v>85</v>
      </c>
      <c r="D500" t="str">
        <f>VLOOKUP(Table7[[#This Row],[QuestionID]], FinalQuestions!$A:$C, 3, FALSE)</f>
        <v>Clarity</v>
      </c>
      <c r="E500">
        <f>IF(Table7[[#This Row],[Response]]="","",CHOOSE(MATCH(Table7[[#This Row],[Response]],{"Strongly Agree","Agree","Neutral","Disagree","Strongly Disagree","Not Applicable"},0),5,4,3,2,1,""))</f>
        <v>5</v>
      </c>
      <c r="F500">
        <f>Table7[[#This Row],[Scores]] * 20</f>
        <v>100</v>
      </c>
      <c r="G500">
        <f>IF(OR(Table7[[#This Row],[Response]]="Strongly Agree",Table7[[#This Row],[Response]]="Agree"),1,0)</f>
        <v>1</v>
      </c>
      <c r="H500" t="str">
        <f>_xlfn.XLOOKUP(Table7[[#This Row],[QuestionID]], FinalQuestions!$A:$A, FinalQuestions!$D:$D,"")</f>
        <v>Clarity of Personal Risk Boundaries</v>
      </c>
      <c r="I500" t="s">
        <v>267</v>
      </c>
    </row>
    <row r="501" spans="1:9" x14ac:dyDescent="0.35">
      <c r="A501" t="s">
        <v>103</v>
      </c>
      <c r="B501" t="s">
        <v>51</v>
      </c>
      <c r="C501" t="s">
        <v>2</v>
      </c>
      <c r="D501" t="str">
        <f>VLOOKUP(Table7[[#This Row],[QuestionID]], FinalQuestions!$A:$C, 3, FALSE)</f>
        <v>Clarity</v>
      </c>
      <c r="E501">
        <f>IF(Table7[[#This Row],[Response]]="","",CHOOSE(MATCH(Table7[[#This Row],[Response]],{"Strongly Agree","Agree","Neutral","Disagree","Strongly Disagree","Not Applicable"},0),5,4,3,2,1,""))</f>
        <v>4</v>
      </c>
      <c r="F501">
        <f>Table7[[#This Row],[Scores]] * 20</f>
        <v>80</v>
      </c>
      <c r="G501">
        <f>IF(OR(Table7[[#This Row],[Response]]="Strongly Agree",Table7[[#This Row],[Response]]="Agree"),1,0)</f>
        <v>1</v>
      </c>
      <c r="H501" t="str">
        <f>_xlfn.XLOOKUP(Table7[[#This Row],[QuestionID]], FinalQuestions!$A:$A, FinalQuestions!$D:$D,"")</f>
        <v>Effectiveness of Risk Communication &amp; Training</v>
      </c>
      <c r="I501" t="s">
        <v>267</v>
      </c>
    </row>
    <row r="502" spans="1:9" x14ac:dyDescent="0.35">
      <c r="A502" t="s">
        <v>103</v>
      </c>
      <c r="B502" t="s">
        <v>53</v>
      </c>
      <c r="C502" t="s">
        <v>6</v>
      </c>
      <c r="D502" t="str">
        <f>VLOOKUP(Table7[[#This Row],[QuestionID]], FinalQuestions!$A:$C, 3, FALSE)</f>
        <v>Transparency</v>
      </c>
      <c r="E502">
        <f>IF(Table7[[#This Row],[Response]]="","",CHOOSE(MATCH(Table7[[#This Row],[Response]],{"Strongly Agree","Agree","Neutral","Disagree","Strongly Disagree","Not Applicable"},0),5,4,3,2,1,""))</f>
        <v>2</v>
      </c>
      <c r="F502">
        <f>Table7[[#This Row],[Scores]] * 20</f>
        <v>40</v>
      </c>
      <c r="G502">
        <f>IF(OR(Table7[[#This Row],[Response]]="Strongly Agree",Table7[[#This Row],[Response]]="Agree"),1,0)</f>
        <v>0</v>
      </c>
      <c r="H502" t="str">
        <f>_xlfn.XLOOKUP(Table7[[#This Row],[QuestionID]], FinalQuestions!$A:$A, FinalQuestions!$D:$D,"")</f>
        <v>Compliance Confidence in team</v>
      </c>
      <c r="I502" t="s">
        <v>267</v>
      </c>
    </row>
    <row r="503" spans="1:9" x14ac:dyDescent="0.35">
      <c r="A503" t="s">
        <v>103</v>
      </c>
      <c r="B503" t="s">
        <v>55</v>
      </c>
      <c r="C503" t="s">
        <v>6</v>
      </c>
      <c r="D503" t="str">
        <f>VLOOKUP(Table7[[#This Row],[QuestionID]], FinalQuestions!$A:$C, 3, FALSE)</f>
        <v>Transparency</v>
      </c>
      <c r="E503">
        <f>IF(Table7[[#This Row],[Response]]="","",CHOOSE(MATCH(Table7[[#This Row],[Response]],{"Strongly Agree","Agree","Neutral","Disagree","Strongly Disagree","Not Applicable"},0),5,4,3,2,1,""))</f>
        <v>2</v>
      </c>
      <c r="F503">
        <f>Table7[[#This Row],[Scores]] * 20</f>
        <v>40</v>
      </c>
      <c r="G503">
        <f>IF(OR(Table7[[#This Row],[Response]]="Strongly Agree",Table7[[#This Row],[Response]]="Agree"),1,0)</f>
        <v>0</v>
      </c>
      <c r="H503" t="str">
        <f>_xlfn.XLOOKUP(Table7[[#This Row],[QuestionID]], FinalQuestions!$A:$A, FinalQuestions!$D:$D,"")</f>
        <v>Transparency in Decision‑Making</v>
      </c>
      <c r="I503" t="s">
        <v>267</v>
      </c>
    </row>
    <row r="504" spans="1:9" x14ac:dyDescent="0.35">
      <c r="A504" t="s">
        <v>103</v>
      </c>
      <c r="B504" t="s">
        <v>57</v>
      </c>
      <c r="C504" t="s">
        <v>2</v>
      </c>
      <c r="D504" t="str">
        <f>VLOOKUP(Table7[[#This Row],[QuestionID]], FinalQuestions!$A:$C, 3, FALSE)</f>
        <v>Transparency</v>
      </c>
      <c r="E504">
        <f>IF(Table7[[#This Row],[Response]]="","",CHOOSE(MATCH(Table7[[#This Row],[Response]],{"Strongly Agree","Agree","Neutral","Disagree","Strongly Disagree","Not Applicable"},0),5,4,3,2,1,""))</f>
        <v>4</v>
      </c>
      <c r="F504">
        <f>Table7[[#This Row],[Scores]] * 20</f>
        <v>80</v>
      </c>
      <c r="G504">
        <f>IF(OR(Table7[[#This Row],[Response]]="Strongly Agree",Table7[[#This Row],[Response]]="Agree"),1,0)</f>
        <v>1</v>
      </c>
      <c r="H504" t="str">
        <f>_xlfn.XLOOKUP(Table7[[#This Row],[QuestionID]], FinalQuestions!$A:$A, FinalQuestions!$D:$D,"")</f>
        <v>Fairness &amp; Equity of Expectations</v>
      </c>
      <c r="I504" t="s">
        <v>267</v>
      </c>
    </row>
    <row r="505" spans="1:9" x14ac:dyDescent="0.35">
      <c r="A505" t="s">
        <v>103</v>
      </c>
      <c r="B505" t="s">
        <v>59</v>
      </c>
      <c r="C505" t="s">
        <v>6</v>
      </c>
      <c r="D505" t="str">
        <f>VLOOKUP(Table7[[#This Row],[QuestionID]], FinalQuestions!$A:$C, 3, FALSE)</f>
        <v>Transparency</v>
      </c>
      <c r="E505">
        <f>IF(Table7[[#This Row],[Response]]="","",CHOOSE(MATCH(Table7[[#This Row],[Response]],{"Strongly Agree","Agree","Neutral","Disagree","Strongly Disagree","Not Applicable"},0),5,4,3,2,1,""))</f>
        <v>2</v>
      </c>
      <c r="F505">
        <f>Table7[[#This Row],[Scores]] * 20</f>
        <v>40</v>
      </c>
      <c r="G505">
        <f>IF(OR(Table7[[#This Row],[Response]]="Strongly Agree",Table7[[#This Row],[Response]]="Agree"),1,0)</f>
        <v>0</v>
      </c>
      <c r="H505" t="str">
        <f>_xlfn.XLOOKUP(Table7[[#This Row],[QuestionID]], FinalQuestions!$A:$A, FinalQuestions!$D:$D,"")</f>
        <v>Leadership Awareness in the team</v>
      </c>
      <c r="I505" t="s">
        <v>267</v>
      </c>
    </row>
    <row r="506" spans="1:9" x14ac:dyDescent="0.35">
      <c r="A506" t="s">
        <v>103</v>
      </c>
      <c r="B506" t="s">
        <v>61</v>
      </c>
      <c r="C506" t="s">
        <v>4</v>
      </c>
      <c r="D506" t="str">
        <f>VLOOKUP(Table7[[#This Row],[QuestionID]], FinalQuestions!$A:$C, 3, FALSE)</f>
        <v>Commitment</v>
      </c>
      <c r="E506">
        <f>IF(Table7[[#This Row],[Response]]="","",CHOOSE(MATCH(Table7[[#This Row],[Response]],{"Strongly Agree","Agree","Neutral","Disagree","Strongly Disagree","Not Applicable"},0),5,4,3,2,1,""))</f>
        <v>3</v>
      </c>
      <c r="F506">
        <f>Table7[[#This Row],[Scores]] * 20</f>
        <v>60</v>
      </c>
      <c r="G506">
        <f>IF(OR(Table7[[#This Row],[Response]]="Strongly Agree",Table7[[#This Row],[Response]]="Agree"),1,0)</f>
        <v>0</v>
      </c>
      <c r="H506" t="str">
        <f>_xlfn.XLOOKUP(Table7[[#This Row],[QuestionID]], FinalQuestions!$A:$A, FinalQuestions!$D:$D,"")</f>
        <v>Motivation for Risk Ownership</v>
      </c>
      <c r="I506" t="s">
        <v>267</v>
      </c>
    </row>
    <row r="507" spans="1:9" x14ac:dyDescent="0.35">
      <c r="A507" t="s">
        <v>103</v>
      </c>
      <c r="B507" t="s">
        <v>63</v>
      </c>
      <c r="C507" t="s">
        <v>85</v>
      </c>
      <c r="D507" t="str">
        <f>VLOOKUP(Table7[[#This Row],[QuestionID]], FinalQuestions!$A:$C, 3, FALSE)</f>
        <v>Commitment</v>
      </c>
      <c r="E507">
        <f>IF(Table7[[#This Row],[Response]]="","",CHOOSE(MATCH(Table7[[#This Row],[Response]],{"Strongly Agree","Agree","Neutral","Disagree","Strongly Disagree","Not Applicable"},0),5,4,3,2,1,""))</f>
        <v>5</v>
      </c>
      <c r="F507">
        <f>Table7[[#This Row],[Scores]] * 20</f>
        <v>100</v>
      </c>
      <c r="G507">
        <f>IF(OR(Table7[[#This Row],[Response]]="Strongly Agree",Table7[[#This Row],[Response]]="Agree"),1,0)</f>
        <v>1</v>
      </c>
      <c r="H507" t="str">
        <f>_xlfn.XLOOKUP(Table7[[#This Row],[QuestionID]], FinalQuestions!$A:$A, FinalQuestions!$D:$D,"")</f>
        <v>Sense of Belonging to the Organization</v>
      </c>
      <c r="I507" t="s">
        <v>267</v>
      </c>
    </row>
    <row r="508" spans="1:9" x14ac:dyDescent="0.35">
      <c r="A508" t="s">
        <v>103</v>
      </c>
      <c r="B508" t="s">
        <v>65</v>
      </c>
      <c r="C508" t="s">
        <v>85</v>
      </c>
      <c r="D508" t="str">
        <f>VLOOKUP(Table7[[#This Row],[QuestionID]], FinalQuestions!$A:$C, 3, FALSE)</f>
        <v>Commitment</v>
      </c>
      <c r="E508">
        <f>IF(Table7[[#This Row],[Response]]="","",CHOOSE(MATCH(Table7[[#This Row],[Response]],{"Strongly Agree","Agree","Neutral","Disagree","Strongly Disagree","Not Applicable"},0),5,4,3,2,1,""))</f>
        <v>5</v>
      </c>
      <c r="F508">
        <f>Table7[[#This Row],[Scores]] * 20</f>
        <v>100</v>
      </c>
      <c r="G508">
        <f>IF(OR(Table7[[#This Row],[Response]]="Strongly Agree",Table7[[#This Row],[Response]]="Agree"),1,0)</f>
        <v>1</v>
      </c>
      <c r="H508" t="str">
        <f>_xlfn.XLOOKUP(Table7[[#This Row],[QuestionID]], FinalQuestions!$A:$A, FinalQuestions!$D:$D,"")</f>
        <v>Consideration of Impact on Others</v>
      </c>
      <c r="I508" t="s">
        <v>267</v>
      </c>
    </row>
    <row r="509" spans="1:9" x14ac:dyDescent="0.35">
      <c r="A509" t="s">
        <v>103</v>
      </c>
      <c r="B509" t="s">
        <v>67</v>
      </c>
      <c r="C509" t="s">
        <v>2</v>
      </c>
      <c r="D509" t="str">
        <f>VLOOKUP(Table7[[#This Row],[QuestionID]], FinalQuestions!$A:$C, 3, FALSE)</f>
        <v>Commitment</v>
      </c>
      <c r="E509">
        <f>IF(Table7[[#This Row],[Response]]="","",CHOOSE(MATCH(Table7[[#This Row],[Response]],{"Strongly Agree","Agree","Neutral","Disagree","Strongly Disagree","Not Applicable"},0),5,4,3,2,1,""))</f>
        <v>4</v>
      </c>
      <c r="F509">
        <f>Table7[[#This Row],[Scores]] * 20</f>
        <v>80</v>
      </c>
      <c r="G509">
        <f>IF(OR(Table7[[#This Row],[Response]]="Strongly Agree",Table7[[#This Row],[Response]]="Agree"),1,0)</f>
        <v>1</v>
      </c>
      <c r="H509" t="str">
        <f>_xlfn.XLOOKUP(Table7[[#This Row],[QuestionID]], FinalQuestions!$A:$A, FinalQuestions!$D:$D,"")</f>
        <v>Accountability for Risk Actions</v>
      </c>
      <c r="I509" t="s">
        <v>267</v>
      </c>
    </row>
    <row r="510" spans="1:9" x14ac:dyDescent="0.35">
      <c r="A510" t="s">
        <v>103</v>
      </c>
      <c r="B510" t="s">
        <v>69</v>
      </c>
      <c r="C510" t="s">
        <v>6</v>
      </c>
      <c r="D510" t="str">
        <f>VLOOKUP(Table7[[#This Row],[QuestionID]], FinalQuestions!$A:$C, 3, FALSE)</f>
        <v>Call someone to account</v>
      </c>
      <c r="E510">
        <f>IF(Table7[[#This Row],[Response]]="","",CHOOSE(MATCH(Table7[[#This Row],[Response]],{"Strongly Agree","Agree","Neutral","Disagree","Strongly Disagree","Not Applicable"},0),5,4,3,2,1,""))</f>
        <v>2</v>
      </c>
      <c r="F510">
        <f>Table7[[#This Row],[Scores]] * 20</f>
        <v>40</v>
      </c>
      <c r="G510">
        <f>IF(OR(Table7[[#This Row],[Response]]="Strongly Agree",Table7[[#This Row],[Response]]="Agree"),1,0)</f>
        <v>0</v>
      </c>
      <c r="H510" t="str">
        <f>_xlfn.XLOOKUP(Table7[[#This Row],[QuestionID]], FinalQuestions!$A:$A, FinalQuestions!$D:$D,"")</f>
        <v xml:space="preserve">Peer to peer Accountability </v>
      </c>
      <c r="I510" t="s">
        <v>267</v>
      </c>
    </row>
    <row r="511" spans="1:9" x14ac:dyDescent="0.35">
      <c r="A511" t="s">
        <v>103</v>
      </c>
      <c r="B511" t="s">
        <v>71</v>
      </c>
      <c r="C511" t="s">
        <v>4</v>
      </c>
      <c r="D511" t="str">
        <f>VLOOKUP(Table7[[#This Row],[QuestionID]], FinalQuestions!$A:$C, 3, FALSE)</f>
        <v>Call someone to account</v>
      </c>
      <c r="E511">
        <f>IF(Table7[[#This Row],[Response]]="","",CHOOSE(MATCH(Table7[[#This Row],[Response]],{"Strongly Agree","Agree","Neutral","Disagree","Strongly Disagree","Not Applicable"},0),5,4,3,2,1,""))</f>
        <v>3</v>
      </c>
      <c r="F511">
        <f>Table7[[#This Row],[Scores]] * 20</f>
        <v>60</v>
      </c>
      <c r="G511">
        <f>IF(OR(Table7[[#This Row],[Response]]="Strongly Agree",Table7[[#This Row],[Response]]="Agree"),1,0)</f>
        <v>0</v>
      </c>
      <c r="H511" t="str">
        <f>_xlfn.XLOOKUP(Table7[[#This Row],[QuestionID]], FinalQuestions!$A:$A, FinalQuestions!$D:$D,"")</f>
        <v>Timely Resolution of Accountability Issues</v>
      </c>
      <c r="I511" t="s">
        <v>267</v>
      </c>
    </row>
    <row r="512" spans="1:9" x14ac:dyDescent="0.35">
      <c r="A512" t="s">
        <v>103</v>
      </c>
      <c r="B512" t="s">
        <v>73</v>
      </c>
      <c r="C512" t="s">
        <v>85</v>
      </c>
      <c r="D512" t="str">
        <f>VLOOKUP(Table7[[#This Row],[QuestionID]], FinalQuestions!$A:$C, 3, FALSE)</f>
        <v>Call someone to account</v>
      </c>
      <c r="E512">
        <f>IF(Table7[[#This Row],[Response]]="","",CHOOSE(MATCH(Table7[[#This Row],[Response]],{"Strongly Agree","Agree","Neutral","Disagree","Strongly Disagree","Not Applicable"},0),5,4,3,2,1,""))</f>
        <v>5</v>
      </c>
      <c r="F512">
        <f>Table7[[#This Row],[Scores]] * 20</f>
        <v>100</v>
      </c>
      <c r="G512">
        <f>IF(OR(Table7[[#This Row],[Response]]="Strongly Agree",Table7[[#This Row],[Response]]="Agree"),1,0)</f>
        <v>1</v>
      </c>
      <c r="H512" t="str">
        <f>_xlfn.XLOOKUP(Table7[[#This Row],[QuestionID]], FinalQuestions!$A:$A, FinalQuestions!$D:$D,"")</f>
        <v>Comfort for Reporting Non‑Compliance.</v>
      </c>
      <c r="I512" t="s">
        <v>267</v>
      </c>
    </row>
    <row r="513" spans="1:9" x14ac:dyDescent="0.35">
      <c r="A513" t="s">
        <v>103</v>
      </c>
      <c r="B513" t="s">
        <v>75</v>
      </c>
      <c r="C513" t="s">
        <v>2</v>
      </c>
      <c r="D513" t="str">
        <f>VLOOKUP(Table7[[#This Row],[QuestionID]], FinalQuestions!$A:$C, 3, FALSE)</f>
        <v>Call someone to account</v>
      </c>
      <c r="E513">
        <f>IF(Table7[[#This Row],[Response]]="","",CHOOSE(MATCH(Table7[[#This Row],[Response]],{"Strongly Agree","Agree","Neutral","Disagree","Strongly Disagree","Not Applicable"},0),5,4,3,2,1,""))</f>
        <v>4</v>
      </c>
      <c r="F513">
        <f>Table7[[#This Row],[Scores]] * 20</f>
        <v>80</v>
      </c>
      <c r="G513">
        <f>IF(OR(Table7[[#This Row],[Response]]="Strongly Agree",Table7[[#This Row],[Response]]="Agree"),1,0)</f>
        <v>1</v>
      </c>
      <c r="H513" t="str">
        <f>_xlfn.XLOOKUP(Table7[[#This Row],[QuestionID]], FinalQuestions!$A:$A, FinalQuestions!$D:$D,"")</f>
        <v>Consistency of Conduct Enforcement</v>
      </c>
      <c r="I513" t="s">
        <v>267</v>
      </c>
    </row>
    <row r="514" spans="1:9" x14ac:dyDescent="0.35">
      <c r="A514" t="s">
        <v>104</v>
      </c>
      <c r="B514" t="s">
        <v>13</v>
      </c>
      <c r="C514" t="s">
        <v>6</v>
      </c>
      <c r="D514" t="str">
        <f>VLOOKUP(Table7[[#This Row],[QuestionID]], FinalQuestions!$A:$C, 3, FALSE)</f>
        <v>Role Modelling</v>
      </c>
      <c r="E514">
        <f>IF(Table7[[#This Row],[Response]]="","",CHOOSE(MATCH(Table7[[#This Row],[Response]],{"Strongly Agree","Agree","Neutral","Disagree","Strongly Disagree","Not Applicable"},0),5,4,3,2,1,""))</f>
        <v>2</v>
      </c>
      <c r="F514">
        <f>Table7[[#This Row],[Scores]] * 20</f>
        <v>40</v>
      </c>
      <c r="G514">
        <f>IF(OR(Table7[[#This Row],[Response]]="Strongly Agree",Table7[[#This Row],[Response]]="Agree"),1,0)</f>
        <v>0</v>
      </c>
      <c r="H514" t="str">
        <f>_xlfn.XLOOKUP(Table7[[#This Row],[QuestionID]], FinalQuestions!$A:$A, FinalQuestions!$D:$D,"")</f>
        <v xml:space="preserve">Leadership Example‑Setting in Risk Management </v>
      </c>
      <c r="I514" t="s">
        <v>265</v>
      </c>
    </row>
    <row r="515" spans="1:9" x14ac:dyDescent="0.35">
      <c r="A515" t="s">
        <v>104</v>
      </c>
      <c r="B515" t="s">
        <v>15</v>
      </c>
      <c r="C515" t="s">
        <v>4</v>
      </c>
      <c r="D515" t="str">
        <f>VLOOKUP(Table7[[#This Row],[QuestionID]], FinalQuestions!$A:$C, 3, FALSE)</f>
        <v>Role Modelling</v>
      </c>
      <c r="E515">
        <f>IF(Table7[[#This Row],[Response]]="","",CHOOSE(MATCH(Table7[[#This Row],[Response]],{"Strongly Agree","Agree","Neutral","Disagree","Strongly Disagree","Not Applicable"},0),5,4,3,2,1,""))</f>
        <v>3</v>
      </c>
      <c r="F515">
        <f>Table7[[#This Row],[Scores]] * 20</f>
        <v>60</v>
      </c>
      <c r="G515">
        <f>IF(OR(Table7[[#This Row],[Response]]="Strongly Agree",Table7[[#This Row],[Response]]="Agree"),1,0)</f>
        <v>0</v>
      </c>
      <c r="H515" t="str">
        <f>_xlfn.XLOOKUP(Table7[[#This Row],[QuestionID]], FinalQuestions!$A:$A, FinalQuestions!$D:$D,"")</f>
        <v>Executive Commitment to Risk Culture</v>
      </c>
      <c r="I515" t="s">
        <v>265</v>
      </c>
    </row>
    <row r="516" spans="1:9" x14ac:dyDescent="0.35">
      <c r="A516" t="s">
        <v>104</v>
      </c>
      <c r="B516" t="s">
        <v>17</v>
      </c>
      <c r="C516" t="s">
        <v>85</v>
      </c>
      <c r="D516" t="str">
        <f>VLOOKUP(Table7[[#This Row],[QuestionID]], FinalQuestions!$A:$C, 3, FALSE)</f>
        <v>Role Modelling</v>
      </c>
      <c r="E516">
        <f>IF(Table7[[#This Row],[Response]]="","",CHOOSE(MATCH(Table7[[#This Row],[Response]],{"Strongly Agree","Agree","Neutral","Disagree","Strongly Disagree","Not Applicable"},0),5,4,3,2,1,""))</f>
        <v>5</v>
      </c>
      <c r="F516">
        <f>Table7[[#This Row],[Scores]] * 20</f>
        <v>100</v>
      </c>
      <c r="G516">
        <f>IF(OR(Table7[[#This Row],[Response]]="Strongly Agree",Table7[[#This Row],[Response]]="Agree"),1,0)</f>
        <v>1</v>
      </c>
      <c r="H516" t="str">
        <f>_xlfn.XLOOKUP(Table7[[#This Row],[QuestionID]], FinalQuestions!$A:$A, FinalQuestions!$D:$D,"")</f>
        <v>Leadership Encouragement to Escalate Risks</v>
      </c>
      <c r="I516" t="s">
        <v>265</v>
      </c>
    </row>
    <row r="517" spans="1:9" x14ac:dyDescent="0.35">
      <c r="A517" t="s">
        <v>104</v>
      </c>
      <c r="B517" t="s">
        <v>19</v>
      </c>
      <c r="C517" t="s">
        <v>85</v>
      </c>
      <c r="D517" t="str">
        <f>VLOOKUP(Table7[[#This Row],[QuestionID]], FinalQuestions!$A:$C, 3, FALSE)</f>
        <v>Role Modelling</v>
      </c>
      <c r="E517">
        <f>IF(Table7[[#This Row],[Response]]="","",CHOOSE(MATCH(Table7[[#This Row],[Response]],{"Strongly Agree","Agree","Neutral","Disagree","Strongly Disagree","Not Applicable"},0),5,4,3,2,1,""))</f>
        <v>5</v>
      </c>
      <c r="F517">
        <f>Table7[[#This Row],[Scores]] * 20</f>
        <v>100</v>
      </c>
      <c r="G517">
        <f>IF(OR(Table7[[#This Row],[Response]]="Strongly Agree",Table7[[#This Row],[Response]]="Agree"),1,0)</f>
        <v>1</v>
      </c>
      <c r="H517" t="str">
        <f>_xlfn.XLOOKUP(Table7[[#This Row],[QuestionID]], FinalQuestions!$A:$A, FinalQuestions!$D:$D,"")</f>
        <v>Long-Term Decision Awareness</v>
      </c>
      <c r="I517" t="s">
        <v>265</v>
      </c>
    </row>
    <row r="518" spans="1:9" x14ac:dyDescent="0.35">
      <c r="A518" t="s">
        <v>104</v>
      </c>
      <c r="B518" t="s">
        <v>21</v>
      </c>
      <c r="C518" t="s">
        <v>2</v>
      </c>
      <c r="D518" t="str">
        <f>VLOOKUP(Table7[[#This Row],[QuestionID]], FinalQuestions!$A:$C, 3, FALSE)</f>
        <v>Discussability</v>
      </c>
      <c r="E518">
        <f>IF(Table7[[#This Row],[Response]]="","",CHOOSE(MATCH(Table7[[#This Row],[Response]],{"Strongly Agree","Agree","Neutral","Disagree","Strongly Disagree","Not Applicable"},0),5,4,3,2,1,""))</f>
        <v>4</v>
      </c>
      <c r="F518">
        <f>Table7[[#This Row],[Scores]] * 20</f>
        <v>80</v>
      </c>
      <c r="G518">
        <f>IF(OR(Table7[[#This Row],[Response]]="Strongly Agree",Table7[[#This Row],[Response]]="Agree"),1,0)</f>
        <v>1</v>
      </c>
      <c r="H518" t="str">
        <f>_xlfn.XLOOKUP(Table7[[#This Row],[QuestionID]], FinalQuestions!$A:$A, FinalQuestions!$D:$D,"")</f>
        <v>Openness to Discussions</v>
      </c>
      <c r="I518" t="s">
        <v>265</v>
      </c>
    </row>
    <row r="519" spans="1:9" x14ac:dyDescent="0.35">
      <c r="A519" t="s">
        <v>104</v>
      </c>
      <c r="B519" t="s">
        <v>23</v>
      </c>
      <c r="C519" t="s">
        <v>4</v>
      </c>
      <c r="D519" t="str">
        <f>VLOOKUP(Table7[[#This Row],[QuestionID]], FinalQuestions!$A:$C, 3, FALSE)</f>
        <v>Discussability</v>
      </c>
      <c r="E519">
        <f>IF(Table7[[#This Row],[Response]]="","",CHOOSE(MATCH(Table7[[#This Row],[Response]],{"Strongly Agree","Agree","Neutral","Disagree","Strongly Disagree","Not Applicable"},0),5,4,3,2,1,""))</f>
        <v>3</v>
      </c>
      <c r="F519">
        <f>Table7[[#This Row],[Scores]] * 20</f>
        <v>60</v>
      </c>
      <c r="G519">
        <f>IF(OR(Table7[[#This Row],[Response]]="Strongly Agree",Table7[[#This Row],[Response]]="Agree"),1,0)</f>
        <v>0</v>
      </c>
      <c r="H519" t="str">
        <f>_xlfn.XLOOKUP(Table7[[#This Row],[QuestionID]], FinalQuestions!$A:$A, FinalQuestions!$D:$D,"")</f>
        <v>Access to Guidance</v>
      </c>
      <c r="I519" t="s">
        <v>265</v>
      </c>
    </row>
    <row r="520" spans="1:9" x14ac:dyDescent="0.35">
      <c r="A520" t="s">
        <v>104</v>
      </c>
      <c r="B520" t="s">
        <v>25</v>
      </c>
      <c r="C520" t="s">
        <v>85</v>
      </c>
      <c r="D520" t="str">
        <f>VLOOKUP(Table7[[#This Row],[QuestionID]], FinalQuestions!$A:$C, 3, FALSE)</f>
        <v>Discussability</v>
      </c>
      <c r="E520">
        <f>IF(Table7[[#This Row],[Response]]="","",CHOOSE(MATCH(Table7[[#This Row],[Response]],{"Strongly Agree","Agree","Neutral","Disagree","Strongly Disagree","Not Applicable"},0),5,4,3,2,1,""))</f>
        <v>5</v>
      </c>
      <c r="F520">
        <f>Table7[[#This Row],[Scores]] * 20</f>
        <v>100</v>
      </c>
      <c r="G520">
        <f>IF(OR(Table7[[#This Row],[Response]]="Strongly Agree",Table7[[#This Row],[Response]]="Agree"),1,0)</f>
        <v>1</v>
      </c>
      <c r="H520" t="str">
        <f>_xlfn.XLOOKUP(Table7[[#This Row],[QuestionID]], FinalQuestions!$A:$A, FinalQuestions!$D:$D,"")</f>
        <v>Openness to Sharing Opinions</v>
      </c>
      <c r="I520" t="s">
        <v>265</v>
      </c>
    </row>
    <row r="521" spans="1:9" x14ac:dyDescent="0.35">
      <c r="A521" t="s">
        <v>104</v>
      </c>
      <c r="B521" t="s">
        <v>27</v>
      </c>
      <c r="C521" t="s">
        <v>2</v>
      </c>
      <c r="D521" t="str">
        <f>VLOOKUP(Table7[[#This Row],[QuestionID]], FinalQuestions!$A:$C, 3, FALSE)</f>
        <v>Discussability</v>
      </c>
      <c r="E521">
        <f>IF(Table7[[#This Row],[Response]]="","",CHOOSE(MATCH(Table7[[#This Row],[Response]],{"Strongly Agree","Agree","Neutral","Disagree","Strongly Disagree","Not Applicable"},0),5,4,3,2,1,""))</f>
        <v>4</v>
      </c>
      <c r="F521">
        <f>Table7[[#This Row],[Scores]] * 20</f>
        <v>80</v>
      </c>
      <c r="G521">
        <f>IF(OR(Table7[[#This Row],[Response]]="Strongly Agree",Table7[[#This Row],[Response]]="Agree"),1,0)</f>
        <v>1</v>
      </c>
      <c r="H521" t="str">
        <f>_xlfn.XLOOKUP(Table7[[#This Row],[QuestionID]], FinalQuestions!$A:$A, FinalQuestions!$D:$D,"")</f>
        <v>Comfort in Reporting Risk Dilemmas</v>
      </c>
      <c r="I521" t="s">
        <v>265</v>
      </c>
    </row>
    <row r="522" spans="1:9" x14ac:dyDescent="0.35">
      <c r="A522" t="s">
        <v>104</v>
      </c>
      <c r="B522" t="s">
        <v>29</v>
      </c>
      <c r="C522" t="s">
        <v>6</v>
      </c>
      <c r="D522" t="str">
        <f>VLOOKUP(Table7[[#This Row],[QuestionID]], FinalQuestions!$A:$C, 3, FALSE)</f>
        <v>Achievability</v>
      </c>
      <c r="E522">
        <f>IF(Table7[[#This Row],[Response]]="","",CHOOSE(MATCH(Table7[[#This Row],[Response]],{"Strongly Agree","Agree","Neutral","Disagree","Strongly Disagree","Not Applicable"},0),5,4,3,2,1,""))</f>
        <v>2</v>
      </c>
      <c r="F522">
        <f>Table7[[#This Row],[Scores]] * 20</f>
        <v>40</v>
      </c>
      <c r="G522">
        <f>IF(OR(Table7[[#This Row],[Response]]="Strongly Agree",Table7[[#This Row],[Response]]="Agree"),1,0)</f>
        <v>0</v>
      </c>
      <c r="H522" t="str">
        <f>_xlfn.XLOOKUP(Table7[[#This Row],[QuestionID]], FinalQuestions!$A:$A, FinalQuestions!$D:$D,"")</f>
        <v>Adequacy of Risk Management Training</v>
      </c>
      <c r="I522" t="s">
        <v>265</v>
      </c>
    </row>
    <row r="523" spans="1:9" x14ac:dyDescent="0.35">
      <c r="A523" t="s">
        <v>104</v>
      </c>
      <c r="B523" t="s">
        <v>31</v>
      </c>
      <c r="C523" t="s">
        <v>6</v>
      </c>
      <c r="D523" t="str">
        <f>VLOOKUP(Table7[[#This Row],[QuestionID]], FinalQuestions!$A:$C, 3, FALSE)</f>
        <v>Achievability</v>
      </c>
      <c r="E523">
        <f>IF(Table7[[#This Row],[Response]]="","",CHOOSE(MATCH(Table7[[#This Row],[Response]],{"Strongly Agree","Agree","Neutral","Disagree","Strongly Disagree","Not Applicable"},0),5,4,3,2,1,""))</f>
        <v>2</v>
      </c>
      <c r="F523">
        <f>Table7[[#This Row],[Scores]] * 20</f>
        <v>40</v>
      </c>
      <c r="G523">
        <f>IF(OR(Table7[[#This Row],[Response]]="Strongly Agree",Table7[[#This Row],[Response]]="Agree"),1,0)</f>
        <v>0</v>
      </c>
      <c r="H523" t="str">
        <f>_xlfn.XLOOKUP(Table7[[#This Row],[QuestionID]], FinalQuestions!$A:$A, FinalQuestions!$D:$D,"")</f>
        <v>Workload Balance &amp; Resource Sufficiency</v>
      </c>
      <c r="I523" t="s">
        <v>265</v>
      </c>
    </row>
    <row r="524" spans="1:9" x14ac:dyDescent="0.35">
      <c r="A524" t="s">
        <v>104</v>
      </c>
      <c r="B524" t="s">
        <v>33</v>
      </c>
      <c r="C524" t="s">
        <v>2</v>
      </c>
      <c r="D524" t="str">
        <f>VLOOKUP(Table7[[#This Row],[QuestionID]], FinalQuestions!$A:$C, 3, FALSE)</f>
        <v>Achievability</v>
      </c>
      <c r="E524">
        <f>IF(Table7[[#This Row],[Response]]="","",CHOOSE(MATCH(Table7[[#This Row],[Response]],{"Strongly Agree","Agree","Neutral","Disagree","Strongly Disagree","Not Applicable"},0),5,4,3,2,1,""))</f>
        <v>4</v>
      </c>
      <c r="F524">
        <f>Table7[[#This Row],[Scores]] * 20</f>
        <v>80</v>
      </c>
      <c r="G524">
        <f>IF(OR(Table7[[#This Row],[Response]]="Strongly Agree",Table7[[#This Row],[Response]]="Agree"),1,0)</f>
        <v>1</v>
      </c>
      <c r="H524" t="str">
        <f>_xlfn.XLOOKUP(Table7[[#This Row],[QuestionID]], FinalQuestions!$A:$A, FinalQuestions!$D:$D,"")</f>
        <v>Realistic Target Setting</v>
      </c>
      <c r="I524" t="s">
        <v>265</v>
      </c>
    </row>
    <row r="525" spans="1:9" x14ac:dyDescent="0.35">
      <c r="A525" t="s">
        <v>104</v>
      </c>
      <c r="B525" t="s">
        <v>35</v>
      </c>
      <c r="C525" t="s">
        <v>6</v>
      </c>
      <c r="D525" t="str">
        <f>VLOOKUP(Table7[[#This Row],[QuestionID]], FinalQuestions!$A:$C, 3, FALSE)</f>
        <v>Achievability</v>
      </c>
      <c r="E525">
        <f>IF(Table7[[#This Row],[Response]]="","",CHOOSE(MATCH(Table7[[#This Row],[Response]],{"Strongly Agree","Agree","Neutral","Disagree","Strongly Disagree","Not Applicable"},0),5,4,3,2,1,""))</f>
        <v>2</v>
      </c>
      <c r="F525">
        <f>Table7[[#This Row],[Scores]] * 20</f>
        <v>40</v>
      </c>
      <c r="G525">
        <f>IF(OR(Table7[[#This Row],[Response]]="Strongly Agree",Table7[[#This Row],[Response]]="Agree"),1,0)</f>
        <v>0</v>
      </c>
      <c r="H525" t="str">
        <f>_xlfn.XLOOKUP(Table7[[#This Row],[QuestionID]], FinalQuestions!$A:$A, FinalQuestions!$D:$D,"")</f>
        <v>Risk Insight in Decision Making</v>
      </c>
      <c r="I525" t="s">
        <v>265</v>
      </c>
    </row>
    <row r="526" spans="1:9" x14ac:dyDescent="0.35">
      <c r="A526" t="s">
        <v>104</v>
      </c>
      <c r="B526" t="s">
        <v>37</v>
      </c>
      <c r="C526" t="s">
        <v>4</v>
      </c>
      <c r="D526" t="str">
        <f>VLOOKUP(Table7[[#This Row],[QuestionID]], FinalQuestions!$A:$C, 3, FALSE)</f>
        <v>Enforcement</v>
      </c>
      <c r="E526">
        <f>IF(Table7[[#This Row],[Response]]="","",CHOOSE(MATCH(Table7[[#This Row],[Response]],{"Strongly Agree","Agree","Neutral","Disagree","Strongly Disagree","Not Applicable"},0),5,4,3,2,1,""))</f>
        <v>3</v>
      </c>
      <c r="F526">
        <f>Table7[[#This Row],[Scores]] * 20</f>
        <v>60</v>
      </c>
      <c r="G526">
        <f>IF(OR(Table7[[#This Row],[Response]]="Strongly Agree",Table7[[#This Row],[Response]]="Agree"),1,0)</f>
        <v>0</v>
      </c>
      <c r="H526" t="str">
        <f>_xlfn.XLOOKUP(Table7[[#This Row],[QuestionID]], FinalQuestions!$A:$A, FinalQuestions!$D:$D,"")</f>
        <v>Learning Culture from Non‑Compliance Cases</v>
      </c>
      <c r="I526" t="s">
        <v>265</v>
      </c>
    </row>
    <row r="527" spans="1:9" x14ac:dyDescent="0.35">
      <c r="A527" t="s">
        <v>104</v>
      </c>
      <c r="B527" t="s">
        <v>39</v>
      </c>
      <c r="C527" t="s">
        <v>85</v>
      </c>
      <c r="D527" t="str">
        <f>VLOOKUP(Table7[[#This Row],[QuestionID]], FinalQuestions!$A:$C, 3, FALSE)</f>
        <v>Enforcement</v>
      </c>
      <c r="E527">
        <f>IF(Table7[[#This Row],[Response]]="","",CHOOSE(MATCH(Table7[[#This Row],[Response]],{"Strongly Agree","Agree","Neutral","Disagree","Strongly Disagree","Not Applicable"},0),5,4,3,2,1,""))</f>
        <v>5</v>
      </c>
      <c r="F527">
        <f>Table7[[#This Row],[Scores]] * 20</f>
        <v>100</v>
      </c>
      <c r="G527">
        <f>IF(OR(Table7[[#This Row],[Response]]="Strongly Agree",Table7[[#This Row],[Response]]="Agree"),1,0)</f>
        <v>1</v>
      </c>
      <c r="H527" t="str">
        <f>_xlfn.XLOOKUP(Table7[[#This Row],[QuestionID]], FinalQuestions!$A:$A, FinalQuestions!$D:$D,"")</f>
        <v>Organizational View on Risk Culture</v>
      </c>
      <c r="I527" t="s">
        <v>265</v>
      </c>
    </row>
    <row r="528" spans="1:9" x14ac:dyDescent="0.35">
      <c r="A528" t="s">
        <v>104</v>
      </c>
      <c r="B528" t="s">
        <v>41</v>
      </c>
      <c r="C528" t="s">
        <v>85</v>
      </c>
      <c r="D528" t="str">
        <f>VLOOKUP(Table7[[#This Row],[QuestionID]], FinalQuestions!$A:$C, 3, FALSE)</f>
        <v>Enforcement</v>
      </c>
      <c r="E528">
        <f>IF(Table7[[#This Row],[Response]]="","",CHOOSE(MATCH(Table7[[#This Row],[Response]],{"Strongly Agree","Agree","Neutral","Disagree","Strongly Disagree","Not Applicable"},0),5,4,3,2,1,""))</f>
        <v>5</v>
      </c>
      <c r="F528">
        <f>Table7[[#This Row],[Scores]] * 20</f>
        <v>100</v>
      </c>
      <c r="G528">
        <f>IF(OR(Table7[[#This Row],[Response]]="Strongly Agree",Table7[[#This Row],[Response]]="Agree"),1,0)</f>
        <v>1</v>
      </c>
      <c r="H528" t="str">
        <f>_xlfn.XLOOKUP(Table7[[#This Row],[QuestionID]], FinalQuestions!$A:$A, FinalQuestions!$D:$D,"")</f>
        <v>Compliance Recognition &amp; enforcement</v>
      </c>
      <c r="I528" t="s">
        <v>265</v>
      </c>
    </row>
    <row r="529" spans="1:9" x14ac:dyDescent="0.35">
      <c r="A529" t="s">
        <v>104</v>
      </c>
      <c r="B529" t="s">
        <v>43</v>
      </c>
      <c r="C529" t="s">
        <v>2</v>
      </c>
      <c r="D529" t="str">
        <f>VLOOKUP(Table7[[#This Row],[QuestionID]], FinalQuestions!$A:$C, 3, FALSE)</f>
        <v>Enforcement</v>
      </c>
      <c r="E529">
        <f>IF(Table7[[#This Row],[Response]]="","",CHOOSE(MATCH(Table7[[#This Row],[Response]],{"Strongly Agree","Agree","Neutral","Disagree","Strongly Disagree","Not Applicable"},0),5,4,3,2,1,""))</f>
        <v>4</v>
      </c>
      <c r="F529">
        <f>Table7[[#This Row],[Scores]] * 20</f>
        <v>80</v>
      </c>
      <c r="G529">
        <f>IF(OR(Table7[[#This Row],[Response]]="Strongly Agree",Table7[[#This Row],[Response]]="Agree"),1,0)</f>
        <v>1</v>
      </c>
      <c r="H529" t="str">
        <f>_xlfn.XLOOKUP(Table7[[#This Row],[QuestionID]], FinalQuestions!$A:$A, FinalQuestions!$D:$D,"")</f>
        <v>Sense of Ownership</v>
      </c>
      <c r="I529" t="s">
        <v>265</v>
      </c>
    </row>
    <row r="530" spans="1:9" x14ac:dyDescent="0.35">
      <c r="A530" t="s">
        <v>104</v>
      </c>
      <c r="B530" t="s">
        <v>45</v>
      </c>
      <c r="C530" t="s">
        <v>6</v>
      </c>
      <c r="D530" t="str">
        <f>VLOOKUP(Table7[[#This Row],[QuestionID]], FinalQuestions!$A:$C, 3, FALSE)</f>
        <v>Clarity</v>
      </c>
      <c r="E530">
        <f>IF(Table7[[#This Row],[Response]]="","",CHOOSE(MATCH(Table7[[#This Row],[Response]],{"Strongly Agree","Agree","Neutral","Disagree","Strongly Disagree","Not Applicable"},0),5,4,3,2,1,""))</f>
        <v>2</v>
      </c>
      <c r="F530">
        <f>Table7[[#This Row],[Scores]] * 20</f>
        <v>40</v>
      </c>
      <c r="G530">
        <f>IF(OR(Table7[[#This Row],[Response]]="Strongly Agree",Table7[[#This Row],[Response]]="Agree"),1,0)</f>
        <v>0</v>
      </c>
      <c r="H530" t="str">
        <f>_xlfn.XLOOKUP(Table7[[#This Row],[QuestionID]], FinalQuestions!$A:$A, FinalQuestions!$D:$D,"")</f>
        <v>Clarity of Role and Responsibilities</v>
      </c>
      <c r="I530" t="s">
        <v>265</v>
      </c>
    </row>
    <row r="531" spans="1:9" x14ac:dyDescent="0.35">
      <c r="A531" t="s">
        <v>104</v>
      </c>
      <c r="B531" t="s">
        <v>47</v>
      </c>
      <c r="C531" t="s">
        <v>4</v>
      </c>
      <c r="D531" t="str">
        <f>VLOOKUP(Table7[[#This Row],[QuestionID]], FinalQuestions!$A:$C, 3, FALSE)</f>
        <v>Clarity</v>
      </c>
      <c r="E531">
        <f>IF(Table7[[#This Row],[Response]]="","",CHOOSE(MATCH(Table7[[#This Row],[Response]],{"Strongly Agree","Agree","Neutral","Disagree","Strongly Disagree","Not Applicable"},0),5,4,3,2,1,""))</f>
        <v>3</v>
      </c>
      <c r="F531">
        <f>Table7[[#This Row],[Scores]] * 20</f>
        <v>60</v>
      </c>
      <c r="G531">
        <f>IF(OR(Table7[[#This Row],[Response]]="Strongly Agree",Table7[[#This Row],[Response]]="Agree"),1,0)</f>
        <v>0</v>
      </c>
      <c r="H531" t="str">
        <f>_xlfn.XLOOKUP(Table7[[#This Row],[QuestionID]], FinalQuestions!$A:$A, FinalQuestions!$D:$D,"")</f>
        <v>Understanding of Risk Policies &amp; Procedures</v>
      </c>
      <c r="I531" t="s">
        <v>265</v>
      </c>
    </row>
    <row r="532" spans="1:9" x14ac:dyDescent="0.35">
      <c r="A532" t="s">
        <v>104</v>
      </c>
      <c r="B532" t="s">
        <v>49</v>
      </c>
      <c r="C532" t="s">
        <v>85</v>
      </c>
      <c r="D532" t="str">
        <f>VLOOKUP(Table7[[#This Row],[QuestionID]], FinalQuestions!$A:$C, 3, FALSE)</f>
        <v>Clarity</v>
      </c>
      <c r="E532">
        <f>IF(Table7[[#This Row],[Response]]="","",CHOOSE(MATCH(Table7[[#This Row],[Response]],{"Strongly Agree","Agree","Neutral","Disagree","Strongly Disagree","Not Applicable"},0),5,4,3,2,1,""))</f>
        <v>5</v>
      </c>
      <c r="F532">
        <f>Table7[[#This Row],[Scores]] * 20</f>
        <v>100</v>
      </c>
      <c r="G532">
        <f>IF(OR(Table7[[#This Row],[Response]]="Strongly Agree",Table7[[#This Row],[Response]]="Agree"),1,0)</f>
        <v>1</v>
      </c>
      <c r="H532" t="str">
        <f>_xlfn.XLOOKUP(Table7[[#This Row],[QuestionID]], FinalQuestions!$A:$A, FinalQuestions!$D:$D,"")</f>
        <v>Clarity of Personal Risk Boundaries</v>
      </c>
      <c r="I532" t="s">
        <v>265</v>
      </c>
    </row>
    <row r="533" spans="1:9" x14ac:dyDescent="0.35">
      <c r="A533" t="s">
        <v>104</v>
      </c>
      <c r="B533" t="s">
        <v>51</v>
      </c>
      <c r="C533" t="s">
        <v>2</v>
      </c>
      <c r="D533" t="str">
        <f>VLOOKUP(Table7[[#This Row],[QuestionID]], FinalQuestions!$A:$C, 3, FALSE)</f>
        <v>Clarity</v>
      </c>
      <c r="E533">
        <f>IF(Table7[[#This Row],[Response]]="","",CHOOSE(MATCH(Table7[[#This Row],[Response]],{"Strongly Agree","Agree","Neutral","Disagree","Strongly Disagree","Not Applicable"},0),5,4,3,2,1,""))</f>
        <v>4</v>
      </c>
      <c r="F533">
        <f>Table7[[#This Row],[Scores]] * 20</f>
        <v>80</v>
      </c>
      <c r="G533">
        <f>IF(OR(Table7[[#This Row],[Response]]="Strongly Agree",Table7[[#This Row],[Response]]="Agree"),1,0)</f>
        <v>1</v>
      </c>
      <c r="H533" t="str">
        <f>_xlfn.XLOOKUP(Table7[[#This Row],[QuestionID]], FinalQuestions!$A:$A, FinalQuestions!$D:$D,"")</f>
        <v>Effectiveness of Risk Communication &amp; Training</v>
      </c>
      <c r="I533" t="s">
        <v>265</v>
      </c>
    </row>
    <row r="534" spans="1:9" x14ac:dyDescent="0.35">
      <c r="A534" t="s">
        <v>104</v>
      </c>
      <c r="B534" t="s">
        <v>53</v>
      </c>
      <c r="C534" t="s">
        <v>6</v>
      </c>
      <c r="D534" t="str">
        <f>VLOOKUP(Table7[[#This Row],[QuestionID]], FinalQuestions!$A:$C, 3, FALSE)</f>
        <v>Transparency</v>
      </c>
      <c r="E534">
        <f>IF(Table7[[#This Row],[Response]]="","",CHOOSE(MATCH(Table7[[#This Row],[Response]],{"Strongly Agree","Agree","Neutral","Disagree","Strongly Disagree","Not Applicable"},0),5,4,3,2,1,""))</f>
        <v>2</v>
      </c>
      <c r="F534">
        <f>Table7[[#This Row],[Scores]] * 20</f>
        <v>40</v>
      </c>
      <c r="G534">
        <f>IF(OR(Table7[[#This Row],[Response]]="Strongly Agree",Table7[[#This Row],[Response]]="Agree"),1,0)</f>
        <v>0</v>
      </c>
      <c r="H534" t="str">
        <f>_xlfn.XLOOKUP(Table7[[#This Row],[QuestionID]], FinalQuestions!$A:$A, FinalQuestions!$D:$D,"")</f>
        <v>Compliance Confidence in team</v>
      </c>
      <c r="I534" t="s">
        <v>265</v>
      </c>
    </row>
    <row r="535" spans="1:9" x14ac:dyDescent="0.35">
      <c r="A535" t="s">
        <v>104</v>
      </c>
      <c r="B535" t="s">
        <v>55</v>
      </c>
      <c r="C535" t="s">
        <v>4</v>
      </c>
      <c r="D535" t="str">
        <f>VLOOKUP(Table7[[#This Row],[QuestionID]], FinalQuestions!$A:$C, 3, FALSE)</f>
        <v>Transparency</v>
      </c>
      <c r="E535">
        <f>IF(Table7[[#This Row],[Response]]="","",CHOOSE(MATCH(Table7[[#This Row],[Response]],{"Strongly Agree","Agree","Neutral","Disagree","Strongly Disagree","Not Applicable"},0),5,4,3,2,1,""))</f>
        <v>3</v>
      </c>
      <c r="F535">
        <f>Table7[[#This Row],[Scores]] * 20</f>
        <v>60</v>
      </c>
      <c r="G535">
        <f>IF(OR(Table7[[#This Row],[Response]]="Strongly Agree",Table7[[#This Row],[Response]]="Agree"),1,0)</f>
        <v>0</v>
      </c>
      <c r="H535" t="str">
        <f>_xlfn.XLOOKUP(Table7[[#This Row],[QuestionID]], FinalQuestions!$A:$A, FinalQuestions!$D:$D,"")</f>
        <v>Transparency in Decision‑Making</v>
      </c>
      <c r="I535" t="s">
        <v>265</v>
      </c>
    </row>
    <row r="536" spans="1:9" x14ac:dyDescent="0.35">
      <c r="A536" t="s">
        <v>104</v>
      </c>
      <c r="B536" t="s">
        <v>57</v>
      </c>
      <c r="C536" t="s">
        <v>85</v>
      </c>
      <c r="D536" t="str">
        <f>VLOOKUP(Table7[[#This Row],[QuestionID]], FinalQuestions!$A:$C, 3, FALSE)</f>
        <v>Transparency</v>
      </c>
      <c r="E536">
        <f>IF(Table7[[#This Row],[Response]]="","",CHOOSE(MATCH(Table7[[#This Row],[Response]],{"Strongly Agree","Agree","Neutral","Disagree","Strongly Disagree","Not Applicable"},0),5,4,3,2,1,""))</f>
        <v>5</v>
      </c>
      <c r="F536">
        <f>Table7[[#This Row],[Scores]] * 20</f>
        <v>100</v>
      </c>
      <c r="G536">
        <f>IF(OR(Table7[[#This Row],[Response]]="Strongly Agree",Table7[[#This Row],[Response]]="Agree"),1,0)</f>
        <v>1</v>
      </c>
      <c r="H536" t="str">
        <f>_xlfn.XLOOKUP(Table7[[#This Row],[QuestionID]], FinalQuestions!$A:$A, FinalQuestions!$D:$D,"")</f>
        <v>Fairness &amp; Equity of Expectations</v>
      </c>
      <c r="I536" t="s">
        <v>265</v>
      </c>
    </row>
    <row r="537" spans="1:9" x14ac:dyDescent="0.35">
      <c r="A537" t="s">
        <v>104</v>
      </c>
      <c r="B537" t="s">
        <v>59</v>
      </c>
      <c r="C537" t="s">
        <v>85</v>
      </c>
      <c r="D537" t="str">
        <f>VLOOKUP(Table7[[#This Row],[QuestionID]], FinalQuestions!$A:$C, 3, FALSE)</f>
        <v>Transparency</v>
      </c>
      <c r="E537">
        <f>IF(Table7[[#This Row],[Response]]="","",CHOOSE(MATCH(Table7[[#This Row],[Response]],{"Strongly Agree","Agree","Neutral","Disagree","Strongly Disagree","Not Applicable"},0),5,4,3,2,1,""))</f>
        <v>5</v>
      </c>
      <c r="F537">
        <f>Table7[[#This Row],[Scores]] * 20</f>
        <v>100</v>
      </c>
      <c r="G537">
        <f>IF(OR(Table7[[#This Row],[Response]]="Strongly Agree",Table7[[#This Row],[Response]]="Agree"),1,0)</f>
        <v>1</v>
      </c>
      <c r="H537" t="str">
        <f>_xlfn.XLOOKUP(Table7[[#This Row],[QuestionID]], FinalQuestions!$A:$A, FinalQuestions!$D:$D,"")</f>
        <v>Leadership Awareness in the team</v>
      </c>
      <c r="I537" t="s">
        <v>265</v>
      </c>
    </row>
    <row r="538" spans="1:9" x14ac:dyDescent="0.35">
      <c r="A538" t="s">
        <v>104</v>
      </c>
      <c r="B538" t="s">
        <v>61</v>
      </c>
      <c r="C538" t="s">
        <v>2</v>
      </c>
      <c r="D538" t="str">
        <f>VLOOKUP(Table7[[#This Row],[QuestionID]], FinalQuestions!$A:$C, 3, FALSE)</f>
        <v>Commitment</v>
      </c>
      <c r="E538">
        <f>IF(Table7[[#This Row],[Response]]="","",CHOOSE(MATCH(Table7[[#This Row],[Response]],{"Strongly Agree","Agree","Neutral","Disagree","Strongly Disagree","Not Applicable"},0),5,4,3,2,1,""))</f>
        <v>4</v>
      </c>
      <c r="F538">
        <f>Table7[[#This Row],[Scores]] * 20</f>
        <v>80</v>
      </c>
      <c r="G538">
        <f>IF(OR(Table7[[#This Row],[Response]]="Strongly Agree",Table7[[#This Row],[Response]]="Agree"),1,0)</f>
        <v>1</v>
      </c>
      <c r="H538" t="str">
        <f>_xlfn.XLOOKUP(Table7[[#This Row],[QuestionID]], FinalQuestions!$A:$A, FinalQuestions!$D:$D,"")</f>
        <v>Motivation for Risk Ownership</v>
      </c>
      <c r="I538" t="s">
        <v>265</v>
      </c>
    </row>
    <row r="539" spans="1:9" x14ac:dyDescent="0.35">
      <c r="A539" t="s">
        <v>104</v>
      </c>
      <c r="B539" t="s">
        <v>63</v>
      </c>
      <c r="C539" t="s">
        <v>4</v>
      </c>
      <c r="D539" t="str">
        <f>VLOOKUP(Table7[[#This Row],[QuestionID]], FinalQuestions!$A:$C, 3, FALSE)</f>
        <v>Commitment</v>
      </c>
      <c r="E539">
        <f>IF(Table7[[#This Row],[Response]]="","",CHOOSE(MATCH(Table7[[#This Row],[Response]],{"Strongly Agree","Agree","Neutral","Disagree","Strongly Disagree","Not Applicable"},0),5,4,3,2,1,""))</f>
        <v>3</v>
      </c>
      <c r="F539">
        <f>Table7[[#This Row],[Scores]] * 20</f>
        <v>60</v>
      </c>
      <c r="G539">
        <f>IF(OR(Table7[[#This Row],[Response]]="Strongly Agree",Table7[[#This Row],[Response]]="Agree"),1,0)</f>
        <v>0</v>
      </c>
      <c r="H539" t="str">
        <f>_xlfn.XLOOKUP(Table7[[#This Row],[QuestionID]], FinalQuestions!$A:$A, FinalQuestions!$D:$D,"")</f>
        <v>Sense of Belonging to the Organization</v>
      </c>
      <c r="I539" t="s">
        <v>265</v>
      </c>
    </row>
    <row r="540" spans="1:9" x14ac:dyDescent="0.35">
      <c r="A540" t="s">
        <v>104</v>
      </c>
      <c r="B540" t="s">
        <v>65</v>
      </c>
      <c r="C540" t="s">
        <v>85</v>
      </c>
      <c r="D540" t="str">
        <f>VLOOKUP(Table7[[#This Row],[QuestionID]], FinalQuestions!$A:$C, 3, FALSE)</f>
        <v>Commitment</v>
      </c>
      <c r="E540">
        <f>IF(Table7[[#This Row],[Response]]="","",CHOOSE(MATCH(Table7[[#This Row],[Response]],{"Strongly Agree","Agree","Neutral","Disagree","Strongly Disagree","Not Applicable"},0),5,4,3,2,1,""))</f>
        <v>5</v>
      </c>
      <c r="F540">
        <f>Table7[[#This Row],[Scores]] * 20</f>
        <v>100</v>
      </c>
      <c r="G540">
        <f>IF(OR(Table7[[#This Row],[Response]]="Strongly Agree",Table7[[#This Row],[Response]]="Agree"),1,0)</f>
        <v>1</v>
      </c>
      <c r="H540" t="str">
        <f>_xlfn.XLOOKUP(Table7[[#This Row],[QuestionID]], FinalQuestions!$A:$A, FinalQuestions!$D:$D,"")</f>
        <v>Consideration of Impact on Others</v>
      </c>
      <c r="I540" t="s">
        <v>265</v>
      </c>
    </row>
    <row r="541" spans="1:9" x14ac:dyDescent="0.35">
      <c r="A541" t="s">
        <v>104</v>
      </c>
      <c r="B541" t="s">
        <v>67</v>
      </c>
      <c r="C541" t="s">
        <v>2</v>
      </c>
      <c r="D541" t="str">
        <f>VLOOKUP(Table7[[#This Row],[QuestionID]], FinalQuestions!$A:$C, 3, FALSE)</f>
        <v>Commitment</v>
      </c>
      <c r="E541">
        <f>IF(Table7[[#This Row],[Response]]="","",CHOOSE(MATCH(Table7[[#This Row],[Response]],{"Strongly Agree","Agree","Neutral","Disagree","Strongly Disagree","Not Applicable"},0),5,4,3,2,1,""))</f>
        <v>4</v>
      </c>
      <c r="F541">
        <f>Table7[[#This Row],[Scores]] * 20</f>
        <v>80</v>
      </c>
      <c r="G541">
        <f>IF(OR(Table7[[#This Row],[Response]]="Strongly Agree",Table7[[#This Row],[Response]]="Agree"),1,0)</f>
        <v>1</v>
      </c>
      <c r="H541" t="str">
        <f>_xlfn.XLOOKUP(Table7[[#This Row],[QuestionID]], FinalQuestions!$A:$A, FinalQuestions!$D:$D,"")</f>
        <v>Accountability for Risk Actions</v>
      </c>
      <c r="I541" t="s">
        <v>265</v>
      </c>
    </row>
    <row r="542" spans="1:9" x14ac:dyDescent="0.35">
      <c r="A542" t="s">
        <v>104</v>
      </c>
      <c r="B542" t="s">
        <v>69</v>
      </c>
      <c r="C542" t="s">
        <v>6</v>
      </c>
      <c r="D542" t="str">
        <f>VLOOKUP(Table7[[#This Row],[QuestionID]], FinalQuestions!$A:$C, 3, FALSE)</f>
        <v>Call someone to account</v>
      </c>
      <c r="E542">
        <f>IF(Table7[[#This Row],[Response]]="","",CHOOSE(MATCH(Table7[[#This Row],[Response]],{"Strongly Agree","Agree","Neutral","Disagree","Strongly Disagree","Not Applicable"},0),5,4,3,2,1,""))</f>
        <v>2</v>
      </c>
      <c r="F542">
        <f>Table7[[#This Row],[Scores]] * 20</f>
        <v>40</v>
      </c>
      <c r="G542">
        <f>IF(OR(Table7[[#This Row],[Response]]="Strongly Agree",Table7[[#This Row],[Response]]="Agree"),1,0)</f>
        <v>0</v>
      </c>
      <c r="H542" t="str">
        <f>_xlfn.XLOOKUP(Table7[[#This Row],[QuestionID]], FinalQuestions!$A:$A, FinalQuestions!$D:$D,"")</f>
        <v xml:space="preserve">Peer to peer Accountability </v>
      </c>
      <c r="I542" t="s">
        <v>265</v>
      </c>
    </row>
    <row r="543" spans="1:9" x14ac:dyDescent="0.35">
      <c r="A543" t="s">
        <v>104</v>
      </c>
      <c r="B543" t="s">
        <v>71</v>
      </c>
      <c r="C543" t="s">
        <v>6</v>
      </c>
      <c r="D543" t="str">
        <f>VLOOKUP(Table7[[#This Row],[QuestionID]], FinalQuestions!$A:$C, 3, FALSE)</f>
        <v>Call someone to account</v>
      </c>
      <c r="E543">
        <f>IF(Table7[[#This Row],[Response]]="","",CHOOSE(MATCH(Table7[[#This Row],[Response]],{"Strongly Agree","Agree","Neutral","Disagree","Strongly Disagree","Not Applicable"},0),5,4,3,2,1,""))</f>
        <v>2</v>
      </c>
      <c r="F543">
        <f>Table7[[#This Row],[Scores]] * 20</f>
        <v>40</v>
      </c>
      <c r="G543">
        <f>IF(OR(Table7[[#This Row],[Response]]="Strongly Agree",Table7[[#This Row],[Response]]="Agree"),1,0)</f>
        <v>0</v>
      </c>
      <c r="H543" t="str">
        <f>_xlfn.XLOOKUP(Table7[[#This Row],[QuestionID]], FinalQuestions!$A:$A, FinalQuestions!$D:$D,"")</f>
        <v>Timely Resolution of Accountability Issues</v>
      </c>
      <c r="I543" t="s">
        <v>265</v>
      </c>
    </row>
    <row r="544" spans="1:9" x14ac:dyDescent="0.35">
      <c r="A544" t="s">
        <v>104</v>
      </c>
      <c r="B544" t="s">
        <v>73</v>
      </c>
      <c r="C544" t="s">
        <v>2</v>
      </c>
      <c r="D544" t="str">
        <f>VLOOKUP(Table7[[#This Row],[QuestionID]], FinalQuestions!$A:$C, 3, FALSE)</f>
        <v>Call someone to account</v>
      </c>
      <c r="E544">
        <f>IF(Table7[[#This Row],[Response]]="","",CHOOSE(MATCH(Table7[[#This Row],[Response]],{"Strongly Agree","Agree","Neutral","Disagree","Strongly Disagree","Not Applicable"},0),5,4,3,2,1,""))</f>
        <v>4</v>
      </c>
      <c r="F544">
        <f>Table7[[#This Row],[Scores]] * 20</f>
        <v>80</v>
      </c>
      <c r="G544">
        <f>IF(OR(Table7[[#This Row],[Response]]="Strongly Agree",Table7[[#This Row],[Response]]="Agree"),1,0)</f>
        <v>1</v>
      </c>
      <c r="H544" t="str">
        <f>_xlfn.XLOOKUP(Table7[[#This Row],[QuestionID]], FinalQuestions!$A:$A, FinalQuestions!$D:$D,"")</f>
        <v>Comfort for Reporting Non‑Compliance.</v>
      </c>
      <c r="I544" t="s">
        <v>265</v>
      </c>
    </row>
    <row r="545" spans="1:9" x14ac:dyDescent="0.35">
      <c r="A545" t="s">
        <v>104</v>
      </c>
      <c r="B545" t="s">
        <v>75</v>
      </c>
      <c r="C545" t="s">
        <v>6</v>
      </c>
      <c r="D545" t="str">
        <f>VLOOKUP(Table7[[#This Row],[QuestionID]], FinalQuestions!$A:$C, 3, FALSE)</f>
        <v>Call someone to account</v>
      </c>
      <c r="E545">
        <f>IF(Table7[[#This Row],[Response]]="","",CHOOSE(MATCH(Table7[[#This Row],[Response]],{"Strongly Agree","Agree","Neutral","Disagree","Strongly Disagree","Not Applicable"},0),5,4,3,2,1,""))</f>
        <v>2</v>
      </c>
      <c r="F545">
        <f>Table7[[#This Row],[Scores]] * 20</f>
        <v>40</v>
      </c>
      <c r="G545">
        <f>IF(OR(Table7[[#This Row],[Response]]="Strongly Agree",Table7[[#This Row],[Response]]="Agree"),1,0)</f>
        <v>0</v>
      </c>
      <c r="H545" t="str">
        <f>_xlfn.XLOOKUP(Table7[[#This Row],[QuestionID]], FinalQuestions!$A:$A, FinalQuestions!$D:$D,"")</f>
        <v>Consistency of Conduct Enforcement</v>
      </c>
      <c r="I545" t="s">
        <v>265</v>
      </c>
    </row>
    <row r="546" spans="1:9" x14ac:dyDescent="0.35">
      <c r="A546" t="s">
        <v>105</v>
      </c>
      <c r="B546" t="s">
        <v>13</v>
      </c>
      <c r="C546" t="s">
        <v>4</v>
      </c>
      <c r="D546" t="str">
        <f>VLOOKUP(Table7[[#This Row],[QuestionID]], FinalQuestions!$A:$C, 3, FALSE)</f>
        <v>Role Modelling</v>
      </c>
      <c r="E546">
        <f>IF(Table7[[#This Row],[Response]]="","",CHOOSE(MATCH(Table7[[#This Row],[Response]],{"Strongly Agree","Agree","Neutral","Disagree","Strongly Disagree","Not Applicable"},0),5,4,3,2,1,""))</f>
        <v>3</v>
      </c>
      <c r="F546">
        <f>Table7[[#This Row],[Scores]] * 20</f>
        <v>60</v>
      </c>
      <c r="G546">
        <f>IF(OR(Table7[[#This Row],[Response]]="Strongly Agree",Table7[[#This Row],[Response]]="Agree"),1,0)</f>
        <v>0</v>
      </c>
      <c r="H546" t="str">
        <f>_xlfn.XLOOKUP(Table7[[#This Row],[QuestionID]], FinalQuestions!$A:$A, FinalQuestions!$D:$D,"")</f>
        <v xml:space="preserve">Leadership Example‑Setting in Risk Management </v>
      </c>
      <c r="I546" t="s">
        <v>262</v>
      </c>
    </row>
    <row r="547" spans="1:9" x14ac:dyDescent="0.35">
      <c r="A547" t="s">
        <v>105</v>
      </c>
      <c r="B547" t="s">
        <v>15</v>
      </c>
      <c r="C547" t="s">
        <v>85</v>
      </c>
      <c r="D547" t="str">
        <f>VLOOKUP(Table7[[#This Row],[QuestionID]], FinalQuestions!$A:$C, 3, FALSE)</f>
        <v>Role Modelling</v>
      </c>
      <c r="E547">
        <f>IF(Table7[[#This Row],[Response]]="","",CHOOSE(MATCH(Table7[[#This Row],[Response]],{"Strongly Agree","Agree","Neutral","Disagree","Strongly Disagree","Not Applicable"},0),5,4,3,2,1,""))</f>
        <v>5</v>
      </c>
      <c r="F547">
        <f>Table7[[#This Row],[Scores]] * 20</f>
        <v>100</v>
      </c>
      <c r="G547">
        <f>IF(OR(Table7[[#This Row],[Response]]="Strongly Agree",Table7[[#This Row],[Response]]="Agree"),1,0)</f>
        <v>1</v>
      </c>
      <c r="H547" t="str">
        <f>_xlfn.XLOOKUP(Table7[[#This Row],[QuestionID]], FinalQuestions!$A:$A, FinalQuestions!$D:$D,"")</f>
        <v>Executive Commitment to Risk Culture</v>
      </c>
      <c r="I547" t="s">
        <v>262</v>
      </c>
    </row>
    <row r="548" spans="1:9" x14ac:dyDescent="0.35">
      <c r="A548" t="s">
        <v>105</v>
      </c>
      <c r="B548" t="s">
        <v>17</v>
      </c>
      <c r="C548" t="s">
        <v>85</v>
      </c>
      <c r="D548" t="str">
        <f>VLOOKUP(Table7[[#This Row],[QuestionID]], FinalQuestions!$A:$C, 3, FALSE)</f>
        <v>Role Modelling</v>
      </c>
      <c r="E548">
        <f>IF(Table7[[#This Row],[Response]]="","",CHOOSE(MATCH(Table7[[#This Row],[Response]],{"Strongly Agree","Agree","Neutral","Disagree","Strongly Disagree","Not Applicable"},0),5,4,3,2,1,""))</f>
        <v>5</v>
      </c>
      <c r="F548">
        <f>Table7[[#This Row],[Scores]] * 20</f>
        <v>100</v>
      </c>
      <c r="G548">
        <f>IF(OR(Table7[[#This Row],[Response]]="Strongly Agree",Table7[[#This Row],[Response]]="Agree"),1,0)</f>
        <v>1</v>
      </c>
      <c r="H548" t="str">
        <f>_xlfn.XLOOKUP(Table7[[#This Row],[QuestionID]], FinalQuestions!$A:$A, FinalQuestions!$D:$D,"")</f>
        <v>Leadership Encouragement to Escalate Risks</v>
      </c>
      <c r="I548" t="s">
        <v>262</v>
      </c>
    </row>
    <row r="549" spans="1:9" x14ac:dyDescent="0.35">
      <c r="A549" t="s">
        <v>105</v>
      </c>
      <c r="B549" t="s">
        <v>19</v>
      </c>
      <c r="C549" t="s">
        <v>2</v>
      </c>
      <c r="D549" t="str">
        <f>VLOOKUP(Table7[[#This Row],[QuestionID]], FinalQuestions!$A:$C, 3, FALSE)</f>
        <v>Role Modelling</v>
      </c>
      <c r="E549">
        <f>IF(Table7[[#This Row],[Response]]="","",CHOOSE(MATCH(Table7[[#This Row],[Response]],{"Strongly Agree","Agree","Neutral","Disagree","Strongly Disagree","Not Applicable"},0),5,4,3,2,1,""))</f>
        <v>4</v>
      </c>
      <c r="F549">
        <f>Table7[[#This Row],[Scores]] * 20</f>
        <v>80</v>
      </c>
      <c r="G549">
        <f>IF(OR(Table7[[#This Row],[Response]]="Strongly Agree",Table7[[#This Row],[Response]]="Agree"),1,0)</f>
        <v>1</v>
      </c>
      <c r="H549" t="str">
        <f>_xlfn.XLOOKUP(Table7[[#This Row],[QuestionID]], FinalQuestions!$A:$A, FinalQuestions!$D:$D,"")</f>
        <v>Long-Term Decision Awareness</v>
      </c>
      <c r="I549" t="s">
        <v>262</v>
      </c>
    </row>
    <row r="550" spans="1:9" x14ac:dyDescent="0.35">
      <c r="A550" t="s">
        <v>105</v>
      </c>
      <c r="B550" t="s">
        <v>21</v>
      </c>
      <c r="C550" t="s">
        <v>6</v>
      </c>
      <c r="D550" t="str">
        <f>VLOOKUP(Table7[[#This Row],[QuestionID]], FinalQuestions!$A:$C, 3, FALSE)</f>
        <v>Discussability</v>
      </c>
      <c r="E550">
        <f>IF(Table7[[#This Row],[Response]]="","",CHOOSE(MATCH(Table7[[#This Row],[Response]],{"Strongly Agree","Agree","Neutral","Disagree","Strongly Disagree","Not Applicable"},0),5,4,3,2,1,""))</f>
        <v>2</v>
      </c>
      <c r="F550">
        <f>Table7[[#This Row],[Scores]] * 20</f>
        <v>40</v>
      </c>
      <c r="G550">
        <f>IF(OR(Table7[[#This Row],[Response]]="Strongly Agree",Table7[[#This Row],[Response]]="Agree"),1,0)</f>
        <v>0</v>
      </c>
      <c r="H550" t="str">
        <f>_xlfn.XLOOKUP(Table7[[#This Row],[QuestionID]], FinalQuestions!$A:$A, FinalQuestions!$D:$D,"")</f>
        <v>Openness to Discussions</v>
      </c>
      <c r="I550" t="s">
        <v>262</v>
      </c>
    </row>
    <row r="551" spans="1:9" x14ac:dyDescent="0.35">
      <c r="A551" t="s">
        <v>105</v>
      </c>
      <c r="B551" t="s">
        <v>23</v>
      </c>
      <c r="C551" t="s">
        <v>4</v>
      </c>
      <c r="D551" t="str">
        <f>VLOOKUP(Table7[[#This Row],[QuestionID]], FinalQuestions!$A:$C, 3, FALSE)</f>
        <v>Discussability</v>
      </c>
      <c r="E551">
        <f>IF(Table7[[#This Row],[Response]]="","",CHOOSE(MATCH(Table7[[#This Row],[Response]],{"Strongly Agree","Agree","Neutral","Disagree","Strongly Disagree","Not Applicable"},0),5,4,3,2,1,""))</f>
        <v>3</v>
      </c>
      <c r="F551">
        <f>Table7[[#This Row],[Scores]] * 20</f>
        <v>60</v>
      </c>
      <c r="G551">
        <f>IF(OR(Table7[[#This Row],[Response]]="Strongly Agree",Table7[[#This Row],[Response]]="Agree"),1,0)</f>
        <v>0</v>
      </c>
      <c r="H551" t="str">
        <f>_xlfn.XLOOKUP(Table7[[#This Row],[QuestionID]], FinalQuestions!$A:$A, FinalQuestions!$D:$D,"")</f>
        <v>Access to Guidance</v>
      </c>
      <c r="I551" t="s">
        <v>262</v>
      </c>
    </row>
    <row r="552" spans="1:9" x14ac:dyDescent="0.35">
      <c r="A552" t="s">
        <v>105</v>
      </c>
      <c r="B552" t="s">
        <v>25</v>
      </c>
      <c r="C552" t="s">
        <v>85</v>
      </c>
      <c r="D552" t="str">
        <f>VLOOKUP(Table7[[#This Row],[QuestionID]], FinalQuestions!$A:$C, 3, FALSE)</f>
        <v>Discussability</v>
      </c>
      <c r="E552">
        <f>IF(Table7[[#This Row],[Response]]="","",CHOOSE(MATCH(Table7[[#This Row],[Response]],{"Strongly Agree","Agree","Neutral","Disagree","Strongly Disagree","Not Applicable"},0),5,4,3,2,1,""))</f>
        <v>5</v>
      </c>
      <c r="F552">
        <f>Table7[[#This Row],[Scores]] * 20</f>
        <v>100</v>
      </c>
      <c r="G552">
        <f>IF(OR(Table7[[#This Row],[Response]]="Strongly Agree",Table7[[#This Row],[Response]]="Agree"),1,0)</f>
        <v>1</v>
      </c>
      <c r="H552" t="str">
        <f>_xlfn.XLOOKUP(Table7[[#This Row],[QuestionID]], FinalQuestions!$A:$A, FinalQuestions!$D:$D,"")</f>
        <v>Openness to Sharing Opinions</v>
      </c>
      <c r="I552" t="s">
        <v>262</v>
      </c>
    </row>
    <row r="553" spans="1:9" x14ac:dyDescent="0.35">
      <c r="A553" t="s">
        <v>105</v>
      </c>
      <c r="B553" t="s">
        <v>27</v>
      </c>
      <c r="C553" t="s">
        <v>2</v>
      </c>
      <c r="D553" t="str">
        <f>VLOOKUP(Table7[[#This Row],[QuestionID]], FinalQuestions!$A:$C, 3, FALSE)</f>
        <v>Discussability</v>
      </c>
      <c r="E553">
        <f>IF(Table7[[#This Row],[Response]]="","",CHOOSE(MATCH(Table7[[#This Row],[Response]],{"Strongly Agree","Agree","Neutral","Disagree","Strongly Disagree","Not Applicable"},0),5,4,3,2,1,""))</f>
        <v>4</v>
      </c>
      <c r="F553">
        <f>Table7[[#This Row],[Scores]] * 20</f>
        <v>80</v>
      </c>
      <c r="G553">
        <f>IF(OR(Table7[[#This Row],[Response]]="Strongly Agree",Table7[[#This Row],[Response]]="Agree"),1,0)</f>
        <v>1</v>
      </c>
      <c r="H553" t="str">
        <f>_xlfn.XLOOKUP(Table7[[#This Row],[QuestionID]], FinalQuestions!$A:$A, FinalQuestions!$D:$D,"")</f>
        <v>Comfort in Reporting Risk Dilemmas</v>
      </c>
      <c r="I553" t="s">
        <v>262</v>
      </c>
    </row>
    <row r="554" spans="1:9" x14ac:dyDescent="0.35">
      <c r="A554" t="s">
        <v>105</v>
      </c>
      <c r="B554" t="s">
        <v>29</v>
      </c>
      <c r="C554" t="s">
        <v>6</v>
      </c>
      <c r="D554" t="str">
        <f>VLOOKUP(Table7[[#This Row],[QuestionID]], FinalQuestions!$A:$C, 3, FALSE)</f>
        <v>Achievability</v>
      </c>
      <c r="E554">
        <f>IF(Table7[[#This Row],[Response]]="","",CHOOSE(MATCH(Table7[[#This Row],[Response]],{"Strongly Agree","Agree","Neutral","Disagree","Strongly Disagree","Not Applicable"},0),5,4,3,2,1,""))</f>
        <v>2</v>
      </c>
      <c r="F554">
        <f>Table7[[#This Row],[Scores]] * 20</f>
        <v>40</v>
      </c>
      <c r="G554">
        <f>IF(OR(Table7[[#This Row],[Response]]="Strongly Agree",Table7[[#This Row],[Response]]="Agree"),1,0)</f>
        <v>0</v>
      </c>
      <c r="H554" t="str">
        <f>_xlfn.XLOOKUP(Table7[[#This Row],[QuestionID]], FinalQuestions!$A:$A, FinalQuestions!$D:$D,"")</f>
        <v>Adequacy of Risk Management Training</v>
      </c>
      <c r="I554" t="s">
        <v>262</v>
      </c>
    </row>
    <row r="555" spans="1:9" x14ac:dyDescent="0.35">
      <c r="A555" t="s">
        <v>105</v>
      </c>
      <c r="B555" t="s">
        <v>31</v>
      </c>
      <c r="C555" t="s">
        <v>4</v>
      </c>
      <c r="D555" t="str">
        <f>VLOOKUP(Table7[[#This Row],[QuestionID]], FinalQuestions!$A:$C, 3, FALSE)</f>
        <v>Achievability</v>
      </c>
      <c r="E555">
        <f>IF(Table7[[#This Row],[Response]]="","",CHOOSE(MATCH(Table7[[#This Row],[Response]],{"Strongly Agree","Agree","Neutral","Disagree","Strongly Disagree","Not Applicable"},0),5,4,3,2,1,""))</f>
        <v>3</v>
      </c>
      <c r="F555">
        <f>Table7[[#This Row],[Scores]] * 20</f>
        <v>60</v>
      </c>
      <c r="G555">
        <f>IF(OR(Table7[[#This Row],[Response]]="Strongly Agree",Table7[[#This Row],[Response]]="Agree"),1,0)</f>
        <v>0</v>
      </c>
      <c r="H555" t="str">
        <f>_xlfn.XLOOKUP(Table7[[#This Row],[QuestionID]], FinalQuestions!$A:$A, FinalQuestions!$D:$D,"")</f>
        <v>Workload Balance &amp; Resource Sufficiency</v>
      </c>
      <c r="I555" t="s">
        <v>262</v>
      </c>
    </row>
    <row r="556" spans="1:9" x14ac:dyDescent="0.35">
      <c r="A556" t="s">
        <v>105</v>
      </c>
      <c r="B556" t="s">
        <v>33</v>
      </c>
      <c r="C556" t="s">
        <v>85</v>
      </c>
      <c r="D556" t="str">
        <f>VLOOKUP(Table7[[#This Row],[QuestionID]], FinalQuestions!$A:$C, 3, FALSE)</f>
        <v>Achievability</v>
      </c>
      <c r="E556">
        <f>IF(Table7[[#This Row],[Response]]="","",CHOOSE(MATCH(Table7[[#This Row],[Response]],{"Strongly Agree","Agree","Neutral","Disagree","Strongly Disagree","Not Applicable"},0),5,4,3,2,1,""))</f>
        <v>5</v>
      </c>
      <c r="F556">
        <f>Table7[[#This Row],[Scores]] * 20</f>
        <v>100</v>
      </c>
      <c r="G556">
        <f>IF(OR(Table7[[#This Row],[Response]]="Strongly Agree",Table7[[#This Row],[Response]]="Agree"),1,0)</f>
        <v>1</v>
      </c>
      <c r="H556" t="str">
        <f>_xlfn.XLOOKUP(Table7[[#This Row],[QuestionID]], FinalQuestions!$A:$A, FinalQuestions!$D:$D,"")</f>
        <v>Realistic Target Setting</v>
      </c>
      <c r="I556" t="s">
        <v>262</v>
      </c>
    </row>
    <row r="557" spans="1:9" x14ac:dyDescent="0.35">
      <c r="A557" t="s">
        <v>105</v>
      </c>
      <c r="B557" t="s">
        <v>35</v>
      </c>
      <c r="C557" t="s">
        <v>85</v>
      </c>
      <c r="D557" t="str">
        <f>VLOOKUP(Table7[[#This Row],[QuestionID]], FinalQuestions!$A:$C, 3, FALSE)</f>
        <v>Achievability</v>
      </c>
      <c r="E557">
        <f>IF(Table7[[#This Row],[Response]]="","",CHOOSE(MATCH(Table7[[#This Row],[Response]],{"Strongly Agree","Agree","Neutral","Disagree","Strongly Disagree","Not Applicable"},0),5,4,3,2,1,""))</f>
        <v>5</v>
      </c>
      <c r="F557">
        <f>Table7[[#This Row],[Scores]] * 20</f>
        <v>100</v>
      </c>
      <c r="G557">
        <f>IF(OR(Table7[[#This Row],[Response]]="Strongly Agree",Table7[[#This Row],[Response]]="Agree"),1,0)</f>
        <v>1</v>
      </c>
      <c r="H557" t="str">
        <f>_xlfn.XLOOKUP(Table7[[#This Row],[QuestionID]], FinalQuestions!$A:$A, FinalQuestions!$D:$D,"")</f>
        <v>Risk Insight in Decision Making</v>
      </c>
      <c r="I557" t="s">
        <v>262</v>
      </c>
    </row>
    <row r="558" spans="1:9" x14ac:dyDescent="0.35">
      <c r="A558" t="s">
        <v>105</v>
      </c>
      <c r="B558" t="s">
        <v>37</v>
      </c>
      <c r="C558" t="s">
        <v>85</v>
      </c>
      <c r="D558" t="str">
        <f>VLOOKUP(Table7[[#This Row],[QuestionID]], FinalQuestions!$A:$C, 3, FALSE)</f>
        <v>Enforcement</v>
      </c>
      <c r="E558">
        <f>IF(Table7[[#This Row],[Response]]="","",CHOOSE(MATCH(Table7[[#This Row],[Response]],{"Strongly Agree","Agree","Neutral","Disagree","Strongly Disagree","Not Applicable"},0),5,4,3,2,1,""))</f>
        <v>5</v>
      </c>
      <c r="F558">
        <f>Table7[[#This Row],[Scores]] * 20</f>
        <v>100</v>
      </c>
      <c r="G558">
        <f>IF(OR(Table7[[#This Row],[Response]]="Strongly Agree",Table7[[#This Row],[Response]]="Agree"),1,0)</f>
        <v>1</v>
      </c>
      <c r="H558" t="str">
        <f>_xlfn.XLOOKUP(Table7[[#This Row],[QuestionID]], FinalQuestions!$A:$A, FinalQuestions!$D:$D,"")</f>
        <v>Learning Culture from Non‑Compliance Cases</v>
      </c>
      <c r="I558" t="s">
        <v>262</v>
      </c>
    </row>
    <row r="559" spans="1:9" x14ac:dyDescent="0.35">
      <c r="A559" t="s">
        <v>105</v>
      </c>
      <c r="B559" t="s">
        <v>39</v>
      </c>
      <c r="C559" t="s">
        <v>85</v>
      </c>
      <c r="D559" t="str">
        <f>VLOOKUP(Table7[[#This Row],[QuestionID]], FinalQuestions!$A:$C, 3, FALSE)</f>
        <v>Enforcement</v>
      </c>
      <c r="E559">
        <f>IF(Table7[[#This Row],[Response]]="","",CHOOSE(MATCH(Table7[[#This Row],[Response]],{"Strongly Agree","Agree","Neutral","Disagree","Strongly Disagree","Not Applicable"},0),5,4,3,2,1,""))</f>
        <v>5</v>
      </c>
      <c r="F559">
        <f>Table7[[#This Row],[Scores]] * 20</f>
        <v>100</v>
      </c>
      <c r="G559">
        <f>IF(OR(Table7[[#This Row],[Response]]="Strongly Agree",Table7[[#This Row],[Response]]="Agree"),1,0)</f>
        <v>1</v>
      </c>
      <c r="H559" t="str">
        <f>_xlfn.XLOOKUP(Table7[[#This Row],[QuestionID]], FinalQuestions!$A:$A, FinalQuestions!$D:$D,"")</f>
        <v>Organizational View on Risk Culture</v>
      </c>
      <c r="I559" t="s">
        <v>262</v>
      </c>
    </row>
    <row r="560" spans="1:9" x14ac:dyDescent="0.35">
      <c r="A560" t="s">
        <v>105</v>
      </c>
      <c r="B560" t="s">
        <v>41</v>
      </c>
      <c r="C560" t="s">
        <v>85</v>
      </c>
      <c r="D560" t="str">
        <f>VLOOKUP(Table7[[#This Row],[QuestionID]], FinalQuestions!$A:$C, 3, FALSE)</f>
        <v>Enforcement</v>
      </c>
      <c r="E560">
        <f>IF(Table7[[#This Row],[Response]]="","",CHOOSE(MATCH(Table7[[#This Row],[Response]],{"Strongly Agree","Agree","Neutral","Disagree","Strongly Disagree","Not Applicable"},0),5,4,3,2,1,""))</f>
        <v>5</v>
      </c>
      <c r="F560">
        <f>Table7[[#This Row],[Scores]] * 20</f>
        <v>100</v>
      </c>
      <c r="G560">
        <f>IF(OR(Table7[[#This Row],[Response]]="Strongly Agree",Table7[[#This Row],[Response]]="Agree"),1,0)</f>
        <v>1</v>
      </c>
      <c r="H560" t="str">
        <f>_xlfn.XLOOKUP(Table7[[#This Row],[QuestionID]], FinalQuestions!$A:$A, FinalQuestions!$D:$D,"")</f>
        <v>Compliance Recognition &amp; enforcement</v>
      </c>
      <c r="I560" t="s">
        <v>262</v>
      </c>
    </row>
    <row r="561" spans="1:9" x14ac:dyDescent="0.35">
      <c r="A561" t="s">
        <v>105</v>
      </c>
      <c r="B561" t="s">
        <v>43</v>
      </c>
      <c r="C561" t="s">
        <v>85</v>
      </c>
      <c r="D561" t="str">
        <f>VLOOKUP(Table7[[#This Row],[QuestionID]], FinalQuestions!$A:$C, 3, FALSE)</f>
        <v>Enforcement</v>
      </c>
      <c r="E561">
        <f>IF(Table7[[#This Row],[Response]]="","",CHOOSE(MATCH(Table7[[#This Row],[Response]],{"Strongly Agree","Agree","Neutral","Disagree","Strongly Disagree","Not Applicable"},0),5,4,3,2,1,""))</f>
        <v>5</v>
      </c>
      <c r="F561">
        <f>Table7[[#This Row],[Scores]] * 20</f>
        <v>100</v>
      </c>
      <c r="G561">
        <f>IF(OR(Table7[[#This Row],[Response]]="Strongly Agree",Table7[[#This Row],[Response]]="Agree"),1,0)</f>
        <v>1</v>
      </c>
      <c r="H561" t="str">
        <f>_xlfn.XLOOKUP(Table7[[#This Row],[QuestionID]], FinalQuestions!$A:$A, FinalQuestions!$D:$D,"")</f>
        <v>Sense of Ownership</v>
      </c>
      <c r="I561" t="s">
        <v>262</v>
      </c>
    </row>
    <row r="562" spans="1:9" x14ac:dyDescent="0.35">
      <c r="A562" t="s">
        <v>105</v>
      </c>
      <c r="B562" t="s">
        <v>45</v>
      </c>
      <c r="C562" t="s">
        <v>85</v>
      </c>
      <c r="D562" t="str">
        <f>VLOOKUP(Table7[[#This Row],[QuestionID]], FinalQuestions!$A:$C, 3, FALSE)</f>
        <v>Clarity</v>
      </c>
      <c r="E562">
        <f>IF(Table7[[#This Row],[Response]]="","",CHOOSE(MATCH(Table7[[#This Row],[Response]],{"Strongly Agree","Agree","Neutral","Disagree","Strongly Disagree","Not Applicable"},0),5,4,3,2,1,""))</f>
        <v>5</v>
      </c>
      <c r="F562">
        <f>Table7[[#This Row],[Scores]] * 20</f>
        <v>100</v>
      </c>
      <c r="G562">
        <f>IF(OR(Table7[[#This Row],[Response]]="Strongly Agree",Table7[[#This Row],[Response]]="Agree"),1,0)</f>
        <v>1</v>
      </c>
      <c r="H562" t="str">
        <f>_xlfn.XLOOKUP(Table7[[#This Row],[QuestionID]], FinalQuestions!$A:$A, FinalQuestions!$D:$D,"")</f>
        <v>Clarity of Role and Responsibilities</v>
      </c>
      <c r="I562" t="s">
        <v>262</v>
      </c>
    </row>
    <row r="563" spans="1:9" x14ac:dyDescent="0.35">
      <c r="A563" t="s">
        <v>105</v>
      </c>
      <c r="B563" t="s">
        <v>47</v>
      </c>
      <c r="C563" t="s">
        <v>85</v>
      </c>
      <c r="D563" t="str">
        <f>VLOOKUP(Table7[[#This Row],[QuestionID]], FinalQuestions!$A:$C, 3, FALSE)</f>
        <v>Clarity</v>
      </c>
      <c r="E563">
        <f>IF(Table7[[#This Row],[Response]]="","",CHOOSE(MATCH(Table7[[#This Row],[Response]],{"Strongly Agree","Agree","Neutral","Disagree","Strongly Disagree","Not Applicable"},0),5,4,3,2,1,""))</f>
        <v>5</v>
      </c>
      <c r="F563">
        <f>Table7[[#This Row],[Scores]] * 20</f>
        <v>100</v>
      </c>
      <c r="G563">
        <f>IF(OR(Table7[[#This Row],[Response]]="Strongly Agree",Table7[[#This Row],[Response]]="Agree"),1,0)</f>
        <v>1</v>
      </c>
      <c r="H563" t="str">
        <f>_xlfn.XLOOKUP(Table7[[#This Row],[QuestionID]], FinalQuestions!$A:$A, FinalQuestions!$D:$D,"")</f>
        <v>Understanding of Risk Policies &amp; Procedures</v>
      </c>
      <c r="I563" t="s">
        <v>262</v>
      </c>
    </row>
    <row r="564" spans="1:9" x14ac:dyDescent="0.35">
      <c r="A564" t="s">
        <v>105</v>
      </c>
      <c r="B564" t="s">
        <v>49</v>
      </c>
      <c r="C564" t="s">
        <v>85</v>
      </c>
      <c r="D564" t="str">
        <f>VLOOKUP(Table7[[#This Row],[QuestionID]], FinalQuestions!$A:$C, 3, FALSE)</f>
        <v>Clarity</v>
      </c>
      <c r="E564">
        <f>IF(Table7[[#This Row],[Response]]="","",CHOOSE(MATCH(Table7[[#This Row],[Response]],{"Strongly Agree","Agree","Neutral","Disagree","Strongly Disagree","Not Applicable"},0),5,4,3,2,1,""))</f>
        <v>5</v>
      </c>
      <c r="F564">
        <f>Table7[[#This Row],[Scores]] * 20</f>
        <v>100</v>
      </c>
      <c r="G564">
        <f>IF(OR(Table7[[#This Row],[Response]]="Strongly Agree",Table7[[#This Row],[Response]]="Agree"),1,0)</f>
        <v>1</v>
      </c>
      <c r="H564" t="str">
        <f>_xlfn.XLOOKUP(Table7[[#This Row],[QuestionID]], FinalQuestions!$A:$A, FinalQuestions!$D:$D,"")</f>
        <v>Clarity of Personal Risk Boundaries</v>
      </c>
      <c r="I564" t="s">
        <v>262</v>
      </c>
    </row>
    <row r="565" spans="1:9" x14ac:dyDescent="0.35">
      <c r="A565" t="s">
        <v>105</v>
      </c>
      <c r="B565" t="s">
        <v>51</v>
      </c>
      <c r="C565" t="s">
        <v>85</v>
      </c>
      <c r="D565" t="str">
        <f>VLOOKUP(Table7[[#This Row],[QuestionID]], FinalQuestions!$A:$C, 3, FALSE)</f>
        <v>Clarity</v>
      </c>
      <c r="E565">
        <f>IF(Table7[[#This Row],[Response]]="","",CHOOSE(MATCH(Table7[[#This Row],[Response]],{"Strongly Agree","Agree","Neutral","Disagree","Strongly Disagree","Not Applicable"},0),5,4,3,2,1,""))</f>
        <v>5</v>
      </c>
      <c r="F565">
        <f>Table7[[#This Row],[Scores]] * 20</f>
        <v>100</v>
      </c>
      <c r="G565">
        <f>IF(OR(Table7[[#This Row],[Response]]="Strongly Agree",Table7[[#This Row],[Response]]="Agree"),1,0)</f>
        <v>1</v>
      </c>
      <c r="H565" t="str">
        <f>_xlfn.XLOOKUP(Table7[[#This Row],[QuestionID]], FinalQuestions!$A:$A, FinalQuestions!$D:$D,"")</f>
        <v>Effectiveness of Risk Communication &amp; Training</v>
      </c>
      <c r="I565" t="s">
        <v>262</v>
      </c>
    </row>
    <row r="566" spans="1:9" x14ac:dyDescent="0.35">
      <c r="A566" t="s">
        <v>105</v>
      </c>
      <c r="B566" t="s">
        <v>53</v>
      </c>
      <c r="C566" t="s">
        <v>85</v>
      </c>
      <c r="D566" t="str">
        <f>VLOOKUP(Table7[[#This Row],[QuestionID]], FinalQuestions!$A:$C, 3, FALSE)</f>
        <v>Transparency</v>
      </c>
      <c r="E566">
        <f>IF(Table7[[#This Row],[Response]]="","",CHOOSE(MATCH(Table7[[#This Row],[Response]],{"Strongly Agree","Agree","Neutral","Disagree","Strongly Disagree","Not Applicable"},0),5,4,3,2,1,""))</f>
        <v>5</v>
      </c>
      <c r="F566">
        <f>Table7[[#This Row],[Scores]] * 20</f>
        <v>100</v>
      </c>
      <c r="G566">
        <f>IF(OR(Table7[[#This Row],[Response]]="Strongly Agree",Table7[[#This Row],[Response]]="Agree"),1,0)</f>
        <v>1</v>
      </c>
      <c r="H566" t="str">
        <f>_xlfn.XLOOKUP(Table7[[#This Row],[QuestionID]], FinalQuestions!$A:$A, FinalQuestions!$D:$D,"")</f>
        <v>Compliance Confidence in team</v>
      </c>
      <c r="I566" t="s">
        <v>262</v>
      </c>
    </row>
    <row r="567" spans="1:9" x14ac:dyDescent="0.35">
      <c r="A567" t="s">
        <v>105</v>
      </c>
      <c r="B567" t="s">
        <v>55</v>
      </c>
      <c r="C567" t="s">
        <v>2</v>
      </c>
      <c r="D567" t="str">
        <f>VLOOKUP(Table7[[#This Row],[QuestionID]], FinalQuestions!$A:$C, 3, FALSE)</f>
        <v>Transparency</v>
      </c>
      <c r="E567">
        <f>IF(Table7[[#This Row],[Response]]="","",CHOOSE(MATCH(Table7[[#This Row],[Response]],{"Strongly Agree","Agree","Neutral","Disagree","Strongly Disagree","Not Applicable"},0),5,4,3,2,1,""))</f>
        <v>4</v>
      </c>
      <c r="F567">
        <f>Table7[[#This Row],[Scores]] * 20</f>
        <v>80</v>
      </c>
      <c r="G567">
        <f>IF(OR(Table7[[#This Row],[Response]]="Strongly Agree",Table7[[#This Row],[Response]]="Agree"),1,0)</f>
        <v>1</v>
      </c>
      <c r="H567" t="str">
        <f>_xlfn.XLOOKUP(Table7[[#This Row],[QuestionID]], FinalQuestions!$A:$A, FinalQuestions!$D:$D,"")</f>
        <v>Transparency in Decision‑Making</v>
      </c>
      <c r="I567" t="s">
        <v>262</v>
      </c>
    </row>
    <row r="568" spans="1:9" x14ac:dyDescent="0.35">
      <c r="A568" t="s">
        <v>105</v>
      </c>
      <c r="B568" t="s">
        <v>57</v>
      </c>
      <c r="C568" t="s">
        <v>2</v>
      </c>
      <c r="D568" t="str">
        <f>VLOOKUP(Table7[[#This Row],[QuestionID]], FinalQuestions!$A:$C, 3, FALSE)</f>
        <v>Transparency</v>
      </c>
      <c r="E568">
        <f>IF(Table7[[#This Row],[Response]]="","",CHOOSE(MATCH(Table7[[#This Row],[Response]],{"Strongly Agree","Agree","Neutral","Disagree","Strongly Disagree","Not Applicable"},0),5,4,3,2,1,""))</f>
        <v>4</v>
      </c>
      <c r="F568">
        <f>Table7[[#This Row],[Scores]] * 20</f>
        <v>80</v>
      </c>
      <c r="G568">
        <f>IF(OR(Table7[[#This Row],[Response]]="Strongly Agree",Table7[[#This Row],[Response]]="Agree"),1,0)</f>
        <v>1</v>
      </c>
      <c r="H568" t="str">
        <f>_xlfn.XLOOKUP(Table7[[#This Row],[QuestionID]], FinalQuestions!$A:$A, FinalQuestions!$D:$D,"")</f>
        <v>Fairness &amp; Equity of Expectations</v>
      </c>
      <c r="I568" t="s">
        <v>262</v>
      </c>
    </row>
    <row r="569" spans="1:9" x14ac:dyDescent="0.35">
      <c r="A569" t="s">
        <v>105</v>
      </c>
      <c r="B569" t="s">
        <v>59</v>
      </c>
      <c r="C569" t="s">
        <v>2</v>
      </c>
      <c r="D569" t="str">
        <f>VLOOKUP(Table7[[#This Row],[QuestionID]], FinalQuestions!$A:$C, 3, FALSE)</f>
        <v>Transparency</v>
      </c>
      <c r="E569">
        <f>IF(Table7[[#This Row],[Response]]="","",CHOOSE(MATCH(Table7[[#This Row],[Response]],{"Strongly Agree","Agree","Neutral","Disagree","Strongly Disagree","Not Applicable"},0),5,4,3,2,1,""))</f>
        <v>4</v>
      </c>
      <c r="F569">
        <f>Table7[[#This Row],[Scores]] * 20</f>
        <v>80</v>
      </c>
      <c r="G569">
        <f>IF(OR(Table7[[#This Row],[Response]]="Strongly Agree",Table7[[#This Row],[Response]]="Agree"),1,0)</f>
        <v>1</v>
      </c>
      <c r="H569" t="str">
        <f>_xlfn.XLOOKUP(Table7[[#This Row],[QuestionID]], FinalQuestions!$A:$A, FinalQuestions!$D:$D,"")</f>
        <v>Leadership Awareness in the team</v>
      </c>
      <c r="I569" t="s">
        <v>262</v>
      </c>
    </row>
    <row r="570" spans="1:9" x14ac:dyDescent="0.35">
      <c r="A570" t="s">
        <v>105</v>
      </c>
      <c r="B570" t="s">
        <v>61</v>
      </c>
      <c r="C570" t="s">
        <v>2</v>
      </c>
      <c r="D570" t="str">
        <f>VLOOKUP(Table7[[#This Row],[QuestionID]], FinalQuestions!$A:$C, 3, FALSE)</f>
        <v>Commitment</v>
      </c>
      <c r="E570">
        <f>IF(Table7[[#This Row],[Response]]="","",CHOOSE(MATCH(Table7[[#This Row],[Response]],{"Strongly Agree","Agree","Neutral","Disagree","Strongly Disagree","Not Applicable"},0),5,4,3,2,1,""))</f>
        <v>4</v>
      </c>
      <c r="F570">
        <f>Table7[[#This Row],[Scores]] * 20</f>
        <v>80</v>
      </c>
      <c r="G570">
        <f>IF(OR(Table7[[#This Row],[Response]]="Strongly Agree",Table7[[#This Row],[Response]]="Agree"),1,0)</f>
        <v>1</v>
      </c>
      <c r="H570" t="str">
        <f>_xlfn.XLOOKUP(Table7[[#This Row],[QuestionID]], FinalQuestions!$A:$A, FinalQuestions!$D:$D,"")</f>
        <v>Motivation for Risk Ownership</v>
      </c>
      <c r="I570" t="s">
        <v>262</v>
      </c>
    </row>
    <row r="571" spans="1:9" x14ac:dyDescent="0.35">
      <c r="A571" t="s">
        <v>105</v>
      </c>
      <c r="B571" t="s">
        <v>63</v>
      </c>
      <c r="C571" t="s">
        <v>2</v>
      </c>
      <c r="D571" t="str">
        <f>VLOOKUP(Table7[[#This Row],[QuestionID]], FinalQuestions!$A:$C, 3, FALSE)</f>
        <v>Commitment</v>
      </c>
      <c r="E571">
        <f>IF(Table7[[#This Row],[Response]]="","",CHOOSE(MATCH(Table7[[#This Row],[Response]],{"Strongly Agree","Agree","Neutral","Disagree","Strongly Disagree","Not Applicable"},0),5,4,3,2,1,""))</f>
        <v>4</v>
      </c>
      <c r="F571">
        <f>Table7[[#This Row],[Scores]] * 20</f>
        <v>80</v>
      </c>
      <c r="G571">
        <f>IF(OR(Table7[[#This Row],[Response]]="Strongly Agree",Table7[[#This Row],[Response]]="Agree"),1,0)</f>
        <v>1</v>
      </c>
      <c r="H571" t="str">
        <f>_xlfn.XLOOKUP(Table7[[#This Row],[QuestionID]], FinalQuestions!$A:$A, FinalQuestions!$D:$D,"")</f>
        <v>Sense of Belonging to the Organization</v>
      </c>
      <c r="I571" t="s">
        <v>262</v>
      </c>
    </row>
    <row r="572" spans="1:9" x14ac:dyDescent="0.35">
      <c r="A572" t="s">
        <v>105</v>
      </c>
      <c r="B572" t="s">
        <v>65</v>
      </c>
      <c r="C572" t="s">
        <v>2</v>
      </c>
      <c r="D572" t="str">
        <f>VLOOKUP(Table7[[#This Row],[QuestionID]], FinalQuestions!$A:$C, 3, FALSE)</f>
        <v>Commitment</v>
      </c>
      <c r="E572">
        <f>IF(Table7[[#This Row],[Response]]="","",CHOOSE(MATCH(Table7[[#This Row],[Response]],{"Strongly Agree","Agree","Neutral","Disagree","Strongly Disagree","Not Applicable"},0),5,4,3,2,1,""))</f>
        <v>4</v>
      </c>
      <c r="F572">
        <f>Table7[[#This Row],[Scores]] * 20</f>
        <v>80</v>
      </c>
      <c r="G572">
        <f>IF(OR(Table7[[#This Row],[Response]]="Strongly Agree",Table7[[#This Row],[Response]]="Agree"),1,0)</f>
        <v>1</v>
      </c>
      <c r="H572" t="str">
        <f>_xlfn.XLOOKUP(Table7[[#This Row],[QuestionID]], FinalQuestions!$A:$A, FinalQuestions!$D:$D,"")</f>
        <v>Consideration of Impact on Others</v>
      </c>
      <c r="I572" t="s">
        <v>262</v>
      </c>
    </row>
    <row r="573" spans="1:9" x14ac:dyDescent="0.35">
      <c r="A573" t="s">
        <v>105</v>
      </c>
      <c r="B573" t="s">
        <v>67</v>
      </c>
      <c r="C573" t="s">
        <v>2</v>
      </c>
      <c r="D573" t="str">
        <f>VLOOKUP(Table7[[#This Row],[QuestionID]], FinalQuestions!$A:$C, 3, FALSE)</f>
        <v>Commitment</v>
      </c>
      <c r="E573">
        <f>IF(Table7[[#This Row],[Response]]="","",CHOOSE(MATCH(Table7[[#This Row],[Response]],{"Strongly Agree","Agree","Neutral","Disagree","Strongly Disagree","Not Applicable"},0),5,4,3,2,1,""))</f>
        <v>4</v>
      </c>
      <c r="F573">
        <f>Table7[[#This Row],[Scores]] * 20</f>
        <v>80</v>
      </c>
      <c r="G573">
        <f>IF(OR(Table7[[#This Row],[Response]]="Strongly Agree",Table7[[#This Row],[Response]]="Agree"),1,0)</f>
        <v>1</v>
      </c>
      <c r="H573" t="str">
        <f>_xlfn.XLOOKUP(Table7[[#This Row],[QuestionID]], FinalQuestions!$A:$A, FinalQuestions!$D:$D,"")</f>
        <v>Accountability for Risk Actions</v>
      </c>
      <c r="I573" t="s">
        <v>262</v>
      </c>
    </row>
    <row r="574" spans="1:9" x14ac:dyDescent="0.35">
      <c r="A574" t="s">
        <v>105</v>
      </c>
      <c r="B574" t="s">
        <v>69</v>
      </c>
      <c r="C574" t="s">
        <v>2</v>
      </c>
      <c r="D574" t="str">
        <f>VLOOKUP(Table7[[#This Row],[QuestionID]], FinalQuestions!$A:$C, 3, FALSE)</f>
        <v>Call someone to account</v>
      </c>
      <c r="E574">
        <f>IF(Table7[[#This Row],[Response]]="","",CHOOSE(MATCH(Table7[[#This Row],[Response]],{"Strongly Agree","Agree","Neutral","Disagree","Strongly Disagree","Not Applicable"},0),5,4,3,2,1,""))</f>
        <v>4</v>
      </c>
      <c r="F574">
        <f>Table7[[#This Row],[Scores]] * 20</f>
        <v>80</v>
      </c>
      <c r="G574">
        <f>IF(OR(Table7[[#This Row],[Response]]="Strongly Agree",Table7[[#This Row],[Response]]="Agree"),1,0)</f>
        <v>1</v>
      </c>
      <c r="H574" t="str">
        <f>_xlfn.XLOOKUP(Table7[[#This Row],[QuestionID]], FinalQuestions!$A:$A, FinalQuestions!$D:$D,"")</f>
        <v xml:space="preserve">Peer to peer Accountability </v>
      </c>
      <c r="I574" t="s">
        <v>262</v>
      </c>
    </row>
    <row r="575" spans="1:9" x14ac:dyDescent="0.35">
      <c r="A575" t="s">
        <v>105</v>
      </c>
      <c r="B575" t="s">
        <v>71</v>
      </c>
      <c r="C575" t="s">
        <v>4</v>
      </c>
      <c r="D575" t="str">
        <f>VLOOKUP(Table7[[#This Row],[QuestionID]], FinalQuestions!$A:$C, 3, FALSE)</f>
        <v>Call someone to account</v>
      </c>
      <c r="E575">
        <f>IF(Table7[[#This Row],[Response]]="","",CHOOSE(MATCH(Table7[[#This Row],[Response]],{"Strongly Agree","Agree","Neutral","Disagree","Strongly Disagree","Not Applicable"},0),5,4,3,2,1,""))</f>
        <v>3</v>
      </c>
      <c r="F575">
        <f>Table7[[#This Row],[Scores]] * 20</f>
        <v>60</v>
      </c>
      <c r="G575">
        <f>IF(OR(Table7[[#This Row],[Response]]="Strongly Agree",Table7[[#This Row],[Response]]="Agree"),1,0)</f>
        <v>0</v>
      </c>
      <c r="H575" t="str">
        <f>_xlfn.XLOOKUP(Table7[[#This Row],[QuestionID]], FinalQuestions!$A:$A, FinalQuestions!$D:$D,"")</f>
        <v>Timely Resolution of Accountability Issues</v>
      </c>
      <c r="I575" t="s">
        <v>262</v>
      </c>
    </row>
    <row r="576" spans="1:9" x14ac:dyDescent="0.35">
      <c r="A576" t="s">
        <v>105</v>
      </c>
      <c r="B576" t="s">
        <v>73</v>
      </c>
      <c r="C576" t="s">
        <v>85</v>
      </c>
      <c r="D576" t="str">
        <f>VLOOKUP(Table7[[#This Row],[QuestionID]], FinalQuestions!$A:$C, 3, FALSE)</f>
        <v>Call someone to account</v>
      </c>
      <c r="E576">
        <f>IF(Table7[[#This Row],[Response]]="","",CHOOSE(MATCH(Table7[[#This Row],[Response]],{"Strongly Agree","Agree","Neutral","Disagree","Strongly Disagree","Not Applicable"},0),5,4,3,2,1,""))</f>
        <v>5</v>
      </c>
      <c r="F576">
        <f>Table7[[#This Row],[Scores]] * 20</f>
        <v>100</v>
      </c>
      <c r="G576">
        <f>IF(OR(Table7[[#This Row],[Response]]="Strongly Agree",Table7[[#This Row],[Response]]="Agree"),1,0)</f>
        <v>1</v>
      </c>
      <c r="H576" t="str">
        <f>_xlfn.XLOOKUP(Table7[[#This Row],[QuestionID]], FinalQuestions!$A:$A, FinalQuestions!$D:$D,"")</f>
        <v>Comfort for Reporting Non‑Compliance.</v>
      </c>
      <c r="I576" t="s">
        <v>262</v>
      </c>
    </row>
    <row r="577" spans="1:9" x14ac:dyDescent="0.35">
      <c r="A577" t="s">
        <v>105</v>
      </c>
      <c r="B577" t="s">
        <v>75</v>
      </c>
      <c r="C577" t="s">
        <v>85</v>
      </c>
      <c r="D577" t="str">
        <f>VLOOKUP(Table7[[#This Row],[QuestionID]], FinalQuestions!$A:$C, 3, FALSE)</f>
        <v>Call someone to account</v>
      </c>
      <c r="E577">
        <f>IF(Table7[[#This Row],[Response]]="","",CHOOSE(MATCH(Table7[[#This Row],[Response]],{"Strongly Agree","Agree","Neutral","Disagree","Strongly Disagree","Not Applicable"},0),5,4,3,2,1,""))</f>
        <v>5</v>
      </c>
      <c r="F577">
        <f>Table7[[#This Row],[Scores]] * 20</f>
        <v>100</v>
      </c>
      <c r="G577">
        <f>IF(OR(Table7[[#This Row],[Response]]="Strongly Agree",Table7[[#This Row],[Response]]="Agree"),1,0)</f>
        <v>1</v>
      </c>
      <c r="H577" t="str">
        <f>_xlfn.XLOOKUP(Table7[[#This Row],[QuestionID]], FinalQuestions!$A:$A, FinalQuestions!$D:$D,"")</f>
        <v>Consistency of Conduct Enforcement</v>
      </c>
      <c r="I577" t="s">
        <v>262</v>
      </c>
    </row>
    <row r="578" spans="1:9" x14ac:dyDescent="0.35">
      <c r="A578" t="s">
        <v>106</v>
      </c>
      <c r="B578" t="s">
        <v>13</v>
      </c>
      <c r="C578" t="s">
        <v>2</v>
      </c>
      <c r="D578" t="str">
        <f>VLOOKUP(Table7[[#This Row],[QuestionID]], FinalQuestions!$A:$C, 3, FALSE)</f>
        <v>Role Modelling</v>
      </c>
      <c r="E578">
        <f>IF(Table7[[#This Row],[Response]]="","",CHOOSE(MATCH(Table7[[#This Row],[Response]],{"Strongly Agree","Agree","Neutral","Disagree","Strongly Disagree","Not Applicable"},0),5,4,3,2,1,""))</f>
        <v>4</v>
      </c>
      <c r="F578">
        <f>Table7[[#This Row],[Scores]] * 20</f>
        <v>80</v>
      </c>
      <c r="G578">
        <f>IF(OR(Table7[[#This Row],[Response]]="Strongly Agree",Table7[[#This Row],[Response]]="Agree"),1,0)</f>
        <v>1</v>
      </c>
      <c r="H578" t="str">
        <f>_xlfn.XLOOKUP(Table7[[#This Row],[QuestionID]], FinalQuestions!$A:$A, FinalQuestions!$D:$D,"")</f>
        <v xml:space="preserve">Leadership Example‑Setting in Risk Management </v>
      </c>
      <c r="I578" t="s">
        <v>263</v>
      </c>
    </row>
    <row r="579" spans="1:9" x14ac:dyDescent="0.35">
      <c r="A579" t="s">
        <v>106</v>
      </c>
      <c r="B579" t="s">
        <v>15</v>
      </c>
      <c r="C579" t="s">
        <v>2</v>
      </c>
      <c r="D579" t="str">
        <f>VLOOKUP(Table7[[#This Row],[QuestionID]], FinalQuestions!$A:$C, 3, FALSE)</f>
        <v>Role Modelling</v>
      </c>
      <c r="E579">
        <f>IF(Table7[[#This Row],[Response]]="","",CHOOSE(MATCH(Table7[[#This Row],[Response]],{"Strongly Agree","Agree","Neutral","Disagree","Strongly Disagree","Not Applicable"},0),5,4,3,2,1,""))</f>
        <v>4</v>
      </c>
      <c r="F579">
        <f>Table7[[#This Row],[Scores]] * 20</f>
        <v>80</v>
      </c>
      <c r="G579">
        <f>IF(OR(Table7[[#This Row],[Response]]="Strongly Agree",Table7[[#This Row],[Response]]="Agree"),1,0)</f>
        <v>1</v>
      </c>
      <c r="H579" t="str">
        <f>_xlfn.XLOOKUP(Table7[[#This Row],[QuestionID]], FinalQuestions!$A:$A, FinalQuestions!$D:$D,"")</f>
        <v>Executive Commitment to Risk Culture</v>
      </c>
      <c r="I579" t="s">
        <v>263</v>
      </c>
    </row>
    <row r="580" spans="1:9" x14ac:dyDescent="0.35">
      <c r="A580" t="s">
        <v>106</v>
      </c>
      <c r="B580" t="s">
        <v>17</v>
      </c>
      <c r="C580" t="s">
        <v>85</v>
      </c>
      <c r="D580" t="str">
        <f>VLOOKUP(Table7[[#This Row],[QuestionID]], FinalQuestions!$A:$C, 3, FALSE)</f>
        <v>Role Modelling</v>
      </c>
      <c r="E580">
        <f>IF(Table7[[#This Row],[Response]]="","",CHOOSE(MATCH(Table7[[#This Row],[Response]],{"Strongly Agree","Agree","Neutral","Disagree","Strongly Disagree","Not Applicable"},0),5,4,3,2,1,""))</f>
        <v>5</v>
      </c>
      <c r="F580">
        <f>Table7[[#This Row],[Scores]] * 20</f>
        <v>100</v>
      </c>
      <c r="G580">
        <f>IF(OR(Table7[[#This Row],[Response]]="Strongly Agree",Table7[[#This Row],[Response]]="Agree"),1,0)</f>
        <v>1</v>
      </c>
      <c r="H580" t="str">
        <f>_xlfn.XLOOKUP(Table7[[#This Row],[QuestionID]], FinalQuestions!$A:$A, FinalQuestions!$D:$D,"")</f>
        <v>Leadership Encouragement to Escalate Risks</v>
      </c>
      <c r="I580" t="s">
        <v>263</v>
      </c>
    </row>
    <row r="581" spans="1:9" x14ac:dyDescent="0.35">
      <c r="A581" t="s">
        <v>106</v>
      </c>
      <c r="B581" t="s">
        <v>19</v>
      </c>
      <c r="C581" t="s">
        <v>85</v>
      </c>
      <c r="D581" t="str">
        <f>VLOOKUP(Table7[[#This Row],[QuestionID]], FinalQuestions!$A:$C, 3, FALSE)</f>
        <v>Role Modelling</v>
      </c>
      <c r="E581">
        <f>IF(Table7[[#This Row],[Response]]="","",CHOOSE(MATCH(Table7[[#This Row],[Response]],{"Strongly Agree","Agree","Neutral","Disagree","Strongly Disagree","Not Applicable"},0),5,4,3,2,1,""))</f>
        <v>5</v>
      </c>
      <c r="F581">
        <f>Table7[[#This Row],[Scores]] * 20</f>
        <v>100</v>
      </c>
      <c r="G581">
        <f>IF(OR(Table7[[#This Row],[Response]]="Strongly Agree",Table7[[#This Row],[Response]]="Agree"),1,0)</f>
        <v>1</v>
      </c>
      <c r="H581" t="str">
        <f>_xlfn.XLOOKUP(Table7[[#This Row],[QuestionID]], FinalQuestions!$A:$A, FinalQuestions!$D:$D,"")</f>
        <v>Long-Term Decision Awareness</v>
      </c>
      <c r="I581" t="s">
        <v>263</v>
      </c>
    </row>
    <row r="582" spans="1:9" x14ac:dyDescent="0.35">
      <c r="A582" t="s">
        <v>106</v>
      </c>
      <c r="B582" t="s">
        <v>21</v>
      </c>
      <c r="C582" t="s">
        <v>85</v>
      </c>
      <c r="D582" t="str">
        <f>VLOOKUP(Table7[[#This Row],[QuestionID]], FinalQuestions!$A:$C, 3, FALSE)</f>
        <v>Discussability</v>
      </c>
      <c r="E582">
        <f>IF(Table7[[#This Row],[Response]]="","",CHOOSE(MATCH(Table7[[#This Row],[Response]],{"Strongly Agree","Agree","Neutral","Disagree","Strongly Disagree","Not Applicable"},0),5,4,3,2,1,""))</f>
        <v>5</v>
      </c>
      <c r="F582">
        <f>Table7[[#This Row],[Scores]] * 20</f>
        <v>100</v>
      </c>
      <c r="G582">
        <f>IF(OR(Table7[[#This Row],[Response]]="Strongly Agree",Table7[[#This Row],[Response]]="Agree"),1,0)</f>
        <v>1</v>
      </c>
      <c r="H582" t="str">
        <f>_xlfn.XLOOKUP(Table7[[#This Row],[QuestionID]], FinalQuestions!$A:$A, FinalQuestions!$D:$D,"")</f>
        <v>Openness to Discussions</v>
      </c>
      <c r="I582" t="s">
        <v>263</v>
      </c>
    </row>
    <row r="583" spans="1:9" x14ac:dyDescent="0.35">
      <c r="A583" t="s">
        <v>106</v>
      </c>
      <c r="B583" t="s">
        <v>23</v>
      </c>
      <c r="C583" t="s">
        <v>85</v>
      </c>
      <c r="D583" t="str">
        <f>VLOOKUP(Table7[[#This Row],[QuestionID]], FinalQuestions!$A:$C, 3, FALSE)</f>
        <v>Discussability</v>
      </c>
      <c r="E583">
        <f>IF(Table7[[#This Row],[Response]]="","",CHOOSE(MATCH(Table7[[#This Row],[Response]],{"Strongly Agree","Agree","Neutral","Disagree","Strongly Disagree","Not Applicable"},0),5,4,3,2,1,""))</f>
        <v>5</v>
      </c>
      <c r="F583">
        <f>Table7[[#This Row],[Scores]] * 20</f>
        <v>100</v>
      </c>
      <c r="G583">
        <f>IF(OR(Table7[[#This Row],[Response]]="Strongly Agree",Table7[[#This Row],[Response]]="Agree"),1,0)</f>
        <v>1</v>
      </c>
      <c r="H583" t="str">
        <f>_xlfn.XLOOKUP(Table7[[#This Row],[QuestionID]], FinalQuestions!$A:$A, FinalQuestions!$D:$D,"")</f>
        <v>Access to Guidance</v>
      </c>
      <c r="I583" t="s">
        <v>263</v>
      </c>
    </row>
    <row r="584" spans="1:9" x14ac:dyDescent="0.35">
      <c r="A584" t="s">
        <v>106</v>
      </c>
      <c r="B584" t="s">
        <v>25</v>
      </c>
      <c r="C584" t="s">
        <v>85</v>
      </c>
      <c r="D584" t="str">
        <f>VLOOKUP(Table7[[#This Row],[QuestionID]], FinalQuestions!$A:$C, 3, FALSE)</f>
        <v>Discussability</v>
      </c>
      <c r="E584">
        <f>IF(Table7[[#This Row],[Response]]="","",CHOOSE(MATCH(Table7[[#This Row],[Response]],{"Strongly Agree","Agree","Neutral","Disagree","Strongly Disagree","Not Applicable"},0),5,4,3,2,1,""))</f>
        <v>5</v>
      </c>
      <c r="F584">
        <f>Table7[[#This Row],[Scores]] * 20</f>
        <v>100</v>
      </c>
      <c r="G584">
        <f>IF(OR(Table7[[#This Row],[Response]]="Strongly Agree",Table7[[#This Row],[Response]]="Agree"),1,0)</f>
        <v>1</v>
      </c>
      <c r="H584" t="str">
        <f>_xlfn.XLOOKUP(Table7[[#This Row],[QuestionID]], FinalQuestions!$A:$A, FinalQuestions!$D:$D,"")</f>
        <v>Openness to Sharing Opinions</v>
      </c>
      <c r="I584" t="s">
        <v>263</v>
      </c>
    </row>
    <row r="585" spans="1:9" x14ac:dyDescent="0.35">
      <c r="A585" t="s">
        <v>106</v>
      </c>
      <c r="B585" t="s">
        <v>27</v>
      </c>
      <c r="C585" t="s">
        <v>85</v>
      </c>
      <c r="D585" t="str">
        <f>VLOOKUP(Table7[[#This Row],[QuestionID]], FinalQuestions!$A:$C, 3, FALSE)</f>
        <v>Discussability</v>
      </c>
      <c r="E585">
        <f>IF(Table7[[#This Row],[Response]]="","",CHOOSE(MATCH(Table7[[#This Row],[Response]],{"Strongly Agree","Agree","Neutral","Disagree","Strongly Disagree","Not Applicable"},0),5,4,3,2,1,""))</f>
        <v>5</v>
      </c>
      <c r="F585">
        <f>Table7[[#This Row],[Scores]] * 20</f>
        <v>100</v>
      </c>
      <c r="G585">
        <f>IF(OR(Table7[[#This Row],[Response]]="Strongly Agree",Table7[[#This Row],[Response]]="Agree"),1,0)</f>
        <v>1</v>
      </c>
      <c r="H585" t="str">
        <f>_xlfn.XLOOKUP(Table7[[#This Row],[QuestionID]], FinalQuestions!$A:$A, FinalQuestions!$D:$D,"")</f>
        <v>Comfort in Reporting Risk Dilemmas</v>
      </c>
      <c r="I585" t="s">
        <v>263</v>
      </c>
    </row>
    <row r="586" spans="1:9" x14ac:dyDescent="0.35">
      <c r="A586" t="s">
        <v>106</v>
      </c>
      <c r="B586" t="s">
        <v>29</v>
      </c>
      <c r="C586" t="s">
        <v>85</v>
      </c>
      <c r="D586" t="str">
        <f>VLOOKUP(Table7[[#This Row],[QuestionID]], FinalQuestions!$A:$C, 3, FALSE)</f>
        <v>Achievability</v>
      </c>
      <c r="E586">
        <f>IF(Table7[[#This Row],[Response]]="","",CHOOSE(MATCH(Table7[[#This Row],[Response]],{"Strongly Agree","Agree","Neutral","Disagree","Strongly Disagree","Not Applicable"},0),5,4,3,2,1,""))</f>
        <v>5</v>
      </c>
      <c r="F586">
        <f>Table7[[#This Row],[Scores]] * 20</f>
        <v>100</v>
      </c>
      <c r="G586">
        <f>IF(OR(Table7[[#This Row],[Response]]="Strongly Agree",Table7[[#This Row],[Response]]="Agree"),1,0)</f>
        <v>1</v>
      </c>
      <c r="H586" t="str">
        <f>_xlfn.XLOOKUP(Table7[[#This Row],[QuestionID]], FinalQuestions!$A:$A, FinalQuestions!$D:$D,"")</f>
        <v>Adequacy of Risk Management Training</v>
      </c>
      <c r="I586" t="s">
        <v>263</v>
      </c>
    </row>
    <row r="587" spans="1:9" x14ac:dyDescent="0.35">
      <c r="A587" t="s">
        <v>106</v>
      </c>
      <c r="B587" t="s">
        <v>31</v>
      </c>
      <c r="C587" t="s">
        <v>2</v>
      </c>
      <c r="D587" t="str">
        <f>VLOOKUP(Table7[[#This Row],[QuestionID]], FinalQuestions!$A:$C, 3, FALSE)</f>
        <v>Achievability</v>
      </c>
      <c r="E587">
        <f>IF(Table7[[#This Row],[Response]]="","",CHOOSE(MATCH(Table7[[#This Row],[Response]],{"Strongly Agree","Agree","Neutral","Disagree","Strongly Disagree","Not Applicable"},0),5,4,3,2,1,""))</f>
        <v>4</v>
      </c>
      <c r="F587">
        <f>Table7[[#This Row],[Scores]] * 20</f>
        <v>80</v>
      </c>
      <c r="G587">
        <f>IF(OR(Table7[[#This Row],[Response]]="Strongly Agree",Table7[[#This Row],[Response]]="Agree"),1,0)</f>
        <v>1</v>
      </c>
      <c r="H587" t="str">
        <f>_xlfn.XLOOKUP(Table7[[#This Row],[QuestionID]], FinalQuestions!$A:$A, FinalQuestions!$D:$D,"")</f>
        <v>Workload Balance &amp; Resource Sufficiency</v>
      </c>
      <c r="I587" t="s">
        <v>263</v>
      </c>
    </row>
    <row r="588" spans="1:9" x14ac:dyDescent="0.35">
      <c r="A588" t="s">
        <v>106</v>
      </c>
      <c r="B588" t="s">
        <v>33</v>
      </c>
      <c r="C588" t="s">
        <v>2</v>
      </c>
      <c r="D588" t="str">
        <f>VLOOKUP(Table7[[#This Row],[QuestionID]], FinalQuestions!$A:$C, 3, FALSE)</f>
        <v>Achievability</v>
      </c>
      <c r="E588">
        <f>IF(Table7[[#This Row],[Response]]="","",CHOOSE(MATCH(Table7[[#This Row],[Response]],{"Strongly Agree","Agree","Neutral","Disagree","Strongly Disagree","Not Applicable"},0),5,4,3,2,1,""))</f>
        <v>4</v>
      </c>
      <c r="F588">
        <f>Table7[[#This Row],[Scores]] * 20</f>
        <v>80</v>
      </c>
      <c r="G588">
        <f>IF(OR(Table7[[#This Row],[Response]]="Strongly Agree",Table7[[#This Row],[Response]]="Agree"),1,0)</f>
        <v>1</v>
      </c>
      <c r="H588" t="str">
        <f>_xlfn.XLOOKUP(Table7[[#This Row],[QuestionID]], FinalQuestions!$A:$A, FinalQuestions!$D:$D,"")</f>
        <v>Realistic Target Setting</v>
      </c>
      <c r="I588" t="s">
        <v>263</v>
      </c>
    </row>
    <row r="589" spans="1:9" x14ac:dyDescent="0.35">
      <c r="A589" t="s">
        <v>106</v>
      </c>
      <c r="B589" t="s">
        <v>35</v>
      </c>
      <c r="C589" t="s">
        <v>2</v>
      </c>
      <c r="D589" t="str">
        <f>VLOOKUP(Table7[[#This Row],[QuestionID]], FinalQuestions!$A:$C, 3, FALSE)</f>
        <v>Achievability</v>
      </c>
      <c r="E589">
        <f>IF(Table7[[#This Row],[Response]]="","",CHOOSE(MATCH(Table7[[#This Row],[Response]],{"Strongly Agree","Agree","Neutral","Disagree","Strongly Disagree","Not Applicable"},0),5,4,3,2,1,""))</f>
        <v>4</v>
      </c>
      <c r="F589">
        <f>Table7[[#This Row],[Scores]] * 20</f>
        <v>80</v>
      </c>
      <c r="G589">
        <f>IF(OR(Table7[[#This Row],[Response]]="Strongly Agree",Table7[[#This Row],[Response]]="Agree"),1,0)</f>
        <v>1</v>
      </c>
      <c r="H589" t="str">
        <f>_xlfn.XLOOKUP(Table7[[#This Row],[QuestionID]], FinalQuestions!$A:$A, FinalQuestions!$D:$D,"")</f>
        <v>Risk Insight in Decision Making</v>
      </c>
      <c r="I589" t="s">
        <v>263</v>
      </c>
    </row>
    <row r="590" spans="1:9" x14ac:dyDescent="0.35">
      <c r="A590" t="s">
        <v>106</v>
      </c>
      <c r="B590" t="s">
        <v>37</v>
      </c>
      <c r="C590" t="s">
        <v>85</v>
      </c>
      <c r="D590" t="str">
        <f>VLOOKUP(Table7[[#This Row],[QuestionID]], FinalQuestions!$A:$C, 3, FALSE)</f>
        <v>Enforcement</v>
      </c>
      <c r="E590">
        <f>IF(Table7[[#This Row],[Response]]="","",CHOOSE(MATCH(Table7[[#This Row],[Response]],{"Strongly Agree","Agree","Neutral","Disagree","Strongly Disagree","Not Applicable"},0),5,4,3,2,1,""))</f>
        <v>5</v>
      </c>
      <c r="F590">
        <f>Table7[[#This Row],[Scores]] * 20</f>
        <v>100</v>
      </c>
      <c r="G590">
        <f>IF(OR(Table7[[#This Row],[Response]]="Strongly Agree",Table7[[#This Row],[Response]]="Agree"),1,0)</f>
        <v>1</v>
      </c>
      <c r="H590" t="str">
        <f>_xlfn.XLOOKUP(Table7[[#This Row],[QuestionID]], FinalQuestions!$A:$A, FinalQuestions!$D:$D,"")</f>
        <v>Learning Culture from Non‑Compliance Cases</v>
      </c>
      <c r="I590" t="s">
        <v>263</v>
      </c>
    </row>
    <row r="591" spans="1:9" x14ac:dyDescent="0.35">
      <c r="A591" t="s">
        <v>106</v>
      </c>
      <c r="B591" t="s">
        <v>39</v>
      </c>
      <c r="C591" t="s">
        <v>2</v>
      </c>
      <c r="D591" t="str">
        <f>VLOOKUP(Table7[[#This Row],[QuestionID]], FinalQuestions!$A:$C, 3, FALSE)</f>
        <v>Enforcement</v>
      </c>
      <c r="E591">
        <f>IF(Table7[[#This Row],[Response]]="","",CHOOSE(MATCH(Table7[[#This Row],[Response]],{"Strongly Agree","Agree","Neutral","Disagree","Strongly Disagree","Not Applicable"},0),5,4,3,2,1,""))</f>
        <v>4</v>
      </c>
      <c r="F591">
        <f>Table7[[#This Row],[Scores]] * 20</f>
        <v>80</v>
      </c>
      <c r="G591">
        <f>IF(OR(Table7[[#This Row],[Response]]="Strongly Agree",Table7[[#This Row],[Response]]="Agree"),1,0)</f>
        <v>1</v>
      </c>
      <c r="H591" t="str">
        <f>_xlfn.XLOOKUP(Table7[[#This Row],[QuestionID]], FinalQuestions!$A:$A, FinalQuestions!$D:$D,"")</f>
        <v>Organizational View on Risk Culture</v>
      </c>
      <c r="I591" t="s">
        <v>263</v>
      </c>
    </row>
    <row r="592" spans="1:9" x14ac:dyDescent="0.35">
      <c r="A592" t="s">
        <v>106</v>
      </c>
      <c r="B592" t="s">
        <v>41</v>
      </c>
      <c r="C592" t="s">
        <v>2</v>
      </c>
      <c r="D592" t="str">
        <f>VLOOKUP(Table7[[#This Row],[QuestionID]], FinalQuestions!$A:$C, 3, FALSE)</f>
        <v>Enforcement</v>
      </c>
      <c r="E592">
        <f>IF(Table7[[#This Row],[Response]]="","",CHOOSE(MATCH(Table7[[#This Row],[Response]],{"Strongly Agree","Agree","Neutral","Disagree","Strongly Disagree","Not Applicable"},0),5,4,3,2,1,""))</f>
        <v>4</v>
      </c>
      <c r="F592">
        <f>Table7[[#This Row],[Scores]] * 20</f>
        <v>80</v>
      </c>
      <c r="G592">
        <f>IF(OR(Table7[[#This Row],[Response]]="Strongly Agree",Table7[[#This Row],[Response]]="Agree"),1,0)</f>
        <v>1</v>
      </c>
      <c r="H592" t="str">
        <f>_xlfn.XLOOKUP(Table7[[#This Row],[QuestionID]], FinalQuestions!$A:$A, FinalQuestions!$D:$D,"")</f>
        <v>Compliance Recognition &amp; enforcement</v>
      </c>
      <c r="I592" t="s">
        <v>263</v>
      </c>
    </row>
    <row r="593" spans="1:9" x14ac:dyDescent="0.35">
      <c r="A593" t="s">
        <v>106</v>
      </c>
      <c r="B593" t="s">
        <v>43</v>
      </c>
      <c r="C593" t="s">
        <v>2</v>
      </c>
      <c r="D593" t="str">
        <f>VLOOKUP(Table7[[#This Row],[QuestionID]], FinalQuestions!$A:$C, 3, FALSE)</f>
        <v>Enforcement</v>
      </c>
      <c r="E593">
        <f>IF(Table7[[#This Row],[Response]]="","",CHOOSE(MATCH(Table7[[#This Row],[Response]],{"Strongly Agree","Agree","Neutral","Disagree","Strongly Disagree","Not Applicable"},0),5,4,3,2,1,""))</f>
        <v>4</v>
      </c>
      <c r="F593">
        <f>Table7[[#This Row],[Scores]] * 20</f>
        <v>80</v>
      </c>
      <c r="G593">
        <f>IF(OR(Table7[[#This Row],[Response]]="Strongly Agree",Table7[[#This Row],[Response]]="Agree"),1,0)</f>
        <v>1</v>
      </c>
      <c r="H593" t="str">
        <f>_xlfn.XLOOKUP(Table7[[#This Row],[QuestionID]], FinalQuestions!$A:$A, FinalQuestions!$D:$D,"")</f>
        <v>Sense of Ownership</v>
      </c>
      <c r="I593" t="s">
        <v>263</v>
      </c>
    </row>
    <row r="594" spans="1:9" x14ac:dyDescent="0.35">
      <c r="A594" t="s">
        <v>106</v>
      </c>
      <c r="B594" t="s">
        <v>45</v>
      </c>
      <c r="C594" t="s">
        <v>2</v>
      </c>
      <c r="D594" t="str">
        <f>VLOOKUP(Table7[[#This Row],[QuestionID]], FinalQuestions!$A:$C, 3, FALSE)</f>
        <v>Clarity</v>
      </c>
      <c r="E594">
        <f>IF(Table7[[#This Row],[Response]]="","",CHOOSE(MATCH(Table7[[#This Row],[Response]],{"Strongly Agree","Agree","Neutral","Disagree","Strongly Disagree","Not Applicable"},0),5,4,3,2,1,""))</f>
        <v>4</v>
      </c>
      <c r="F594">
        <f>Table7[[#This Row],[Scores]] * 20</f>
        <v>80</v>
      </c>
      <c r="G594">
        <f>IF(OR(Table7[[#This Row],[Response]]="Strongly Agree",Table7[[#This Row],[Response]]="Agree"),1,0)</f>
        <v>1</v>
      </c>
      <c r="H594" t="str">
        <f>_xlfn.XLOOKUP(Table7[[#This Row],[QuestionID]], FinalQuestions!$A:$A, FinalQuestions!$D:$D,"")</f>
        <v>Clarity of Role and Responsibilities</v>
      </c>
      <c r="I594" t="s">
        <v>263</v>
      </c>
    </row>
    <row r="595" spans="1:9" x14ac:dyDescent="0.35">
      <c r="A595" t="s">
        <v>106</v>
      </c>
      <c r="B595" t="s">
        <v>47</v>
      </c>
      <c r="C595" t="s">
        <v>2</v>
      </c>
      <c r="D595" t="str">
        <f>VLOOKUP(Table7[[#This Row],[QuestionID]], FinalQuestions!$A:$C, 3, FALSE)</f>
        <v>Clarity</v>
      </c>
      <c r="E595">
        <f>IF(Table7[[#This Row],[Response]]="","",CHOOSE(MATCH(Table7[[#This Row],[Response]],{"Strongly Agree","Agree","Neutral","Disagree","Strongly Disagree","Not Applicable"},0),5,4,3,2,1,""))</f>
        <v>4</v>
      </c>
      <c r="F595">
        <f>Table7[[#This Row],[Scores]] * 20</f>
        <v>80</v>
      </c>
      <c r="G595">
        <f>IF(OR(Table7[[#This Row],[Response]]="Strongly Agree",Table7[[#This Row],[Response]]="Agree"),1,0)</f>
        <v>1</v>
      </c>
      <c r="H595" t="str">
        <f>_xlfn.XLOOKUP(Table7[[#This Row],[QuestionID]], FinalQuestions!$A:$A, FinalQuestions!$D:$D,"")</f>
        <v>Understanding of Risk Policies &amp; Procedures</v>
      </c>
      <c r="I595" t="s">
        <v>263</v>
      </c>
    </row>
    <row r="596" spans="1:9" x14ac:dyDescent="0.35">
      <c r="A596" t="s">
        <v>106</v>
      </c>
      <c r="B596" t="s">
        <v>49</v>
      </c>
      <c r="C596" t="s">
        <v>2</v>
      </c>
      <c r="D596" t="str">
        <f>VLOOKUP(Table7[[#This Row],[QuestionID]], FinalQuestions!$A:$C, 3, FALSE)</f>
        <v>Clarity</v>
      </c>
      <c r="E596">
        <f>IF(Table7[[#This Row],[Response]]="","",CHOOSE(MATCH(Table7[[#This Row],[Response]],{"Strongly Agree","Agree","Neutral","Disagree","Strongly Disagree","Not Applicable"},0),5,4,3,2,1,""))</f>
        <v>4</v>
      </c>
      <c r="F596">
        <f>Table7[[#This Row],[Scores]] * 20</f>
        <v>80</v>
      </c>
      <c r="G596">
        <f>IF(OR(Table7[[#This Row],[Response]]="Strongly Agree",Table7[[#This Row],[Response]]="Agree"),1,0)</f>
        <v>1</v>
      </c>
      <c r="H596" t="str">
        <f>_xlfn.XLOOKUP(Table7[[#This Row],[QuestionID]], FinalQuestions!$A:$A, FinalQuestions!$D:$D,"")</f>
        <v>Clarity of Personal Risk Boundaries</v>
      </c>
      <c r="I596" t="s">
        <v>263</v>
      </c>
    </row>
    <row r="597" spans="1:9" x14ac:dyDescent="0.35">
      <c r="A597" t="s">
        <v>106</v>
      </c>
      <c r="B597" t="s">
        <v>51</v>
      </c>
      <c r="C597" t="s">
        <v>2</v>
      </c>
      <c r="D597" t="str">
        <f>VLOOKUP(Table7[[#This Row],[QuestionID]], FinalQuestions!$A:$C, 3, FALSE)</f>
        <v>Clarity</v>
      </c>
      <c r="E597">
        <f>IF(Table7[[#This Row],[Response]]="","",CHOOSE(MATCH(Table7[[#This Row],[Response]],{"Strongly Agree","Agree","Neutral","Disagree","Strongly Disagree","Not Applicable"},0),5,4,3,2,1,""))</f>
        <v>4</v>
      </c>
      <c r="F597">
        <f>Table7[[#This Row],[Scores]] * 20</f>
        <v>80</v>
      </c>
      <c r="G597">
        <f>IF(OR(Table7[[#This Row],[Response]]="Strongly Agree",Table7[[#This Row],[Response]]="Agree"),1,0)</f>
        <v>1</v>
      </c>
      <c r="H597" t="str">
        <f>_xlfn.XLOOKUP(Table7[[#This Row],[QuestionID]], FinalQuestions!$A:$A, FinalQuestions!$D:$D,"")</f>
        <v>Effectiveness of Risk Communication &amp; Training</v>
      </c>
      <c r="I597" t="s">
        <v>263</v>
      </c>
    </row>
    <row r="598" spans="1:9" x14ac:dyDescent="0.35">
      <c r="A598" t="s">
        <v>106</v>
      </c>
      <c r="B598" t="s">
        <v>53</v>
      </c>
      <c r="C598" t="s">
        <v>2</v>
      </c>
      <c r="D598" t="str">
        <f>VLOOKUP(Table7[[#This Row],[QuestionID]], FinalQuestions!$A:$C, 3, FALSE)</f>
        <v>Transparency</v>
      </c>
      <c r="E598">
        <f>IF(Table7[[#This Row],[Response]]="","",CHOOSE(MATCH(Table7[[#This Row],[Response]],{"Strongly Agree","Agree","Neutral","Disagree","Strongly Disagree","Not Applicable"},0),5,4,3,2,1,""))</f>
        <v>4</v>
      </c>
      <c r="F598">
        <f>Table7[[#This Row],[Scores]] * 20</f>
        <v>80</v>
      </c>
      <c r="G598">
        <f>IF(OR(Table7[[#This Row],[Response]]="Strongly Agree",Table7[[#This Row],[Response]]="Agree"),1,0)</f>
        <v>1</v>
      </c>
      <c r="H598" t="str">
        <f>_xlfn.XLOOKUP(Table7[[#This Row],[QuestionID]], FinalQuestions!$A:$A, FinalQuestions!$D:$D,"")</f>
        <v>Compliance Confidence in team</v>
      </c>
      <c r="I598" t="s">
        <v>263</v>
      </c>
    </row>
    <row r="599" spans="1:9" x14ac:dyDescent="0.35">
      <c r="A599" t="s">
        <v>106</v>
      </c>
      <c r="B599" t="s">
        <v>55</v>
      </c>
      <c r="C599" t="s">
        <v>4</v>
      </c>
      <c r="D599" t="str">
        <f>VLOOKUP(Table7[[#This Row],[QuestionID]], FinalQuestions!$A:$C, 3, FALSE)</f>
        <v>Transparency</v>
      </c>
      <c r="E599">
        <f>IF(Table7[[#This Row],[Response]]="","",CHOOSE(MATCH(Table7[[#This Row],[Response]],{"Strongly Agree","Agree","Neutral","Disagree","Strongly Disagree","Not Applicable"},0),5,4,3,2,1,""))</f>
        <v>3</v>
      </c>
      <c r="F599">
        <f>Table7[[#This Row],[Scores]] * 20</f>
        <v>60</v>
      </c>
      <c r="G599">
        <f>IF(OR(Table7[[#This Row],[Response]]="Strongly Agree",Table7[[#This Row],[Response]]="Agree"),1,0)</f>
        <v>0</v>
      </c>
      <c r="H599" t="str">
        <f>_xlfn.XLOOKUP(Table7[[#This Row],[QuestionID]], FinalQuestions!$A:$A, FinalQuestions!$D:$D,"")</f>
        <v>Transparency in Decision‑Making</v>
      </c>
      <c r="I599" t="s">
        <v>263</v>
      </c>
    </row>
    <row r="600" spans="1:9" x14ac:dyDescent="0.35">
      <c r="A600" t="s">
        <v>106</v>
      </c>
      <c r="B600" t="s">
        <v>57</v>
      </c>
      <c r="C600" t="s">
        <v>85</v>
      </c>
      <c r="D600" t="str">
        <f>VLOOKUP(Table7[[#This Row],[QuestionID]], FinalQuestions!$A:$C, 3, FALSE)</f>
        <v>Transparency</v>
      </c>
      <c r="E600">
        <f>IF(Table7[[#This Row],[Response]]="","",CHOOSE(MATCH(Table7[[#This Row],[Response]],{"Strongly Agree","Agree","Neutral","Disagree","Strongly Disagree","Not Applicable"},0),5,4,3,2,1,""))</f>
        <v>5</v>
      </c>
      <c r="F600">
        <f>Table7[[#This Row],[Scores]] * 20</f>
        <v>100</v>
      </c>
      <c r="G600">
        <f>IF(OR(Table7[[#This Row],[Response]]="Strongly Agree",Table7[[#This Row],[Response]]="Agree"),1,0)</f>
        <v>1</v>
      </c>
      <c r="H600" t="str">
        <f>_xlfn.XLOOKUP(Table7[[#This Row],[QuestionID]], FinalQuestions!$A:$A, FinalQuestions!$D:$D,"")</f>
        <v>Fairness &amp; Equity of Expectations</v>
      </c>
      <c r="I600" t="s">
        <v>263</v>
      </c>
    </row>
    <row r="601" spans="1:9" x14ac:dyDescent="0.35">
      <c r="A601" t="s">
        <v>106</v>
      </c>
      <c r="B601" t="s">
        <v>59</v>
      </c>
      <c r="C601" t="s">
        <v>85</v>
      </c>
      <c r="D601" t="str">
        <f>VLOOKUP(Table7[[#This Row],[QuestionID]], FinalQuestions!$A:$C, 3, FALSE)</f>
        <v>Transparency</v>
      </c>
      <c r="E601">
        <f>IF(Table7[[#This Row],[Response]]="","",CHOOSE(MATCH(Table7[[#This Row],[Response]],{"Strongly Agree","Agree","Neutral","Disagree","Strongly Disagree","Not Applicable"},0),5,4,3,2,1,""))</f>
        <v>5</v>
      </c>
      <c r="F601">
        <f>Table7[[#This Row],[Scores]] * 20</f>
        <v>100</v>
      </c>
      <c r="G601">
        <f>IF(OR(Table7[[#This Row],[Response]]="Strongly Agree",Table7[[#This Row],[Response]]="Agree"),1,0)</f>
        <v>1</v>
      </c>
      <c r="H601" t="str">
        <f>_xlfn.XLOOKUP(Table7[[#This Row],[QuestionID]], FinalQuestions!$A:$A, FinalQuestions!$D:$D,"")</f>
        <v>Leadership Awareness in the team</v>
      </c>
      <c r="I601" t="s">
        <v>263</v>
      </c>
    </row>
    <row r="602" spans="1:9" x14ac:dyDescent="0.35">
      <c r="A602" t="s">
        <v>106</v>
      </c>
      <c r="B602" t="s">
        <v>61</v>
      </c>
      <c r="C602" t="s">
        <v>2</v>
      </c>
      <c r="D602" t="str">
        <f>VLOOKUP(Table7[[#This Row],[QuestionID]], FinalQuestions!$A:$C, 3, FALSE)</f>
        <v>Commitment</v>
      </c>
      <c r="E602">
        <f>IF(Table7[[#This Row],[Response]]="","",CHOOSE(MATCH(Table7[[#This Row],[Response]],{"Strongly Agree","Agree","Neutral","Disagree","Strongly Disagree","Not Applicable"},0),5,4,3,2,1,""))</f>
        <v>4</v>
      </c>
      <c r="F602">
        <f>Table7[[#This Row],[Scores]] * 20</f>
        <v>80</v>
      </c>
      <c r="G602">
        <f>IF(OR(Table7[[#This Row],[Response]]="Strongly Agree",Table7[[#This Row],[Response]]="Agree"),1,0)</f>
        <v>1</v>
      </c>
      <c r="H602" t="str">
        <f>_xlfn.XLOOKUP(Table7[[#This Row],[QuestionID]], FinalQuestions!$A:$A, FinalQuestions!$D:$D,"")</f>
        <v>Motivation for Risk Ownership</v>
      </c>
      <c r="I602" t="s">
        <v>263</v>
      </c>
    </row>
    <row r="603" spans="1:9" x14ac:dyDescent="0.35">
      <c r="A603" t="s">
        <v>106</v>
      </c>
      <c r="B603" t="s">
        <v>63</v>
      </c>
      <c r="C603" t="s">
        <v>2</v>
      </c>
      <c r="D603" t="str">
        <f>VLOOKUP(Table7[[#This Row],[QuestionID]], FinalQuestions!$A:$C, 3, FALSE)</f>
        <v>Commitment</v>
      </c>
      <c r="E603">
        <f>IF(Table7[[#This Row],[Response]]="","",CHOOSE(MATCH(Table7[[#This Row],[Response]],{"Strongly Agree","Agree","Neutral","Disagree","Strongly Disagree","Not Applicable"},0),5,4,3,2,1,""))</f>
        <v>4</v>
      </c>
      <c r="F603">
        <f>Table7[[#This Row],[Scores]] * 20</f>
        <v>80</v>
      </c>
      <c r="G603">
        <f>IF(OR(Table7[[#This Row],[Response]]="Strongly Agree",Table7[[#This Row],[Response]]="Agree"),1,0)</f>
        <v>1</v>
      </c>
      <c r="H603" t="str">
        <f>_xlfn.XLOOKUP(Table7[[#This Row],[QuestionID]], FinalQuestions!$A:$A, FinalQuestions!$D:$D,"")</f>
        <v>Sense of Belonging to the Organization</v>
      </c>
      <c r="I603" t="s">
        <v>263</v>
      </c>
    </row>
    <row r="604" spans="1:9" x14ac:dyDescent="0.35">
      <c r="A604" t="s">
        <v>106</v>
      </c>
      <c r="B604" t="s">
        <v>65</v>
      </c>
      <c r="C604" t="s">
        <v>85</v>
      </c>
      <c r="D604" t="str">
        <f>VLOOKUP(Table7[[#This Row],[QuestionID]], FinalQuestions!$A:$C, 3, FALSE)</f>
        <v>Commitment</v>
      </c>
      <c r="E604">
        <f>IF(Table7[[#This Row],[Response]]="","",CHOOSE(MATCH(Table7[[#This Row],[Response]],{"Strongly Agree","Agree","Neutral","Disagree","Strongly Disagree","Not Applicable"},0),5,4,3,2,1,""))</f>
        <v>5</v>
      </c>
      <c r="F604">
        <f>Table7[[#This Row],[Scores]] * 20</f>
        <v>100</v>
      </c>
      <c r="G604">
        <f>IF(OR(Table7[[#This Row],[Response]]="Strongly Agree",Table7[[#This Row],[Response]]="Agree"),1,0)</f>
        <v>1</v>
      </c>
      <c r="H604" t="str">
        <f>_xlfn.XLOOKUP(Table7[[#This Row],[QuestionID]], FinalQuestions!$A:$A, FinalQuestions!$D:$D,"")</f>
        <v>Consideration of Impact on Others</v>
      </c>
      <c r="I604" t="s">
        <v>263</v>
      </c>
    </row>
    <row r="605" spans="1:9" x14ac:dyDescent="0.35">
      <c r="A605" t="s">
        <v>106</v>
      </c>
      <c r="B605" t="s">
        <v>67</v>
      </c>
      <c r="C605" t="s">
        <v>85</v>
      </c>
      <c r="D605" t="str">
        <f>VLOOKUP(Table7[[#This Row],[QuestionID]], FinalQuestions!$A:$C, 3, FALSE)</f>
        <v>Commitment</v>
      </c>
      <c r="E605">
        <f>IF(Table7[[#This Row],[Response]]="","",CHOOSE(MATCH(Table7[[#This Row],[Response]],{"Strongly Agree","Agree","Neutral","Disagree","Strongly Disagree","Not Applicable"},0),5,4,3,2,1,""))</f>
        <v>5</v>
      </c>
      <c r="F605">
        <f>Table7[[#This Row],[Scores]] * 20</f>
        <v>100</v>
      </c>
      <c r="G605">
        <f>IF(OR(Table7[[#This Row],[Response]]="Strongly Agree",Table7[[#This Row],[Response]]="Agree"),1,0)</f>
        <v>1</v>
      </c>
      <c r="H605" t="str">
        <f>_xlfn.XLOOKUP(Table7[[#This Row],[QuestionID]], FinalQuestions!$A:$A, FinalQuestions!$D:$D,"")</f>
        <v>Accountability for Risk Actions</v>
      </c>
      <c r="I605" t="s">
        <v>263</v>
      </c>
    </row>
    <row r="606" spans="1:9" x14ac:dyDescent="0.35">
      <c r="A606" t="s">
        <v>106</v>
      </c>
      <c r="B606" t="s">
        <v>69</v>
      </c>
      <c r="C606" t="s">
        <v>85</v>
      </c>
      <c r="D606" t="str">
        <f>VLOOKUP(Table7[[#This Row],[QuestionID]], FinalQuestions!$A:$C, 3, FALSE)</f>
        <v>Call someone to account</v>
      </c>
      <c r="E606">
        <f>IF(Table7[[#This Row],[Response]]="","",CHOOSE(MATCH(Table7[[#This Row],[Response]],{"Strongly Agree","Agree","Neutral","Disagree","Strongly Disagree","Not Applicable"},0),5,4,3,2,1,""))</f>
        <v>5</v>
      </c>
      <c r="F606">
        <f>Table7[[#This Row],[Scores]] * 20</f>
        <v>100</v>
      </c>
      <c r="G606">
        <f>IF(OR(Table7[[#This Row],[Response]]="Strongly Agree",Table7[[#This Row],[Response]]="Agree"),1,0)</f>
        <v>1</v>
      </c>
      <c r="H606" t="str">
        <f>_xlfn.XLOOKUP(Table7[[#This Row],[QuestionID]], FinalQuestions!$A:$A, FinalQuestions!$D:$D,"")</f>
        <v xml:space="preserve">Peer to peer Accountability </v>
      </c>
      <c r="I606" t="s">
        <v>263</v>
      </c>
    </row>
    <row r="607" spans="1:9" x14ac:dyDescent="0.35">
      <c r="A607" t="s">
        <v>106</v>
      </c>
      <c r="B607" t="s">
        <v>71</v>
      </c>
      <c r="C607" t="s">
        <v>85</v>
      </c>
      <c r="D607" t="str">
        <f>VLOOKUP(Table7[[#This Row],[QuestionID]], FinalQuestions!$A:$C, 3, FALSE)</f>
        <v>Call someone to account</v>
      </c>
      <c r="E607">
        <f>IF(Table7[[#This Row],[Response]]="","",CHOOSE(MATCH(Table7[[#This Row],[Response]],{"Strongly Agree","Agree","Neutral","Disagree","Strongly Disagree","Not Applicable"},0),5,4,3,2,1,""))</f>
        <v>5</v>
      </c>
      <c r="F607">
        <f>Table7[[#This Row],[Scores]] * 20</f>
        <v>100</v>
      </c>
      <c r="G607">
        <f>IF(OR(Table7[[#This Row],[Response]]="Strongly Agree",Table7[[#This Row],[Response]]="Agree"),1,0)</f>
        <v>1</v>
      </c>
      <c r="H607" t="str">
        <f>_xlfn.XLOOKUP(Table7[[#This Row],[QuestionID]], FinalQuestions!$A:$A, FinalQuestions!$D:$D,"")</f>
        <v>Timely Resolution of Accountability Issues</v>
      </c>
      <c r="I607" t="s">
        <v>263</v>
      </c>
    </row>
    <row r="608" spans="1:9" x14ac:dyDescent="0.35">
      <c r="A608" t="s">
        <v>106</v>
      </c>
      <c r="B608" t="s">
        <v>73</v>
      </c>
      <c r="C608" t="s">
        <v>85</v>
      </c>
      <c r="D608" t="str">
        <f>VLOOKUP(Table7[[#This Row],[QuestionID]], FinalQuestions!$A:$C, 3, FALSE)</f>
        <v>Call someone to account</v>
      </c>
      <c r="E608">
        <f>IF(Table7[[#This Row],[Response]]="","",CHOOSE(MATCH(Table7[[#This Row],[Response]],{"Strongly Agree","Agree","Neutral","Disagree","Strongly Disagree","Not Applicable"},0),5,4,3,2,1,""))</f>
        <v>5</v>
      </c>
      <c r="F608">
        <f>Table7[[#This Row],[Scores]] * 20</f>
        <v>100</v>
      </c>
      <c r="G608">
        <f>IF(OR(Table7[[#This Row],[Response]]="Strongly Agree",Table7[[#This Row],[Response]]="Agree"),1,0)</f>
        <v>1</v>
      </c>
      <c r="H608" t="str">
        <f>_xlfn.XLOOKUP(Table7[[#This Row],[QuestionID]], FinalQuestions!$A:$A, FinalQuestions!$D:$D,"")</f>
        <v>Comfort for Reporting Non‑Compliance.</v>
      </c>
      <c r="I608" t="s">
        <v>263</v>
      </c>
    </row>
    <row r="609" spans="1:9" x14ac:dyDescent="0.35">
      <c r="A609" t="s">
        <v>106</v>
      </c>
      <c r="B609" t="s">
        <v>75</v>
      </c>
      <c r="C609" t="s">
        <v>85</v>
      </c>
      <c r="D609" t="str">
        <f>VLOOKUP(Table7[[#This Row],[QuestionID]], FinalQuestions!$A:$C, 3, FALSE)</f>
        <v>Call someone to account</v>
      </c>
      <c r="E609">
        <f>IF(Table7[[#This Row],[Response]]="","",CHOOSE(MATCH(Table7[[#This Row],[Response]],{"Strongly Agree","Agree","Neutral","Disagree","Strongly Disagree","Not Applicable"},0),5,4,3,2,1,""))</f>
        <v>5</v>
      </c>
      <c r="F609">
        <f>Table7[[#This Row],[Scores]] * 20</f>
        <v>100</v>
      </c>
      <c r="G609">
        <f>IF(OR(Table7[[#This Row],[Response]]="Strongly Agree",Table7[[#This Row],[Response]]="Agree"),1,0)</f>
        <v>1</v>
      </c>
      <c r="H609" t="str">
        <f>_xlfn.XLOOKUP(Table7[[#This Row],[QuestionID]], FinalQuestions!$A:$A, FinalQuestions!$D:$D,"")</f>
        <v>Consistency of Conduct Enforcement</v>
      </c>
      <c r="I609" t="s">
        <v>263</v>
      </c>
    </row>
    <row r="610" spans="1:9" x14ac:dyDescent="0.35">
      <c r="A610" t="s">
        <v>107</v>
      </c>
      <c r="B610" t="s">
        <v>13</v>
      </c>
      <c r="C610" t="s">
        <v>85</v>
      </c>
      <c r="D610" t="str">
        <f>VLOOKUP(Table7[[#This Row],[QuestionID]], FinalQuestions!$A:$C, 3, FALSE)</f>
        <v>Role Modelling</v>
      </c>
      <c r="E610">
        <f>IF(Table7[[#This Row],[Response]]="","",CHOOSE(MATCH(Table7[[#This Row],[Response]],{"Strongly Agree","Agree","Neutral","Disagree","Strongly Disagree","Not Applicable"},0),5,4,3,2,1,""))</f>
        <v>5</v>
      </c>
      <c r="F610">
        <f>Table7[[#This Row],[Scores]] * 20</f>
        <v>100</v>
      </c>
      <c r="G610">
        <f>IF(OR(Table7[[#This Row],[Response]]="Strongly Agree",Table7[[#This Row],[Response]]="Agree"),1,0)</f>
        <v>1</v>
      </c>
      <c r="H610" t="str">
        <f>_xlfn.XLOOKUP(Table7[[#This Row],[QuestionID]], FinalQuestions!$A:$A, FinalQuestions!$D:$D,"")</f>
        <v xml:space="preserve">Leadership Example‑Setting in Risk Management </v>
      </c>
      <c r="I610" t="s">
        <v>267</v>
      </c>
    </row>
    <row r="611" spans="1:9" x14ac:dyDescent="0.35">
      <c r="A611" t="s">
        <v>107</v>
      </c>
      <c r="B611" t="s">
        <v>15</v>
      </c>
      <c r="C611" t="s">
        <v>2</v>
      </c>
      <c r="D611" t="str">
        <f>VLOOKUP(Table7[[#This Row],[QuestionID]], FinalQuestions!$A:$C, 3, FALSE)</f>
        <v>Role Modelling</v>
      </c>
      <c r="E611">
        <f>IF(Table7[[#This Row],[Response]]="","",CHOOSE(MATCH(Table7[[#This Row],[Response]],{"Strongly Agree","Agree","Neutral","Disagree","Strongly Disagree","Not Applicable"},0),5,4,3,2,1,""))</f>
        <v>4</v>
      </c>
      <c r="F611">
        <f>Table7[[#This Row],[Scores]] * 20</f>
        <v>80</v>
      </c>
      <c r="G611">
        <f>IF(OR(Table7[[#This Row],[Response]]="Strongly Agree",Table7[[#This Row],[Response]]="Agree"),1,0)</f>
        <v>1</v>
      </c>
      <c r="H611" t="str">
        <f>_xlfn.XLOOKUP(Table7[[#This Row],[QuestionID]], FinalQuestions!$A:$A, FinalQuestions!$D:$D,"")</f>
        <v>Executive Commitment to Risk Culture</v>
      </c>
      <c r="I611" t="s">
        <v>267</v>
      </c>
    </row>
    <row r="612" spans="1:9" x14ac:dyDescent="0.35">
      <c r="A612" t="s">
        <v>107</v>
      </c>
      <c r="B612" t="s">
        <v>17</v>
      </c>
      <c r="C612" t="s">
        <v>2</v>
      </c>
      <c r="D612" t="str">
        <f>VLOOKUP(Table7[[#This Row],[QuestionID]], FinalQuestions!$A:$C, 3, FALSE)</f>
        <v>Role Modelling</v>
      </c>
      <c r="E612">
        <f>IF(Table7[[#This Row],[Response]]="","",CHOOSE(MATCH(Table7[[#This Row],[Response]],{"Strongly Agree","Agree","Neutral","Disagree","Strongly Disagree","Not Applicable"},0),5,4,3,2,1,""))</f>
        <v>4</v>
      </c>
      <c r="F612">
        <f>Table7[[#This Row],[Scores]] * 20</f>
        <v>80</v>
      </c>
      <c r="G612">
        <f>IF(OR(Table7[[#This Row],[Response]]="Strongly Agree",Table7[[#This Row],[Response]]="Agree"),1,0)</f>
        <v>1</v>
      </c>
      <c r="H612" t="str">
        <f>_xlfn.XLOOKUP(Table7[[#This Row],[QuestionID]], FinalQuestions!$A:$A, FinalQuestions!$D:$D,"")</f>
        <v>Leadership Encouragement to Escalate Risks</v>
      </c>
      <c r="I612" t="s">
        <v>267</v>
      </c>
    </row>
    <row r="613" spans="1:9" x14ac:dyDescent="0.35">
      <c r="A613" t="s">
        <v>107</v>
      </c>
      <c r="B613" t="s">
        <v>19</v>
      </c>
      <c r="C613" t="s">
        <v>2</v>
      </c>
      <c r="D613" t="str">
        <f>VLOOKUP(Table7[[#This Row],[QuestionID]], FinalQuestions!$A:$C, 3, FALSE)</f>
        <v>Role Modelling</v>
      </c>
      <c r="E613">
        <f>IF(Table7[[#This Row],[Response]]="","",CHOOSE(MATCH(Table7[[#This Row],[Response]],{"Strongly Agree","Agree","Neutral","Disagree","Strongly Disagree","Not Applicable"},0),5,4,3,2,1,""))</f>
        <v>4</v>
      </c>
      <c r="F613">
        <f>Table7[[#This Row],[Scores]] * 20</f>
        <v>80</v>
      </c>
      <c r="G613">
        <f>IF(OR(Table7[[#This Row],[Response]]="Strongly Agree",Table7[[#This Row],[Response]]="Agree"),1,0)</f>
        <v>1</v>
      </c>
      <c r="H613" t="str">
        <f>_xlfn.XLOOKUP(Table7[[#This Row],[QuestionID]], FinalQuestions!$A:$A, FinalQuestions!$D:$D,"")</f>
        <v>Long-Term Decision Awareness</v>
      </c>
      <c r="I613" t="s">
        <v>267</v>
      </c>
    </row>
    <row r="614" spans="1:9" x14ac:dyDescent="0.35">
      <c r="A614" t="s">
        <v>107</v>
      </c>
      <c r="B614" t="s">
        <v>21</v>
      </c>
      <c r="C614" t="s">
        <v>2</v>
      </c>
      <c r="D614" t="str">
        <f>VLOOKUP(Table7[[#This Row],[QuestionID]], FinalQuestions!$A:$C, 3, FALSE)</f>
        <v>Discussability</v>
      </c>
      <c r="E614">
        <f>IF(Table7[[#This Row],[Response]]="","",CHOOSE(MATCH(Table7[[#This Row],[Response]],{"Strongly Agree","Agree","Neutral","Disagree","Strongly Disagree","Not Applicable"},0),5,4,3,2,1,""))</f>
        <v>4</v>
      </c>
      <c r="F614">
        <f>Table7[[#This Row],[Scores]] * 20</f>
        <v>80</v>
      </c>
      <c r="G614">
        <f>IF(OR(Table7[[#This Row],[Response]]="Strongly Agree",Table7[[#This Row],[Response]]="Agree"),1,0)</f>
        <v>1</v>
      </c>
      <c r="H614" t="str">
        <f>_xlfn.XLOOKUP(Table7[[#This Row],[QuestionID]], FinalQuestions!$A:$A, FinalQuestions!$D:$D,"")</f>
        <v>Openness to Discussions</v>
      </c>
      <c r="I614" t="s">
        <v>267</v>
      </c>
    </row>
    <row r="615" spans="1:9" x14ac:dyDescent="0.35">
      <c r="A615" t="s">
        <v>107</v>
      </c>
      <c r="B615" t="s">
        <v>23</v>
      </c>
      <c r="C615" t="s">
        <v>2</v>
      </c>
      <c r="D615" t="str">
        <f>VLOOKUP(Table7[[#This Row],[QuestionID]], FinalQuestions!$A:$C, 3, FALSE)</f>
        <v>Discussability</v>
      </c>
      <c r="E615">
        <f>IF(Table7[[#This Row],[Response]]="","",CHOOSE(MATCH(Table7[[#This Row],[Response]],{"Strongly Agree","Agree","Neutral","Disagree","Strongly Disagree","Not Applicable"},0),5,4,3,2,1,""))</f>
        <v>4</v>
      </c>
      <c r="F615">
        <f>Table7[[#This Row],[Scores]] * 20</f>
        <v>80</v>
      </c>
      <c r="G615">
        <f>IF(OR(Table7[[#This Row],[Response]]="Strongly Agree",Table7[[#This Row],[Response]]="Agree"),1,0)</f>
        <v>1</v>
      </c>
      <c r="H615" t="str">
        <f>_xlfn.XLOOKUP(Table7[[#This Row],[QuestionID]], FinalQuestions!$A:$A, FinalQuestions!$D:$D,"")</f>
        <v>Access to Guidance</v>
      </c>
      <c r="I615" t="s">
        <v>267</v>
      </c>
    </row>
    <row r="616" spans="1:9" x14ac:dyDescent="0.35">
      <c r="A616" t="s">
        <v>107</v>
      </c>
      <c r="B616" t="s">
        <v>25</v>
      </c>
      <c r="C616" t="s">
        <v>2</v>
      </c>
      <c r="D616" t="str">
        <f>VLOOKUP(Table7[[#This Row],[QuestionID]], FinalQuestions!$A:$C, 3, FALSE)</f>
        <v>Discussability</v>
      </c>
      <c r="E616">
        <f>IF(Table7[[#This Row],[Response]]="","",CHOOSE(MATCH(Table7[[#This Row],[Response]],{"Strongly Agree","Agree","Neutral","Disagree","Strongly Disagree","Not Applicable"},0),5,4,3,2,1,""))</f>
        <v>4</v>
      </c>
      <c r="F616">
        <f>Table7[[#This Row],[Scores]] * 20</f>
        <v>80</v>
      </c>
      <c r="G616">
        <f>IF(OR(Table7[[#This Row],[Response]]="Strongly Agree",Table7[[#This Row],[Response]]="Agree"),1,0)</f>
        <v>1</v>
      </c>
      <c r="H616" t="str">
        <f>_xlfn.XLOOKUP(Table7[[#This Row],[QuestionID]], FinalQuestions!$A:$A, FinalQuestions!$D:$D,"")</f>
        <v>Openness to Sharing Opinions</v>
      </c>
      <c r="I616" t="s">
        <v>267</v>
      </c>
    </row>
    <row r="617" spans="1:9" x14ac:dyDescent="0.35">
      <c r="A617" t="s">
        <v>107</v>
      </c>
      <c r="B617" t="s">
        <v>27</v>
      </c>
      <c r="C617" t="s">
        <v>2</v>
      </c>
      <c r="D617" t="str">
        <f>VLOOKUP(Table7[[#This Row],[QuestionID]], FinalQuestions!$A:$C, 3, FALSE)</f>
        <v>Discussability</v>
      </c>
      <c r="E617">
        <f>IF(Table7[[#This Row],[Response]]="","",CHOOSE(MATCH(Table7[[#This Row],[Response]],{"Strongly Agree","Agree","Neutral","Disagree","Strongly Disagree","Not Applicable"},0),5,4,3,2,1,""))</f>
        <v>4</v>
      </c>
      <c r="F617">
        <f>Table7[[#This Row],[Scores]] * 20</f>
        <v>80</v>
      </c>
      <c r="G617">
        <f>IF(OR(Table7[[#This Row],[Response]]="Strongly Agree",Table7[[#This Row],[Response]]="Agree"),1,0)</f>
        <v>1</v>
      </c>
      <c r="H617" t="str">
        <f>_xlfn.XLOOKUP(Table7[[#This Row],[QuestionID]], FinalQuestions!$A:$A, FinalQuestions!$D:$D,"")</f>
        <v>Comfort in Reporting Risk Dilemmas</v>
      </c>
      <c r="I617" t="s">
        <v>267</v>
      </c>
    </row>
    <row r="618" spans="1:9" x14ac:dyDescent="0.35">
      <c r="A618" t="s">
        <v>107</v>
      </c>
      <c r="B618" t="s">
        <v>29</v>
      </c>
      <c r="C618" t="s">
        <v>2</v>
      </c>
      <c r="D618" t="str">
        <f>VLOOKUP(Table7[[#This Row],[QuestionID]], FinalQuestions!$A:$C, 3, FALSE)</f>
        <v>Achievability</v>
      </c>
      <c r="E618">
        <f>IF(Table7[[#This Row],[Response]]="","",CHOOSE(MATCH(Table7[[#This Row],[Response]],{"Strongly Agree","Agree","Neutral","Disagree","Strongly Disagree","Not Applicable"},0),5,4,3,2,1,""))</f>
        <v>4</v>
      </c>
      <c r="F618">
        <f>Table7[[#This Row],[Scores]] * 20</f>
        <v>80</v>
      </c>
      <c r="G618">
        <f>IF(OR(Table7[[#This Row],[Response]]="Strongly Agree",Table7[[#This Row],[Response]]="Agree"),1,0)</f>
        <v>1</v>
      </c>
      <c r="H618" t="str">
        <f>_xlfn.XLOOKUP(Table7[[#This Row],[QuestionID]], FinalQuestions!$A:$A, FinalQuestions!$D:$D,"")</f>
        <v>Adequacy of Risk Management Training</v>
      </c>
      <c r="I618" t="s">
        <v>267</v>
      </c>
    </row>
    <row r="619" spans="1:9" x14ac:dyDescent="0.35">
      <c r="A619" t="s">
        <v>107</v>
      </c>
      <c r="B619" t="s">
        <v>31</v>
      </c>
      <c r="C619" t="s">
        <v>4</v>
      </c>
      <c r="D619" t="str">
        <f>VLOOKUP(Table7[[#This Row],[QuestionID]], FinalQuestions!$A:$C, 3, FALSE)</f>
        <v>Achievability</v>
      </c>
      <c r="E619">
        <f>IF(Table7[[#This Row],[Response]]="","",CHOOSE(MATCH(Table7[[#This Row],[Response]],{"Strongly Agree","Agree","Neutral","Disagree","Strongly Disagree","Not Applicable"},0),5,4,3,2,1,""))</f>
        <v>3</v>
      </c>
      <c r="F619">
        <f>Table7[[#This Row],[Scores]] * 20</f>
        <v>60</v>
      </c>
      <c r="G619">
        <f>IF(OR(Table7[[#This Row],[Response]]="Strongly Agree",Table7[[#This Row],[Response]]="Agree"),1,0)</f>
        <v>0</v>
      </c>
      <c r="H619" t="str">
        <f>_xlfn.XLOOKUP(Table7[[#This Row],[QuestionID]], FinalQuestions!$A:$A, FinalQuestions!$D:$D,"")</f>
        <v>Workload Balance &amp; Resource Sufficiency</v>
      </c>
      <c r="I619" t="s">
        <v>267</v>
      </c>
    </row>
    <row r="620" spans="1:9" x14ac:dyDescent="0.35">
      <c r="A620" t="s">
        <v>107</v>
      </c>
      <c r="B620" t="s">
        <v>33</v>
      </c>
      <c r="C620" t="s">
        <v>85</v>
      </c>
      <c r="D620" t="str">
        <f>VLOOKUP(Table7[[#This Row],[QuestionID]], FinalQuestions!$A:$C, 3, FALSE)</f>
        <v>Achievability</v>
      </c>
      <c r="E620">
        <f>IF(Table7[[#This Row],[Response]]="","",CHOOSE(MATCH(Table7[[#This Row],[Response]],{"Strongly Agree","Agree","Neutral","Disagree","Strongly Disagree","Not Applicable"},0),5,4,3,2,1,""))</f>
        <v>5</v>
      </c>
      <c r="F620">
        <f>Table7[[#This Row],[Scores]] * 20</f>
        <v>100</v>
      </c>
      <c r="G620">
        <f>IF(OR(Table7[[#This Row],[Response]]="Strongly Agree",Table7[[#This Row],[Response]]="Agree"),1,0)</f>
        <v>1</v>
      </c>
      <c r="H620" t="str">
        <f>_xlfn.XLOOKUP(Table7[[#This Row],[QuestionID]], FinalQuestions!$A:$A, FinalQuestions!$D:$D,"")</f>
        <v>Realistic Target Setting</v>
      </c>
      <c r="I620" t="s">
        <v>267</v>
      </c>
    </row>
    <row r="621" spans="1:9" x14ac:dyDescent="0.35">
      <c r="A621" t="s">
        <v>107</v>
      </c>
      <c r="B621" t="s">
        <v>35</v>
      </c>
      <c r="C621" t="s">
        <v>85</v>
      </c>
      <c r="D621" t="str">
        <f>VLOOKUP(Table7[[#This Row],[QuestionID]], FinalQuestions!$A:$C, 3, FALSE)</f>
        <v>Achievability</v>
      </c>
      <c r="E621">
        <f>IF(Table7[[#This Row],[Response]]="","",CHOOSE(MATCH(Table7[[#This Row],[Response]],{"Strongly Agree","Agree","Neutral","Disagree","Strongly Disagree","Not Applicable"},0),5,4,3,2,1,""))</f>
        <v>5</v>
      </c>
      <c r="F621">
        <f>Table7[[#This Row],[Scores]] * 20</f>
        <v>100</v>
      </c>
      <c r="G621">
        <f>IF(OR(Table7[[#This Row],[Response]]="Strongly Agree",Table7[[#This Row],[Response]]="Agree"),1,0)</f>
        <v>1</v>
      </c>
      <c r="H621" t="str">
        <f>_xlfn.XLOOKUP(Table7[[#This Row],[QuestionID]], FinalQuestions!$A:$A, FinalQuestions!$D:$D,"")</f>
        <v>Risk Insight in Decision Making</v>
      </c>
      <c r="I621" t="s">
        <v>267</v>
      </c>
    </row>
    <row r="622" spans="1:9" x14ac:dyDescent="0.35">
      <c r="A622" t="s">
        <v>107</v>
      </c>
      <c r="B622" t="s">
        <v>37</v>
      </c>
      <c r="C622" t="s">
        <v>2</v>
      </c>
      <c r="D622" t="str">
        <f>VLOOKUP(Table7[[#This Row],[QuestionID]], FinalQuestions!$A:$C, 3, FALSE)</f>
        <v>Enforcement</v>
      </c>
      <c r="E622">
        <f>IF(Table7[[#This Row],[Response]]="","",CHOOSE(MATCH(Table7[[#This Row],[Response]],{"Strongly Agree","Agree","Neutral","Disagree","Strongly Disagree","Not Applicable"},0),5,4,3,2,1,""))</f>
        <v>4</v>
      </c>
      <c r="F622">
        <f>Table7[[#This Row],[Scores]] * 20</f>
        <v>80</v>
      </c>
      <c r="G622">
        <f>IF(OR(Table7[[#This Row],[Response]]="Strongly Agree",Table7[[#This Row],[Response]]="Agree"),1,0)</f>
        <v>1</v>
      </c>
      <c r="H622" t="str">
        <f>_xlfn.XLOOKUP(Table7[[#This Row],[QuestionID]], FinalQuestions!$A:$A, FinalQuestions!$D:$D,"")</f>
        <v>Learning Culture from Non‑Compliance Cases</v>
      </c>
      <c r="I622" t="s">
        <v>267</v>
      </c>
    </row>
    <row r="623" spans="1:9" x14ac:dyDescent="0.35">
      <c r="A623" t="s">
        <v>107</v>
      </c>
      <c r="B623" t="s">
        <v>39</v>
      </c>
      <c r="C623" t="s">
        <v>2</v>
      </c>
      <c r="D623" t="str">
        <f>VLOOKUP(Table7[[#This Row],[QuestionID]], FinalQuestions!$A:$C, 3, FALSE)</f>
        <v>Enforcement</v>
      </c>
      <c r="E623">
        <f>IF(Table7[[#This Row],[Response]]="","",CHOOSE(MATCH(Table7[[#This Row],[Response]],{"Strongly Agree","Agree","Neutral","Disagree","Strongly Disagree","Not Applicable"},0),5,4,3,2,1,""))</f>
        <v>4</v>
      </c>
      <c r="F623">
        <f>Table7[[#This Row],[Scores]] * 20</f>
        <v>80</v>
      </c>
      <c r="G623">
        <f>IF(OR(Table7[[#This Row],[Response]]="Strongly Agree",Table7[[#This Row],[Response]]="Agree"),1,0)</f>
        <v>1</v>
      </c>
      <c r="H623" t="str">
        <f>_xlfn.XLOOKUP(Table7[[#This Row],[QuestionID]], FinalQuestions!$A:$A, FinalQuestions!$D:$D,"")</f>
        <v>Organizational View on Risk Culture</v>
      </c>
      <c r="I623" t="s">
        <v>267</v>
      </c>
    </row>
    <row r="624" spans="1:9" x14ac:dyDescent="0.35">
      <c r="A624" t="s">
        <v>107</v>
      </c>
      <c r="B624" t="s">
        <v>41</v>
      </c>
      <c r="C624" t="s">
        <v>85</v>
      </c>
      <c r="D624" t="str">
        <f>VLOOKUP(Table7[[#This Row],[QuestionID]], FinalQuestions!$A:$C, 3, FALSE)</f>
        <v>Enforcement</v>
      </c>
      <c r="E624">
        <f>IF(Table7[[#This Row],[Response]]="","",CHOOSE(MATCH(Table7[[#This Row],[Response]],{"Strongly Agree","Agree","Neutral","Disagree","Strongly Disagree","Not Applicable"},0),5,4,3,2,1,""))</f>
        <v>5</v>
      </c>
      <c r="F624">
        <f>Table7[[#This Row],[Scores]] * 20</f>
        <v>100</v>
      </c>
      <c r="G624">
        <f>IF(OR(Table7[[#This Row],[Response]]="Strongly Agree",Table7[[#This Row],[Response]]="Agree"),1,0)</f>
        <v>1</v>
      </c>
      <c r="H624" t="str">
        <f>_xlfn.XLOOKUP(Table7[[#This Row],[QuestionID]], FinalQuestions!$A:$A, FinalQuestions!$D:$D,"")</f>
        <v>Compliance Recognition &amp; enforcement</v>
      </c>
      <c r="I624" t="s">
        <v>267</v>
      </c>
    </row>
    <row r="625" spans="1:9" x14ac:dyDescent="0.35">
      <c r="A625" t="s">
        <v>107</v>
      </c>
      <c r="B625" t="s">
        <v>43</v>
      </c>
      <c r="C625" t="s">
        <v>85</v>
      </c>
      <c r="D625" t="str">
        <f>VLOOKUP(Table7[[#This Row],[QuestionID]], FinalQuestions!$A:$C, 3, FALSE)</f>
        <v>Enforcement</v>
      </c>
      <c r="E625">
        <f>IF(Table7[[#This Row],[Response]]="","",CHOOSE(MATCH(Table7[[#This Row],[Response]],{"Strongly Agree","Agree","Neutral","Disagree","Strongly Disagree","Not Applicable"},0),5,4,3,2,1,""))</f>
        <v>5</v>
      </c>
      <c r="F625">
        <f>Table7[[#This Row],[Scores]] * 20</f>
        <v>100</v>
      </c>
      <c r="G625">
        <f>IF(OR(Table7[[#This Row],[Response]]="Strongly Agree",Table7[[#This Row],[Response]]="Agree"),1,0)</f>
        <v>1</v>
      </c>
      <c r="H625" t="str">
        <f>_xlfn.XLOOKUP(Table7[[#This Row],[QuestionID]], FinalQuestions!$A:$A, FinalQuestions!$D:$D,"")</f>
        <v>Sense of Ownership</v>
      </c>
      <c r="I625" t="s">
        <v>267</v>
      </c>
    </row>
    <row r="626" spans="1:9" x14ac:dyDescent="0.35">
      <c r="A626" t="s">
        <v>107</v>
      </c>
      <c r="B626" t="s">
        <v>45</v>
      </c>
      <c r="C626" t="s">
        <v>85</v>
      </c>
      <c r="D626" t="str">
        <f>VLOOKUP(Table7[[#This Row],[QuestionID]], FinalQuestions!$A:$C, 3, FALSE)</f>
        <v>Clarity</v>
      </c>
      <c r="E626">
        <f>IF(Table7[[#This Row],[Response]]="","",CHOOSE(MATCH(Table7[[#This Row],[Response]],{"Strongly Agree","Agree","Neutral","Disagree","Strongly Disagree","Not Applicable"},0),5,4,3,2,1,""))</f>
        <v>5</v>
      </c>
      <c r="F626">
        <f>Table7[[#This Row],[Scores]] * 20</f>
        <v>100</v>
      </c>
      <c r="G626">
        <f>IF(OR(Table7[[#This Row],[Response]]="Strongly Agree",Table7[[#This Row],[Response]]="Agree"),1,0)</f>
        <v>1</v>
      </c>
      <c r="H626" t="str">
        <f>_xlfn.XLOOKUP(Table7[[#This Row],[QuestionID]], FinalQuestions!$A:$A, FinalQuestions!$D:$D,"")</f>
        <v>Clarity of Role and Responsibilities</v>
      </c>
      <c r="I626" t="s">
        <v>267</v>
      </c>
    </row>
    <row r="627" spans="1:9" x14ac:dyDescent="0.35">
      <c r="A627" t="s">
        <v>107</v>
      </c>
      <c r="B627" t="s">
        <v>47</v>
      </c>
      <c r="C627" t="s">
        <v>85</v>
      </c>
      <c r="D627" t="str">
        <f>VLOOKUP(Table7[[#This Row],[QuestionID]], FinalQuestions!$A:$C, 3, FALSE)</f>
        <v>Clarity</v>
      </c>
      <c r="E627">
        <f>IF(Table7[[#This Row],[Response]]="","",CHOOSE(MATCH(Table7[[#This Row],[Response]],{"Strongly Agree","Agree","Neutral","Disagree","Strongly Disagree","Not Applicable"},0),5,4,3,2,1,""))</f>
        <v>5</v>
      </c>
      <c r="F627">
        <f>Table7[[#This Row],[Scores]] * 20</f>
        <v>100</v>
      </c>
      <c r="G627">
        <f>IF(OR(Table7[[#This Row],[Response]]="Strongly Agree",Table7[[#This Row],[Response]]="Agree"),1,0)</f>
        <v>1</v>
      </c>
      <c r="H627" t="str">
        <f>_xlfn.XLOOKUP(Table7[[#This Row],[QuestionID]], FinalQuestions!$A:$A, FinalQuestions!$D:$D,"")</f>
        <v>Understanding of Risk Policies &amp; Procedures</v>
      </c>
      <c r="I627" t="s">
        <v>267</v>
      </c>
    </row>
    <row r="628" spans="1:9" x14ac:dyDescent="0.35">
      <c r="A628" t="s">
        <v>107</v>
      </c>
      <c r="B628" t="s">
        <v>49</v>
      </c>
      <c r="C628" t="s">
        <v>85</v>
      </c>
      <c r="D628" t="str">
        <f>VLOOKUP(Table7[[#This Row],[QuestionID]], FinalQuestions!$A:$C, 3, FALSE)</f>
        <v>Clarity</v>
      </c>
      <c r="E628">
        <f>IF(Table7[[#This Row],[Response]]="","",CHOOSE(MATCH(Table7[[#This Row],[Response]],{"Strongly Agree","Agree","Neutral","Disagree","Strongly Disagree","Not Applicable"},0),5,4,3,2,1,""))</f>
        <v>5</v>
      </c>
      <c r="F628">
        <f>Table7[[#This Row],[Scores]] * 20</f>
        <v>100</v>
      </c>
      <c r="G628">
        <f>IF(OR(Table7[[#This Row],[Response]]="Strongly Agree",Table7[[#This Row],[Response]]="Agree"),1,0)</f>
        <v>1</v>
      </c>
      <c r="H628" t="str">
        <f>_xlfn.XLOOKUP(Table7[[#This Row],[QuestionID]], FinalQuestions!$A:$A, FinalQuestions!$D:$D,"")</f>
        <v>Clarity of Personal Risk Boundaries</v>
      </c>
      <c r="I628" t="s">
        <v>267</v>
      </c>
    </row>
    <row r="629" spans="1:9" x14ac:dyDescent="0.35">
      <c r="A629" t="s">
        <v>107</v>
      </c>
      <c r="B629" t="s">
        <v>51</v>
      </c>
      <c r="C629" t="s">
        <v>85</v>
      </c>
      <c r="D629" t="str">
        <f>VLOOKUP(Table7[[#This Row],[QuestionID]], FinalQuestions!$A:$C, 3, FALSE)</f>
        <v>Clarity</v>
      </c>
      <c r="E629">
        <f>IF(Table7[[#This Row],[Response]]="","",CHOOSE(MATCH(Table7[[#This Row],[Response]],{"Strongly Agree","Agree","Neutral","Disagree","Strongly Disagree","Not Applicable"},0),5,4,3,2,1,""))</f>
        <v>5</v>
      </c>
      <c r="F629">
        <f>Table7[[#This Row],[Scores]] * 20</f>
        <v>100</v>
      </c>
      <c r="G629">
        <f>IF(OR(Table7[[#This Row],[Response]]="Strongly Agree",Table7[[#This Row],[Response]]="Agree"),1,0)</f>
        <v>1</v>
      </c>
      <c r="H629" t="str">
        <f>_xlfn.XLOOKUP(Table7[[#This Row],[QuestionID]], FinalQuestions!$A:$A, FinalQuestions!$D:$D,"")</f>
        <v>Effectiveness of Risk Communication &amp; Training</v>
      </c>
      <c r="I629" t="s">
        <v>267</v>
      </c>
    </row>
    <row r="630" spans="1:9" x14ac:dyDescent="0.35">
      <c r="A630" t="s">
        <v>107</v>
      </c>
      <c r="B630" t="s">
        <v>53</v>
      </c>
      <c r="C630" t="s">
        <v>85</v>
      </c>
      <c r="D630" t="str">
        <f>VLOOKUP(Table7[[#This Row],[QuestionID]], FinalQuestions!$A:$C, 3, FALSE)</f>
        <v>Transparency</v>
      </c>
      <c r="E630">
        <f>IF(Table7[[#This Row],[Response]]="","",CHOOSE(MATCH(Table7[[#This Row],[Response]],{"Strongly Agree","Agree","Neutral","Disagree","Strongly Disagree","Not Applicable"},0),5,4,3,2,1,""))</f>
        <v>5</v>
      </c>
      <c r="F630">
        <f>Table7[[#This Row],[Scores]] * 20</f>
        <v>100</v>
      </c>
      <c r="G630">
        <f>IF(OR(Table7[[#This Row],[Response]]="Strongly Agree",Table7[[#This Row],[Response]]="Agree"),1,0)</f>
        <v>1</v>
      </c>
      <c r="H630" t="str">
        <f>_xlfn.XLOOKUP(Table7[[#This Row],[QuestionID]], FinalQuestions!$A:$A, FinalQuestions!$D:$D,"")</f>
        <v>Compliance Confidence in team</v>
      </c>
      <c r="I630" t="s">
        <v>267</v>
      </c>
    </row>
    <row r="631" spans="1:9" x14ac:dyDescent="0.35">
      <c r="A631" t="s">
        <v>107</v>
      </c>
      <c r="B631" t="s">
        <v>55</v>
      </c>
      <c r="C631" t="s">
        <v>2</v>
      </c>
      <c r="D631" t="str">
        <f>VLOOKUP(Table7[[#This Row],[QuestionID]], FinalQuestions!$A:$C, 3, FALSE)</f>
        <v>Transparency</v>
      </c>
      <c r="E631">
        <f>IF(Table7[[#This Row],[Response]]="","",CHOOSE(MATCH(Table7[[#This Row],[Response]],{"Strongly Agree","Agree","Neutral","Disagree","Strongly Disagree","Not Applicable"},0),5,4,3,2,1,""))</f>
        <v>4</v>
      </c>
      <c r="F631">
        <f>Table7[[#This Row],[Scores]] * 20</f>
        <v>80</v>
      </c>
      <c r="G631">
        <f>IF(OR(Table7[[#This Row],[Response]]="Strongly Agree",Table7[[#This Row],[Response]]="Agree"),1,0)</f>
        <v>1</v>
      </c>
      <c r="H631" t="str">
        <f>_xlfn.XLOOKUP(Table7[[#This Row],[QuestionID]], FinalQuestions!$A:$A, FinalQuestions!$D:$D,"")</f>
        <v>Transparency in Decision‑Making</v>
      </c>
      <c r="I631" t="s">
        <v>267</v>
      </c>
    </row>
    <row r="632" spans="1:9" x14ac:dyDescent="0.35">
      <c r="A632" t="s">
        <v>107</v>
      </c>
      <c r="B632" t="s">
        <v>57</v>
      </c>
      <c r="C632" t="s">
        <v>2</v>
      </c>
      <c r="D632" t="str">
        <f>VLOOKUP(Table7[[#This Row],[QuestionID]], FinalQuestions!$A:$C, 3, FALSE)</f>
        <v>Transparency</v>
      </c>
      <c r="E632">
        <f>IF(Table7[[#This Row],[Response]]="","",CHOOSE(MATCH(Table7[[#This Row],[Response]],{"Strongly Agree","Agree","Neutral","Disagree","Strongly Disagree","Not Applicable"},0),5,4,3,2,1,""))</f>
        <v>4</v>
      </c>
      <c r="F632">
        <f>Table7[[#This Row],[Scores]] * 20</f>
        <v>80</v>
      </c>
      <c r="G632">
        <f>IF(OR(Table7[[#This Row],[Response]]="Strongly Agree",Table7[[#This Row],[Response]]="Agree"),1,0)</f>
        <v>1</v>
      </c>
      <c r="H632" t="str">
        <f>_xlfn.XLOOKUP(Table7[[#This Row],[QuestionID]], FinalQuestions!$A:$A, FinalQuestions!$D:$D,"")</f>
        <v>Fairness &amp; Equity of Expectations</v>
      </c>
      <c r="I632" t="s">
        <v>267</v>
      </c>
    </row>
    <row r="633" spans="1:9" x14ac:dyDescent="0.35">
      <c r="A633" t="s">
        <v>107</v>
      </c>
      <c r="B633" t="s">
        <v>59</v>
      </c>
      <c r="C633" t="s">
        <v>2</v>
      </c>
      <c r="D633" t="str">
        <f>VLOOKUP(Table7[[#This Row],[QuestionID]], FinalQuestions!$A:$C, 3, FALSE)</f>
        <v>Transparency</v>
      </c>
      <c r="E633">
        <f>IF(Table7[[#This Row],[Response]]="","",CHOOSE(MATCH(Table7[[#This Row],[Response]],{"Strongly Agree","Agree","Neutral","Disagree","Strongly Disagree","Not Applicable"},0),5,4,3,2,1,""))</f>
        <v>4</v>
      </c>
      <c r="F633">
        <f>Table7[[#This Row],[Scores]] * 20</f>
        <v>80</v>
      </c>
      <c r="G633">
        <f>IF(OR(Table7[[#This Row],[Response]]="Strongly Agree",Table7[[#This Row],[Response]]="Agree"),1,0)</f>
        <v>1</v>
      </c>
      <c r="H633" t="str">
        <f>_xlfn.XLOOKUP(Table7[[#This Row],[QuestionID]], FinalQuestions!$A:$A, FinalQuestions!$D:$D,"")</f>
        <v>Leadership Awareness in the team</v>
      </c>
      <c r="I633" t="s">
        <v>267</v>
      </c>
    </row>
    <row r="634" spans="1:9" x14ac:dyDescent="0.35">
      <c r="A634" t="s">
        <v>107</v>
      </c>
      <c r="B634" t="s">
        <v>61</v>
      </c>
      <c r="C634" t="s">
        <v>2</v>
      </c>
      <c r="D634" t="str">
        <f>VLOOKUP(Table7[[#This Row],[QuestionID]], FinalQuestions!$A:$C, 3, FALSE)</f>
        <v>Commitment</v>
      </c>
      <c r="E634">
        <f>IF(Table7[[#This Row],[Response]]="","",CHOOSE(MATCH(Table7[[#This Row],[Response]],{"Strongly Agree","Agree","Neutral","Disagree","Strongly Disagree","Not Applicable"},0),5,4,3,2,1,""))</f>
        <v>4</v>
      </c>
      <c r="F634">
        <f>Table7[[#This Row],[Scores]] * 20</f>
        <v>80</v>
      </c>
      <c r="G634">
        <f>IF(OR(Table7[[#This Row],[Response]]="Strongly Agree",Table7[[#This Row],[Response]]="Agree"),1,0)</f>
        <v>1</v>
      </c>
      <c r="H634" t="str">
        <f>_xlfn.XLOOKUP(Table7[[#This Row],[QuestionID]], FinalQuestions!$A:$A, FinalQuestions!$D:$D,"")</f>
        <v>Motivation for Risk Ownership</v>
      </c>
      <c r="I634" t="s">
        <v>267</v>
      </c>
    </row>
    <row r="635" spans="1:9" x14ac:dyDescent="0.35">
      <c r="A635" t="s">
        <v>107</v>
      </c>
      <c r="B635" t="s">
        <v>63</v>
      </c>
      <c r="C635" t="s">
        <v>2</v>
      </c>
      <c r="D635" t="str">
        <f>VLOOKUP(Table7[[#This Row],[QuestionID]], FinalQuestions!$A:$C, 3, FALSE)</f>
        <v>Commitment</v>
      </c>
      <c r="E635">
        <f>IF(Table7[[#This Row],[Response]]="","",CHOOSE(MATCH(Table7[[#This Row],[Response]],{"Strongly Agree","Agree","Neutral","Disagree","Strongly Disagree","Not Applicable"},0),5,4,3,2,1,""))</f>
        <v>4</v>
      </c>
      <c r="F635">
        <f>Table7[[#This Row],[Scores]] * 20</f>
        <v>80</v>
      </c>
      <c r="G635">
        <f>IF(OR(Table7[[#This Row],[Response]]="Strongly Agree",Table7[[#This Row],[Response]]="Agree"),1,0)</f>
        <v>1</v>
      </c>
      <c r="H635" t="str">
        <f>_xlfn.XLOOKUP(Table7[[#This Row],[QuestionID]], FinalQuestions!$A:$A, FinalQuestions!$D:$D,"")</f>
        <v>Sense of Belonging to the Organization</v>
      </c>
      <c r="I635" t="s">
        <v>267</v>
      </c>
    </row>
    <row r="636" spans="1:9" x14ac:dyDescent="0.35">
      <c r="A636" t="s">
        <v>107</v>
      </c>
      <c r="B636" t="s">
        <v>65</v>
      </c>
      <c r="C636" t="s">
        <v>2</v>
      </c>
      <c r="D636" t="str">
        <f>VLOOKUP(Table7[[#This Row],[QuestionID]], FinalQuestions!$A:$C, 3, FALSE)</f>
        <v>Commitment</v>
      </c>
      <c r="E636">
        <f>IF(Table7[[#This Row],[Response]]="","",CHOOSE(MATCH(Table7[[#This Row],[Response]],{"Strongly Agree","Agree","Neutral","Disagree","Strongly Disagree","Not Applicable"},0),5,4,3,2,1,""))</f>
        <v>4</v>
      </c>
      <c r="F636">
        <f>Table7[[#This Row],[Scores]] * 20</f>
        <v>80</v>
      </c>
      <c r="G636">
        <f>IF(OR(Table7[[#This Row],[Response]]="Strongly Agree",Table7[[#This Row],[Response]]="Agree"),1,0)</f>
        <v>1</v>
      </c>
      <c r="H636" t="str">
        <f>_xlfn.XLOOKUP(Table7[[#This Row],[QuestionID]], FinalQuestions!$A:$A, FinalQuestions!$D:$D,"")</f>
        <v>Consideration of Impact on Others</v>
      </c>
      <c r="I636" t="s">
        <v>267</v>
      </c>
    </row>
    <row r="637" spans="1:9" x14ac:dyDescent="0.35">
      <c r="A637" t="s">
        <v>107</v>
      </c>
      <c r="B637" t="s">
        <v>67</v>
      </c>
      <c r="C637" t="s">
        <v>2</v>
      </c>
      <c r="D637" t="str">
        <f>VLOOKUP(Table7[[#This Row],[QuestionID]], FinalQuestions!$A:$C, 3, FALSE)</f>
        <v>Commitment</v>
      </c>
      <c r="E637">
        <f>IF(Table7[[#This Row],[Response]]="","",CHOOSE(MATCH(Table7[[#This Row],[Response]],{"Strongly Agree","Agree","Neutral","Disagree","Strongly Disagree","Not Applicable"},0),5,4,3,2,1,""))</f>
        <v>4</v>
      </c>
      <c r="F637">
        <f>Table7[[#This Row],[Scores]] * 20</f>
        <v>80</v>
      </c>
      <c r="G637">
        <f>IF(OR(Table7[[#This Row],[Response]]="Strongly Agree",Table7[[#This Row],[Response]]="Agree"),1,0)</f>
        <v>1</v>
      </c>
      <c r="H637" t="str">
        <f>_xlfn.XLOOKUP(Table7[[#This Row],[QuestionID]], FinalQuestions!$A:$A, FinalQuestions!$D:$D,"")</f>
        <v>Accountability for Risk Actions</v>
      </c>
      <c r="I637" t="s">
        <v>267</v>
      </c>
    </row>
    <row r="638" spans="1:9" x14ac:dyDescent="0.35">
      <c r="A638" t="s">
        <v>107</v>
      </c>
      <c r="B638" t="s">
        <v>69</v>
      </c>
      <c r="C638" t="s">
        <v>2</v>
      </c>
      <c r="D638" t="str">
        <f>VLOOKUP(Table7[[#This Row],[QuestionID]], FinalQuestions!$A:$C, 3, FALSE)</f>
        <v>Call someone to account</v>
      </c>
      <c r="E638">
        <f>IF(Table7[[#This Row],[Response]]="","",CHOOSE(MATCH(Table7[[#This Row],[Response]],{"Strongly Agree","Agree","Neutral","Disagree","Strongly Disagree","Not Applicable"},0),5,4,3,2,1,""))</f>
        <v>4</v>
      </c>
      <c r="F638">
        <f>Table7[[#This Row],[Scores]] * 20</f>
        <v>80</v>
      </c>
      <c r="G638">
        <f>IF(OR(Table7[[#This Row],[Response]]="Strongly Agree",Table7[[#This Row],[Response]]="Agree"),1,0)</f>
        <v>1</v>
      </c>
      <c r="H638" t="str">
        <f>_xlfn.XLOOKUP(Table7[[#This Row],[QuestionID]], FinalQuestions!$A:$A, FinalQuestions!$D:$D,"")</f>
        <v xml:space="preserve">Peer to peer Accountability </v>
      </c>
      <c r="I638" t="s">
        <v>267</v>
      </c>
    </row>
    <row r="639" spans="1:9" x14ac:dyDescent="0.35">
      <c r="A639" t="s">
        <v>107</v>
      </c>
      <c r="B639" t="s">
        <v>71</v>
      </c>
      <c r="C639" t="s">
        <v>4</v>
      </c>
      <c r="D639" t="str">
        <f>VLOOKUP(Table7[[#This Row],[QuestionID]], FinalQuestions!$A:$C, 3, FALSE)</f>
        <v>Call someone to account</v>
      </c>
      <c r="E639">
        <f>IF(Table7[[#This Row],[Response]]="","",CHOOSE(MATCH(Table7[[#This Row],[Response]],{"Strongly Agree","Agree","Neutral","Disagree","Strongly Disagree","Not Applicable"},0),5,4,3,2,1,""))</f>
        <v>3</v>
      </c>
      <c r="F639">
        <f>Table7[[#This Row],[Scores]] * 20</f>
        <v>60</v>
      </c>
      <c r="G639">
        <f>IF(OR(Table7[[#This Row],[Response]]="Strongly Agree",Table7[[#This Row],[Response]]="Agree"),1,0)</f>
        <v>0</v>
      </c>
      <c r="H639" t="str">
        <f>_xlfn.XLOOKUP(Table7[[#This Row],[QuestionID]], FinalQuestions!$A:$A, FinalQuestions!$D:$D,"")</f>
        <v>Timely Resolution of Accountability Issues</v>
      </c>
      <c r="I639" t="s">
        <v>267</v>
      </c>
    </row>
    <row r="640" spans="1:9" x14ac:dyDescent="0.35">
      <c r="A640" t="s">
        <v>107</v>
      </c>
      <c r="B640" t="s">
        <v>73</v>
      </c>
      <c r="C640" t="s">
        <v>85</v>
      </c>
      <c r="D640" t="str">
        <f>VLOOKUP(Table7[[#This Row],[QuestionID]], FinalQuestions!$A:$C, 3, FALSE)</f>
        <v>Call someone to account</v>
      </c>
      <c r="E640">
        <f>IF(Table7[[#This Row],[Response]]="","",CHOOSE(MATCH(Table7[[#This Row],[Response]],{"Strongly Agree","Agree","Neutral","Disagree","Strongly Disagree","Not Applicable"},0),5,4,3,2,1,""))</f>
        <v>5</v>
      </c>
      <c r="F640">
        <f>Table7[[#This Row],[Scores]] * 20</f>
        <v>100</v>
      </c>
      <c r="G640">
        <f>IF(OR(Table7[[#This Row],[Response]]="Strongly Agree",Table7[[#This Row],[Response]]="Agree"),1,0)</f>
        <v>1</v>
      </c>
      <c r="H640" t="str">
        <f>_xlfn.XLOOKUP(Table7[[#This Row],[QuestionID]], FinalQuestions!$A:$A, FinalQuestions!$D:$D,"")</f>
        <v>Comfort for Reporting Non‑Compliance.</v>
      </c>
      <c r="I640" t="s">
        <v>267</v>
      </c>
    </row>
    <row r="641" spans="1:9" x14ac:dyDescent="0.35">
      <c r="A641" t="s">
        <v>107</v>
      </c>
      <c r="B641" t="s">
        <v>75</v>
      </c>
      <c r="C641" t="s">
        <v>85</v>
      </c>
      <c r="D641" t="str">
        <f>VLOOKUP(Table7[[#This Row],[QuestionID]], FinalQuestions!$A:$C, 3, FALSE)</f>
        <v>Call someone to account</v>
      </c>
      <c r="E641">
        <f>IF(Table7[[#This Row],[Response]]="","",CHOOSE(MATCH(Table7[[#This Row],[Response]],{"Strongly Agree","Agree","Neutral","Disagree","Strongly Disagree","Not Applicable"},0),5,4,3,2,1,""))</f>
        <v>5</v>
      </c>
      <c r="F641">
        <f>Table7[[#This Row],[Scores]] * 20</f>
        <v>100</v>
      </c>
      <c r="G641">
        <f>IF(OR(Table7[[#This Row],[Response]]="Strongly Agree",Table7[[#This Row],[Response]]="Agree"),1,0)</f>
        <v>1</v>
      </c>
      <c r="H641" t="str">
        <f>_xlfn.XLOOKUP(Table7[[#This Row],[QuestionID]], FinalQuestions!$A:$A, FinalQuestions!$D:$D,"")</f>
        <v>Consistency of Conduct Enforcement</v>
      </c>
      <c r="I641" t="s">
        <v>267</v>
      </c>
    </row>
    <row r="642" spans="1:9" x14ac:dyDescent="0.35">
      <c r="A642" t="s">
        <v>108</v>
      </c>
      <c r="B642" t="s">
        <v>13</v>
      </c>
      <c r="C642" t="s">
        <v>2</v>
      </c>
      <c r="D642" t="str">
        <f>VLOOKUP(Table7[[#This Row],[QuestionID]], FinalQuestions!$A:$C, 3, FALSE)</f>
        <v>Role Modelling</v>
      </c>
      <c r="E642">
        <f>IF(Table7[[#This Row],[Response]]="","",CHOOSE(MATCH(Table7[[#This Row],[Response]],{"Strongly Agree","Agree","Neutral","Disagree","Strongly Disagree","Not Applicable"},0),5,4,3,2,1,""))</f>
        <v>4</v>
      </c>
      <c r="F642">
        <f>Table7[[#This Row],[Scores]] * 20</f>
        <v>80</v>
      </c>
      <c r="G642">
        <f>IF(OR(Table7[[#This Row],[Response]]="Strongly Agree",Table7[[#This Row],[Response]]="Agree"),1,0)</f>
        <v>1</v>
      </c>
      <c r="H642" t="str">
        <f>_xlfn.XLOOKUP(Table7[[#This Row],[QuestionID]], FinalQuestions!$A:$A, FinalQuestions!$D:$D,"")</f>
        <v xml:space="preserve">Leadership Example‑Setting in Risk Management </v>
      </c>
      <c r="I642" t="s">
        <v>263</v>
      </c>
    </row>
    <row r="643" spans="1:9" x14ac:dyDescent="0.35">
      <c r="A643" t="s">
        <v>108</v>
      </c>
      <c r="B643" t="s">
        <v>15</v>
      </c>
      <c r="C643" t="s">
        <v>2</v>
      </c>
      <c r="D643" t="str">
        <f>VLOOKUP(Table7[[#This Row],[QuestionID]], FinalQuestions!$A:$C, 3, FALSE)</f>
        <v>Role Modelling</v>
      </c>
      <c r="E643">
        <f>IF(Table7[[#This Row],[Response]]="","",CHOOSE(MATCH(Table7[[#This Row],[Response]],{"Strongly Agree","Agree","Neutral","Disagree","Strongly Disagree","Not Applicable"},0),5,4,3,2,1,""))</f>
        <v>4</v>
      </c>
      <c r="F643">
        <f>Table7[[#This Row],[Scores]] * 20</f>
        <v>80</v>
      </c>
      <c r="G643">
        <f>IF(OR(Table7[[#This Row],[Response]]="Strongly Agree",Table7[[#This Row],[Response]]="Agree"),1,0)</f>
        <v>1</v>
      </c>
      <c r="H643" t="str">
        <f>_xlfn.XLOOKUP(Table7[[#This Row],[QuestionID]], FinalQuestions!$A:$A, FinalQuestions!$D:$D,"")</f>
        <v>Executive Commitment to Risk Culture</v>
      </c>
      <c r="I643" t="s">
        <v>263</v>
      </c>
    </row>
    <row r="644" spans="1:9" x14ac:dyDescent="0.35">
      <c r="A644" t="s">
        <v>108</v>
      </c>
      <c r="B644" t="s">
        <v>17</v>
      </c>
      <c r="C644" t="s">
        <v>85</v>
      </c>
      <c r="D644" t="str">
        <f>VLOOKUP(Table7[[#This Row],[QuestionID]], FinalQuestions!$A:$C, 3, FALSE)</f>
        <v>Role Modelling</v>
      </c>
      <c r="E644">
        <f>IF(Table7[[#This Row],[Response]]="","",CHOOSE(MATCH(Table7[[#This Row],[Response]],{"Strongly Agree","Agree","Neutral","Disagree","Strongly Disagree","Not Applicable"},0),5,4,3,2,1,""))</f>
        <v>5</v>
      </c>
      <c r="F644">
        <f>Table7[[#This Row],[Scores]] * 20</f>
        <v>100</v>
      </c>
      <c r="G644">
        <f>IF(OR(Table7[[#This Row],[Response]]="Strongly Agree",Table7[[#This Row],[Response]]="Agree"),1,0)</f>
        <v>1</v>
      </c>
      <c r="H644" t="str">
        <f>_xlfn.XLOOKUP(Table7[[#This Row],[QuestionID]], FinalQuestions!$A:$A, FinalQuestions!$D:$D,"")</f>
        <v>Leadership Encouragement to Escalate Risks</v>
      </c>
      <c r="I644" t="s">
        <v>263</v>
      </c>
    </row>
    <row r="645" spans="1:9" x14ac:dyDescent="0.35">
      <c r="A645" t="s">
        <v>108</v>
      </c>
      <c r="B645" t="s">
        <v>19</v>
      </c>
      <c r="C645" t="s">
        <v>85</v>
      </c>
      <c r="D645" t="str">
        <f>VLOOKUP(Table7[[#This Row],[QuestionID]], FinalQuestions!$A:$C, 3, FALSE)</f>
        <v>Role Modelling</v>
      </c>
      <c r="E645">
        <f>IF(Table7[[#This Row],[Response]]="","",CHOOSE(MATCH(Table7[[#This Row],[Response]],{"Strongly Agree","Agree","Neutral","Disagree","Strongly Disagree","Not Applicable"},0),5,4,3,2,1,""))</f>
        <v>5</v>
      </c>
      <c r="F645">
        <f>Table7[[#This Row],[Scores]] * 20</f>
        <v>100</v>
      </c>
      <c r="G645">
        <f>IF(OR(Table7[[#This Row],[Response]]="Strongly Agree",Table7[[#This Row],[Response]]="Agree"),1,0)</f>
        <v>1</v>
      </c>
      <c r="H645" t="str">
        <f>_xlfn.XLOOKUP(Table7[[#This Row],[QuestionID]], FinalQuestions!$A:$A, FinalQuestions!$D:$D,"")</f>
        <v>Long-Term Decision Awareness</v>
      </c>
      <c r="I645" t="s">
        <v>263</v>
      </c>
    </row>
    <row r="646" spans="1:9" x14ac:dyDescent="0.35">
      <c r="A646" t="s">
        <v>108</v>
      </c>
      <c r="B646" t="s">
        <v>21</v>
      </c>
      <c r="C646" t="s">
        <v>85</v>
      </c>
      <c r="D646" t="str">
        <f>VLOOKUP(Table7[[#This Row],[QuestionID]], FinalQuestions!$A:$C, 3, FALSE)</f>
        <v>Discussability</v>
      </c>
      <c r="E646">
        <f>IF(Table7[[#This Row],[Response]]="","",CHOOSE(MATCH(Table7[[#This Row],[Response]],{"Strongly Agree","Agree","Neutral","Disagree","Strongly Disagree","Not Applicable"},0),5,4,3,2,1,""))</f>
        <v>5</v>
      </c>
      <c r="F646">
        <f>Table7[[#This Row],[Scores]] * 20</f>
        <v>100</v>
      </c>
      <c r="G646">
        <f>IF(OR(Table7[[#This Row],[Response]]="Strongly Agree",Table7[[#This Row],[Response]]="Agree"),1,0)</f>
        <v>1</v>
      </c>
      <c r="H646" t="str">
        <f>_xlfn.XLOOKUP(Table7[[#This Row],[QuestionID]], FinalQuestions!$A:$A, FinalQuestions!$D:$D,"")</f>
        <v>Openness to Discussions</v>
      </c>
      <c r="I646" t="s">
        <v>263</v>
      </c>
    </row>
    <row r="647" spans="1:9" x14ac:dyDescent="0.35">
      <c r="A647" t="s">
        <v>108</v>
      </c>
      <c r="B647" t="s">
        <v>23</v>
      </c>
      <c r="C647" t="s">
        <v>85</v>
      </c>
      <c r="D647" t="str">
        <f>VLOOKUP(Table7[[#This Row],[QuestionID]], FinalQuestions!$A:$C, 3, FALSE)</f>
        <v>Discussability</v>
      </c>
      <c r="E647">
        <f>IF(Table7[[#This Row],[Response]]="","",CHOOSE(MATCH(Table7[[#This Row],[Response]],{"Strongly Agree","Agree","Neutral","Disagree","Strongly Disagree","Not Applicable"},0),5,4,3,2,1,""))</f>
        <v>5</v>
      </c>
      <c r="F647">
        <f>Table7[[#This Row],[Scores]] * 20</f>
        <v>100</v>
      </c>
      <c r="G647">
        <f>IF(OR(Table7[[#This Row],[Response]]="Strongly Agree",Table7[[#This Row],[Response]]="Agree"),1,0)</f>
        <v>1</v>
      </c>
      <c r="H647" t="str">
        <f>_xlfn.XLOOKUP(Table7[[#This Row],[QuestionID]], FinalQuestions!$A:$A, FinalQuestions!$D:$D,"")</f>
        <v>Access to Guidance</v>
      </c>
      <c r="I647" t="s">
        <v>263</v>
      </c>
    </row>
    <row r="648" spans="1:9" x14ac:dyDescent="0.35">
      <c r="A648" t="s">
        <v>108</v>
      </c>
      <c r="B648" t="s">
        <v>25</v>
      </c>
      <c r="C648" t="s">
        <v>85</v>
      </c>
      <c r="D648" t="str">
        <f>VLOOKUP(Table7[[#This Row],[QuestionID]], FinalQuestions!$A:$C, 3, FALSE)</f>
        <v>Discussability</v>
      </c>
      <c r="E648">
        <f>IF(Table7[[#This Row],[Response]]="","",CHOOSE(MATCH(Table7[[#This Row],[Response]],{"Strongly Agree","Agree","Neutral","Disagree","Strongly Disagree","Not Applicable"},0),5,4,3,2,1,""))</f>
        <v>5</v>
      </c>
      <c r="F648">
        <f>Table7[[#This Row],[Scores]] * 20</f>
        <v>100</v>
      </c>
      <c r="G648">
        <f>IF(OR(Table7[[#This Row],[Response]]="Strongly Agree",Table7[[#This Row],[Response]]="Agree"),1,0)</f>
        <v>1</v>
      </c>
      <c r="H648" t="str">
        <f>_xlfn.XLOOKUP(Table7[[#This Row],[QuestionID]], FinalQuestions!$A:$A, FinalQuestions!$D:$D,"")</f>
        <v>Openness to Sharing Opinions</v>
      </c>
      <c r="I648" t="s">
        <v>263</v>
      </c>
    </row>
    <row r="649" spans="1:9" x14ac:dyDescent="0.35">
      <c r="A649" t="s">
        <v>108</v>
      </c>
      <c r="B649" t="s">
        <v>27</v>
      </c>
      <c r="C649" t="s">
        <v>85</v>
      </c>
      <c r="D649" t="str">
        <f>VLOOKUP(Table7[[#This Row],[QuestionID]], FinalQuestions!$A:$C, 3, FALSE)</f>
        <v>Discussability</v>
      </c>
      <c r="E649">
        <f>IF(Table7[[#This Row],[Response]]="","",CHOOSE(MATCH(Table7[[#This Row],[Response]],{"Strongly Agree","Agree","Neutral","Disagree","Strongly Disagree","Not Applicable"},0),5,4,3,2,1,""))</f>
        <v>5</v>
      </c>
      <c r="F649">
        <f>Table7[[#This Row],[Scores]] * 20</f>
        <v>100</v>
      </c>
      <c r="G649">
        <f>IF(OR(Table7[[#This Row],[Response]]="Strongly Agree",Table7[[#This Row],[Response]]="Agree"),1,0)</f>
        <v>1</v>
      </c>
      <c r="H649" t="str">
        <f>_xlfn.XLOOKUP(Table7[[#This Row],[QuestionID]], FinalQuestions!$A:$A, FinalQuestions!$D:$D,"")</f>
        <v>Comfort in Reporting Risk Dilemmas</v>
      </c>
      <c r="I649" t="s">
        <v>263</v>
      </c>
    </row>
    <row r="650" spans="1:9" x14ac:dyDescent="0.35">
      <c r="A650" t="s">
        <v>108</v>
      </c>
      <c r="B650" t="s">
        <v>29</v>
      </c>
      <c r="C650" t="s">
        <v>85</v>
      </c>
      <c r="D650" t="str">
        <f>VLOOKUP(Table7[[#This Row],[QuestionID]], FinalQuestions!$A:$C, 3, FALSE)</f>
        <v>Achievability</v>
      </c>
      <c r="E650">
        <f>IF(Table7[[#This Row],[Response]]="","",CHOOSE(MATCH(Table7[[#This Row],[Response]],{"Strongly Agree","Agree","Neutral","Disagree","Strongly Disagree","Not Applicable"},0),5,4,3,2,1,""))</f>
        <v>5</v>
      </c>
      <c r="F650">
        <f>Table7[[#This Row],[Scores]] * 20</f>
        <v>100</v>
      </c>
      <c r="G650">
        <f>IF(OR(Table7[[#This Row],[Response]]="Strongly Agree",Table7[[#This Row],[Response]]="Agree"),1,0)</f>
        <v>1</v>
      </c>
      <c r="H650" t="str">
        <f>_xlfn.XLOOKUP(Table7[[#This Row],[QuestionID]], FinalQuestions!$A:$A, FinalQuestions!$D:$D,"")</f>
        <v>Adequacy of Risk Management Training</v>
      </c>
      <c r="I650" t="s">
        <v>263</v>
      </c>
    </row>
    <row r="651" spans="1:9" x14ac:dyDescent="0.35">
      <c r="A651" t="s">
        <v>108</v>
      </c>
      <c r="B651" t="s">
        <v>31</v>
      </c>
      <c r="C651" t="s">
        <v>2</v>
      </c>
      <c r="D651" t="str">
        <f>VLOOKUP(Table7[[#This Row],[QuestionID]], FinalQuestions!$A:$C, 3, FALSE)</f>
        <v>Achievability</v>
      </c>
      <c r="E651">
        <f>IF(Table7[[#This Row],[Response]]="","",CHOOSE(MATCH(Table7[[#This Row],[Response]],{"Strongly Agree","Agree","Neutral","Disagree","Strongly Disagree","Not Applicable"},0),5,4,3,2,1,""))</f>
        <v>4</v>
      </c>
      <c r="F651">
        <f>Table7[[#This Row],[Scores]] * 20</f>
        <v>80</v>
      </c>
      <c r="G651">
        <f>IF(OR(Table7[[#This Row],[Response]]="Strongly Agree",Table7[[#This Row],[Response]]="Agree"),1,0)</f>
        <v>1</v>
      </c>
      <c r="H651" t="str">
        <f>_xlfn.XLOOKUP(Table7[[#This Row],[QuestionID]], FinalQuestions!$A:$A, FinalQuestions!$D:$D,"")</f>
        <v>Workload Balance &amp; Resource Sufficiency</v>
      </c>
      <c r="I651" t="s">
        <v>263</v>
      </c>
    </row>
    <row r="652" spans="1:9" x14ac:dyDescent="0.35">
      <c r="A652" t="s">
        <v>108</v>
      </c>
      <c r="B652" t="s">
        <v>33</v>
      </c>
      <c r="C652" t="s">
        <v>2</v>
      </c>
      <c r="D652" t="str">
        <f>VLOOKUP(Table7[[#This Row],[QuestionID]], FinalQuestions!$A:$C, 3, FALSE)</f>
        <v>Achievability</v>
      </c>
      <c r="E652">
        <f>IF(Table7[[#This Row],[Response]]="","",CHOOSE(MATCH(Table7[[#This Row],[Response]],{"Strongly Agree","Agree","Neutral","Disagree","Strongly Disagree","Not Applicable"},0),5,4,3,2,1,""))</f>
        <v>4</v>
      </c>
      <c r="F652">
        <f>Table7[[#This Row],[Scores]] * 20</f>
        <v>80</v>
      </c>
      <c r="G652">
        <f>IF(OR(Table7[[#This Row],[Response]]="Strongly Agree",Table7[[#This Row],[Response]]="Agree"),1,0)</f>
        <v>1</v>
      </c>
      <c r="H652" t="str">
        <f>_xlfn.XLOOKUP(Table7[[#This Row],[QuestionID]], FinalQuestions!$A:$A, FinalQuestions!$D:$D,"")</f>
        <v>Realistic Target Setting</v>
      </c>
      <c r="I652" t="s">
        <v>263</v>
      </c>
    </row>
    <row r="653" spans="1:9" x14ac:dyDescent="0.35">
      <c r="A653" t="s">
        <v>108</v>
      </c>
      <c r="B653" t="s">
        <v>35</v>
      </c>
      <c r="C653" t="s">
        <v>2</v>
      </c>
      <c r="D653" t="str">
        <f>VLOOKUP(Table7[[#This Row],[QuestionID]], FinalQuestions!$A:$C, 3, FALSE)</f>
        <v>Achievability</v>
      </c>
      <c r="E653">
        <f>IF(Table7[[#This Row],[Response]]="","",CHOOSE(MATCH(Table7[[#This Row],[Response]],{"Strongly Agree","Agree","Neutral","Disagree","Strongly Disagree","Not Applicable"},0),5,4,3,2,1,""))</f>
        <v>4</v>
      </c>
      <c r="F653">
        <f>Table7[[#This Row],[Scores]] * 20</f>
        <v>80</v>
      </c>
      <c r="G653">
        <f>IF(OR(Table7[[#This Row],[Response]]="Strongly Agree",Table7[[#This Row],[Response]]="Agree"),1,0)</f>
        <v>1</v>
      </c>
      <c r="H653" t="str">
        <f>_xlfn.XLOOKUP(Table7[[#This Row],[QuestionID]], FinalQuestions!$A:$A, FinalQuestions!$D:$D,"")</f>
        <v>Risk Insight in Decision Making</v>
      </c>
      <c r="I653" t="s">
        <v>263</v>
      </c>
    </row>
    <row r="654" spans="1:9" x14ac:dyDescent="0.35">
      <c r="A654" t="s">
        <v>108</v>
      </c>
      <c r="B654" t="s">
        <v>37</v>
      </c>
      <c r="C654" t="s">
        <v>2</v>
      </c>
      <c r="D654" t="str">
        <f>VLOOKUP(Table7[[#This Row],[QuestionID]], FinalQuestions!$A:$C, 3, FALSE)</f>
        <v>Enforcement</v>
      </c>
      <c r="E654">
        <f>IF(Table7[[#This Row],[Response]]="","",CHOOSE(MATCH(Table7[[#This Row],[Response]],{"Strongly Agree","Agree","Neutral","Disagree","Strongly Disagree","Not Applicable"},0),5,4,3,2,1,""))</f>
        <v>4</v>
      </c>
      <c r="F654">
        <f>Table7[[#This Row],[Scores]] * 20</f>
        <v>80</v>
      </c>
      <c r="G654">
        <f>IF(OR(Table7[[#This Row],[Response]]="Strongly Agree",Table7[[#This Row],[Response]]="Agree"),1,0)</f>
        <v>1</v>
      </c>
      <c r="H654" t="str">
        <f>_xlfn.XLOOKUP(Table7[[#This Row],[QuestionID]], FinalQuestions!$A:$A, FinalQuestions!$D:$D,"")</f>
        <v>Learning Culture from Non‑Compliance Cases</v>
      </c>
      <c r="I654" t="s">
        <v>263</v>
      </c>
    </row>
    <row r="655" spans="1:9" x14ac:dyDescent="0.35">
      <c r="A655" t="s">
        <v>108</v>
      </c>
      <c r="B655" t="s">
        <v>39</v>
      </c>
      <c r="C655" t="s">
        <v>2</v>
      </c>
      <c r="D655" t="str">
        <f>VLOOKUP(Table7[[#This Row],[QuestionID]], FinalQuestions!$A:$C, 3, FALSE)</f>
        <v>Enforcement</v>
      </c>
      <c r="E655">
        <f>IF(Table7[[#This Row],[Response]]="","",CHOOSE(MATCH(Table7[[#This Row],[Response]],{"Strongly Agree","Agree","Neutral","Disagree","Strongly Disagree","Not Applicable"},0),5,4,3,2,1,""))</f>
        <v>4</v>
      </c>
      <c r="F655">
        <f>Table7[[#This Row],[Scores]] * 20</f>
        <v>80</v>
      </c>
      <c r="G655">
        <f>IF(OR(Table7[[#This Row],[Response]]="Strongly Agree",Table7[[#This Row],[Response]]="Agree"),1,0)</f>
        <v>1</v>
      </c>
      <c r="H655" t="str">
        <f>_xlfn.XLOOKUP(Table7[[#This Row],[QuestionID]], FinalQuestions!$A:$A, FinalQuestions!$D:$D,"")</f>
        <v>Organizational View on Risk Culture</v>
      </c>
      <c r="I655" t="s">
        <v>263</v>
      </c>
    </row>
    <row r="656" spans="1:9" x14ac:dyDescent="0.35">
      <c r="A656" t="s">
        <v>108</v>
      </c>
      <c r="B656" t="s">
        <v>41</v>
      </c>
      <c r="C656" t="s">
        <v>2</v>
      </c>
      <c r="D656" t="str">
        <f>VLOOKUP(Table7[[#This Row],[QuestionID]], FinalQuestions!$A:$C, 3, FALSE)</f>
        <v>Enforcement</v>
      </c>
      <c r="E656">
        <f>IF(Table7[[#This Row],[Response]]="","",CHOOSE(MATCH(Table7[[#This Row],[Response]],{"Strongly Agree","Agree","Neutral","Disagree","Strongly Disagree","Not Applicable"},0),5,4,3,2,1,""))</f>
        <v>4</v>
      </c>
      <c r="F656">
        <f>Table7[[#This Row],[Scores]] * 20</f>
        <v>80</v>
      </c>
      <c r="G656">
        <f>IF(OR(Table7[[#This Row],[Response]]="Strongly Agree",Table7[[#This Row],[Response]]="Agree"),1,0)</f>
        <v>1</v>
      </c>
      <c r="H656" t="str">
        <f>_xlfn.XLOOKUP(Table7[[#This Row],[QuestionID]], FinalQuestions!$A:$A, FinalQuestions!$D:$D,"")</f>
        <v>Compliance Recognition &amp; enforcement</v>
      </c>
      <c r="I656" t="s">
        <v>263</v>
      </c>
    </row>
    <row r="657" spans="1:9" x14ac:dyDescent="0.35">
      <c r="A657" t="s">
        <v>108</v>
      </c>
      <c r="B657" t="s">
        <v>43</v>
      </c>
      <c r="C657" t="s">
        <v>2</v>
      </c>
      <c r="D657" t="str">
        <f>VLOOKUP(Table7[[#This Row],[QuestionID]], FinalQuestions!$A:$C, 3, FALSE)</f>
        <v>Enforcement</v>
      </c>
      <c r="E657">
        <f>IF(Table7[[#This Row],[Response]]="","",CHOOSE(MATCH(Table7[[#This Row],[Response]],{"Strongly Agree","Agree","Neutral","Disagree","Strongly Disagree","Not Applicable"},0),5,4,3,2,1,""))</f>
        <v>4</v>
      </c>
      <c r="F657">
        <f>Table7[[#This Row],[Scores]] * 20</f>
        <v>80</v>
      </c>
      <c r="G657">
        <f>IF(OR(Table7[[#This Row],[Response]]="Strongly Agree",Table7[[#This Row],[Response]]="Agree"),1,0)</f>
        <v>1</v>
      </c>
      <c r="H657" t="str">
        <f>_xlfn.XLOOKUP(Table7[[#This Row],[QuestionID]], FinalQuestions!$A:$A, FinalQuestions!$D:$D,"")</f>
        <v>Sense of Ownership</v>
      </c>
      <c r="I657" t="s">
        <v>263</v>
      </c>
    </row>
    <row r="658" spans="1:9" x14ac:dyDescent="0.35">
      <c r="A658" t="s">
        <v>108</v>
      </c>
      <c r="B658" t="s">
        <v>45</v>
      </c>
      <c r="C658" t="s">
        <v>2</v>
      </c>
      <c r="D658" t="str">
        <f>VLOOKUP(Table7[[#This Row],[QuestionID]], FinalQuestions!$A:$C, 3, FALSE)</f>
        <v>Clarity</v>
      </c>
      <c r="E658">
        <f>IF(Table7[[#This Row],[Response]]="","",CHOOSE(MATCH(Table7[[#This Row],[Response]],{"Strongly Agree","Agree","Neutral","Disagree","Strongly Disagree","Not Applicable"},0),5,4,3,2,1,""))</f>
        <v>4</v>
      </c>
      <c r="F658">
        <f>Table7[[#This Row],[Scores]] * 20</f>
        <v>80</v>
      </c>
      <c r="G658">
        <f>IF(OR(Table7[[#This Row],[Response]]="Strongly Agree",Table7[[#This Row],[Response]]="Agree"),1,0)</f>
        <v>1</v>
      </c>
      <c r="H658" t="str">
        <f>_xlfn.XLOOKUP(Table7[[#This Row],[QuestionID]], FinalQuestions!$A:$A, FinalQuestions!$D:$D,"")</f>
        <v>Clarity of Role and Responsibilities</v>
      </c>
      <c r="I658" t="s">
        <v>263</v>
      </c>
    </row>
    <row r="659" spans="1:9" x14ac:dyDescent="0.35">
      <c r="A659" t="s">
        <v>108</v>
      </c>
      <c r="B659" t="s">
        <v>47</v>
      </c>
      <c r="C659" t="s">
        <v>4</v>
      </c>
      <c r="D659" t="str">
        <f>VLOOKUP(Table7[[#This Row],[QuestionID]], FinalQuestions!$A:$C, 3, FALSE)</f>
        <v>Clarity</v>
      </c>
      <c r="E659">
        <f>IF(Table7[[#This Row],[Response]]="","",CHOOSE(MATCH(Table7[[#This Row],[Response]],{"Strongly Agree","Agree","Neutral","Disagree","Strongly Disagree","Not Applicable"},0),5,4,3,2,1,""))</f>
        <v>3</v>
      </c>
      <c r="F659">
        <f>Table7[[#This Row],[Scores]] * 20</f>
        <v>60</v>
      </c>
      <c r="G659">
        <f>IF(OR(Table7[[#This Row],[Response]]="Strongly Agree",Table7[[#This Row],[Response]]="Agree"),1,0)</f>
        <v>0</v>
      </c>
      <c r="H659" t="str">
        <f>_xlfn.XLOOKUP(Table7[[#This Row],[QuestionID]], FinalQuestions!$A:$A, FinalQuestions!$D:$D,"")</f>
        <v>Understanding of Risk Policies &amp; Procedures</v>
      </c>
      <c r="I659" t="s">
        <v>263</v>
      </c>
    </row>
    <row r="660" spans="1:9" x14ac:dyDescent="0.35">
      <c r="A660" t="s">
        <v>108</v>
      </c>
      <c r="B660" t="s">
        <v>49</v>
      </c>
      <c r="C660" t="s">
        <v>85</v>
      </c>
      <c r="D660" t="str">
        <f>VLOOKUP(Table7[[#This Row],[QuestionID]], FinalQuestions!$A:$C, 3, FALSE)</f>
        <v>Clarity</v>
      </c>
      <c r="E660">
        <f>IF(Table7[[#This Row],[Response]]="","",CHOOSE(MATCH(Table7[[#This Row],[Response]],{"Strongly Agree","Agree","Neutral","Disagree","Strongly Disagree","Not Applicable"},0),5,4,3,2,1,""))</f>
        <v>5</v>
      </c>
      <c r="F660">
        <f>Table7[[#This Row],[Scores]] * 20</f>
        <v>100</v>
      </c>
      <c r="G660">
        <f>IF(OR(Table7[[#This Row],[Response]]="Strongly Agree",Table7[[#This Row],[Response]]="Agree"),1,0)</f>
        <v>1</v>
      </c>
      <c r="H660" t="str">
        <f>_xlfn.XLOOKUP(Table7[[#This Row],[QuestionID]], FinalQuestions!$A:$A, FinalQuestions!$D:$D,"")</f>
        <v>Clarity of Personal Risk Boundaries</v>
      </c>
      <c r="I660" t="s">
        <v>263</v>
      </c>
    </row>
    <row r="661" spans="1:9" x14ac:dyDescent="0.35">
      <c r="A661" t="s">
        <v>108</v>
      </c>
      <c r="B661" t="s">
        <v>51</v>
      </c>
      <c r="C661" t="s">
        <v>85</v>
      </c>
      <c r="D661" t="str">
        <f>VLOOKUP(Table7[[#This Row],[QuestionID]], FinalQuestions!$A:$C, 3, FALSE)</f>
        <v>Clarity</v>
      </c>
      <c r="E661">
        <f>IF(Table7[[#This Row],[Response]]="","",CHOOSE(MATCH(Table7[[#This Row],[Response]],{"Strongly Agree","Agree","Neutral","Disagree","Strongly Disagree","Not Applicable"},0),5,4,3,2,1,""))</f>
        <v>5</v>
      </c>
      <c r="F661">
        <f>Table7[[#This Row],[Scores]] * 20</f>
        <v>100</v>
      </c>
      <c r="G661">
        <f>IF(OR(Table7[[#This Row],[Response]]="Strongly Agree",Table7[[#This Row],[Response]]="Agree"),1,0)</f>
        <v>1</v>
      </c>
      <c r="H661" t="str">
        <f>_xlfn.XLOOKUP(Table7[[#This Row],[QuestionID]], FinalQuestions!$A:$A, FinalQuestions!$D:$D,"")</f>
        <v>Effectiveness of Risk Communication &amp; Training</v>
      </c>
      <c r="I661" t="s">
        <v>263</v>
      </c>
    </row>
    <row r="662" spans="1:9" x14ac:dyDescent="0.35">
      <c r="A662" t="s">
        <v>108</v>
      </c>
      <c r="B662" t="s">
        <v>53</v>
      </c>
      <c r="C662" t="s">
        <v>2</v>
      </c>
      <c r="D662" t="str">
        <f>VLOOKUP(Table7[[#This Row],[QuestionID]], FinalQuestions!$A:$C, 3, FALSE)</f>
        <v>Transparency</v>
      </c>
      <c r="E662">
        <f>IF(Table7[[#This Row],[Response]]="","",CHOOSE(MATCH(Table7[[#This Row],[Response]],{"Strongly Agree","Agree","Neutral","Disagree","Strongly Disagree","Not Applicable"},0),5,4,3,2,1,""))</f>
        <v>4</v>
      </c>
      <c r="F662">
        <f>Table7[[#This Row],[Scores]] * 20</f>
        <v>80</v>
      </c>
      <c r="G662">
        <f>IF(OR(Table7[[#This Row],[Response]]="Strongly Agree",Table7[[#This Row],[Response]]="Agree"),1,0)</f>
        <v>1</v>
      </c>
      <c r="H662" t="str">
        <f>_xlfn.XLOOKUP(Table7[[#This Row],[QuestionID]], FinalQuestions!$A:$A, FinalQuestions!$D:$D,"")</f>
        <v>Compliance Confidence in team</v>
      </c>
      <c r="I662" t="s">
        <v>263</v>
      </c>
    </row>
    <row r="663" spans="1:9" x14ac:dyDescent="0.35">
      <c r="A663" t="s">
        <v>108</v>
      </c>
      <c r="B663" t="s">
        <v>55</v>
      </c>
      <c r="C663" t="s">
        <v>2</v>
      </c>
      <c r="D663" t="str">
        <f>VLOOKUP(Table7[[#This Row],[QuestionID]], FinalQuestions!$A:$C, 3, FALSE)</f>
        <v>Transparency</v>
      </c>
      <c r="E663">
        <f>IF(Table7[[#This Row],[Response]]="","",CHOOSE(MATCH(Table7[[#This Row],[Response]],{"Strongly Agree","Agree","Neutral","Disagree","Strongly Disagree","Not Applicable"},0),5,4,3,2,1,""))</f>
        <v>4</v>
      </c>
      <c r="F663">
        <f>Table7[[#This Row],[Scores]] * 20</f>
        <v>80</v>
      </c>
      <c r="G663">
        <f>IF(OR(Table7[[#This Row],[Response]]="Strongly Agree",Table7[[#This Row],[Response]]="Agree"),1,0)</f>
        <v>1</v>
      </c>
      <c r="H663" t="str">
        <f>_xlfn.XLOOKUP(Table7[[#This Row],[QuestionID]], FinalQuestions!$A:$A, FinalQuestions!$D:$D,"")</f>
        <v>Transparency in Decision‑Making</v>
      </c>
      <c r="I663" t="s">
        <v>263</v>
      </c>
    </row>
    <row r="664" spans="1:9" x14ac:dyDescent="0.35">
      <c r="A664" t="s">
        <v>108</v>
      </c>
      <c r="B664" t="s">
        <v>57</v>
      </c>
      <c r="C664" t="s">
        <v>85</v>
      </c>
      <c r="D664" t="str">
        <f>VLOOKUP(Table7[[#This Row],[QuestionID]], FinalQuestions!$A:$C, 3, FALSE)</f>
        <v>Transparency</v>
      </c>
      <c r="E664">
        <f>IF(Table7[[#This Row],[Response]]="","",CHOOSE(MATCH(Table7[[#This Row],[Response]],{"Strongly Agree","Agree","Neutral","Disagree","Strongly Disagree","Not Applicable"},0),5,4,3,2,1,""))</f>
        <v>5</v>
      </c>
      <c r="F664">
        <f>Table7[[#This Row],[Scores]] * 20</f>
        <v>100</v>
      </c>
      <c r="G664">
        <f>IF(OR(Table7[[#This Row],[Response]]="Strongly Agree",Table7[[#This Row],[Response]]="Agree"),1,0)</f>
        <v>1</v>
      </c>
      <c r="H664" t="str">
        <f>_xlfn.XLOOKUP(Table7[[#This Row],[QuestionID]], FinalQuestions!$A:$A, FinalQuestions!$D:$D,"")</f>
        <v>Fairness &amp; Equity of Expectations</v>
      </c>
      <c r="I664" t="s">
        <v>263</v>
      </c>
    </row>
    <row r="665" spans="1:9" x14ac:dyDescent="0.35">
      <c r="A665" t="s">
        <v>108</v>
      </c>
      <c r="B665" t="s">
        <v>59</v>
      </c>
      <c r="C665" t="s">
        <v>85</v>
      </c>
      <c r="D665" t="str">
        <f>VLOOKUP(Table7[[#This Row],[QuestionID]], FinalQuestions!$A:$C, 3, FALSE)</f>
        <v>Transparency</v>
      </c>
      <c r="E665">
        <f>IF(Table7[[#This Row],[Response]]="","",CHOOSE(MATCH(Table7[[#This Row],[Response]],{"Strongly Agree","Agree","Neutral","Disagree","Strongly Disagree","Not Applicable"},0),5,4,3,2,1,""))</f>
        <v>5</v>
      </c>
      <c r="F665">
        <f>Table7[[#This Row],[Scores]] * 20</f>
        <v>100</v>
      </c>
      <c r="G665">
        <f>IF(OR(Table7[[#This Row],[Response]]="Strongly Agree",Table7[[#This Row],[Response]]="Agree"),1,0)</f>
        <v>1</v>
      </c>
      <c r="H665" t="str">
        <f>_xlfn.XLOOKUP(Table7[[#This Row],[QuestionID]], FinalQuestions!$A:$A, FinalQuestions!$D:$D,"")</f>
        <v>Leadership Awareness in the team</v>
      </c>
      <c r="I665" t="s">
        <v>263</v>
      </c>
    </row>
    <row r="666" spans="1:9" x14ac:dyDescent="0.35">
      <c r="A666" t="s">
        <v>108</v>
      </c>
      <c r="B666" t="s">
        <v>61</v>
      </c>
      <c r="C666" t="s">
        <v>85</v>
      </c>
      <c r="D666" t="str">
        <f>VLOOKUP(Table7[[#This Row],[QuestionID]], FinalQuestions!$A:$C, 3, FALSE)</f>
        <v>Commitment</v>
      </c>
      <c r="E666">
        <f>IF(Table7[[#This Row],[Response]]="","",CHOOSE(MATCH(Table7[[#This Row],[Response]],{"Strongly Agree","Agree","Neutral","Disagree","Strongly Disagree","Not Applicable"},0),5,4,3,2,1,""))</f>
        <v>5</v>
      </c>
      <c r="F666">
        <f>Table7[[#This Row],[Scores]] * 20</f>
        <v>100</v>
      </c>
      <c r="G666">
        <f>IF(OR(Table7[[#This Row],[Response]]="Strongly Agree",Table7[[#This Row],[Response]]="Agree"),1,0)</f>
        <v>1</v>
      </c>
      <c r="H666" t="str">
        <f>_xlfn.XLOOKUP(Table7[[#This Row],[QuestionID]], FinalQuestions!$A:$A, FinalQuestions!$D:$D,"")</f>
        <v>Motivation for Risk Ownership</v>
      </c>
      <c r="I666" t="s">
        <v>263</v>
      </c>
    </row>
    <row r="667" spans="1:9" x14ac:dyDescent="0.35">
      <c r="A667" t="s">
        <v>108</v>
      </c>
      <c r="B667" t="s">
        <v>63</v>
      </c>
      <c r="C667" t="s">
        <v>85</v>
      </c>
      <c r="D667" t="str">
        <f>VLOOKUP(Table7[[#This Row],[QuestionID]], FinalQuestions!$A:$C, 3, FALSE)</f>
        <v>Commitment</v>
      </c>
      <c r="E667">
        <f>IF(Table7[[#This Row],[Response]]="","",CHOOSE(MATCH(Table7[[#This Row],[Response]],{"Strongly Agree","Agree","Neutral","Disagree","Strongly Disagree","Not Applicable"},0),5,4,3,2,1,""))</f>
        <v>5</v>
      </c>
      <c r="F667">
        <f>Table7[[#This Row],[Scores]] * 20</f>
        <v>100</v>
      </c>
      <c r="G667">
        <f>IF(OR(Table7[[#This Row],[Response]]="Strongly Agree",Table7[[#This Row],[Response]]="Agree"),1,0)</f>
        <v>1</v>
      </c>
      <c r="H667" t="str">
        <f>_xlfn.XLOOKUP(Table7[[#This Row],[QuestionID]], FinalQuestions!$A:$A, FinalQuestions!$D:$D,"")</f>
        <v>Sense of Belonging to the Organization</v>
      </c>
      <c r="I667" t="s">
        <v>263</v>
      </c>
    </row>
    <row r="668" spans="1:9" x14ac:dyDescent="0.35">
      <c r="A668" t="s">
        <v>108</v>
      </c>
      <c r="B668" t="s">
        <v>65</v>
      </c>
      <c r="C668" t="s">
        <v>85</v>
      </c>
      <c r="D668" t="str">
        <f>VLOOKUP(Table7[[#This Row],[QuestionID]], FinalQuestions!$A:$C, 3, FALSE)</f>
        <v>Commitment</v>
      </c>
      <c r="E668">
        <f>IF(Table7[[#This Row],[Response]]="","",CHOOSE(MATCH(Table7[[#This Row],[Response]],{"Strongly Agree","Agree","Neutral","Disagree","Strongly Disagree","Not Applicable"},0),5,4,3,2,1,""))</f>
        <v>5</v>
      </c>
      <c r="F668">
        <f>Table7[[#This Row],[Scores]] * 20</f>
        <v>100</v>
      </c>
      <c r="G668">
        <f>IF(OR(Table7[[#This Row],[Response]]="Strongly Agree",Table7[[#This Row],[Response]]="Agree"),1,0)</f>
        <v>1</v>
      </c>
      <c r="H668" t="str">
        <f>_xlfn.XLOOKUP(Table7[[#This Row],[QuestionID]], FinalQuestions!$A:$A, FinalQuestions!$D:$D,"")</f>
        <v>Consideration of Impact on Others</v>
      </c>
      <c r="I668" t="s">
        <v>263</v>
      </c>
    </row>
    <row r="669" spans="1:9" x14ac:dyDescent="0.35">
      <c r="A669" t="s">
        <v>108</v>
      </c>
      <c r="B669" t="s">
        <v>67</v>
      </c>
      <c r="C669" t="s">
        <v>85</v>
      </c>
      <c r="D669" t="str">
        <f>VLOOKUP(Table7[[#This Row],[QuestionID]], FinalQuestions!$A:$C, 3, FALSE)</f>
        <v>Commitment</v>
      </c>
      <c r="E669">
        <f>IF(Table7[[#This Row],[Response]]="","",CHOOSE(MATCH(Table7[[#This Row],[Response]],{"Strongly Agree","Agree","Neutral","Disagree","Strongly Disagree","Not Applicable"},0),5,4,3,2,1,""))</f>
        <v>5</v>
      </c>
      <c r="F669">
        <f>Table7[[#This Row],[Scores]] * 20</f>
        <v>100</v>
      </c>
      <c r="G669">
        <f>IF(OR(Table7[[#This Row],[Response]]="Strongly Agree",Table7[[#This Row],[Response]]="Agree"),1,0)</f>
        <v>1</v>
      </c>
      <c r="H669" t="str">
        <f>_xlfn.XLOOKUP(Table7[[#This Row],[QuestionID]], FinalQuestions!$A:$A, FinalQuestions!$D:$D,"")</f>
        <v>Accountability for Risk Actions</v>
      </c>
      <c r="I669" t="s">
        <v>263</v>
      </c>
    </row>
    <row r="670" spans="1:9" x14ac:dyDescent="0.35">
      <c r="A670" t="s">
        <v>108</v>
      </c>
      <c r="B670" t="s">
        <v>69</v>
      </c>
      <c r="C670" t="s">
        <v>85</v>
      </c>
      <c r="D670" t="str">
        <f>VLOOKUP(Table7[[#This Row],[QuestionID]], FinalQuestions!$A:$C, 3, FALSE)</f>
        <v>Call someone to account</v>
      </c>
      <c r="E670">
        <f>IF(Table7[[#This Row],[Response]]="","",CHOOSE(MATCH(Table7[[#This Row],[Response]],{"Strongly Agree","Agree","Neutral","Disagree","Strongly Disagree","Not Applicable"},0),5,4,3,2,1,""))</f>
        <v>5</v>
      </c>
      <c r="F670">
        <f>Table7[[#This Row],[Scores]] * 20</f>
        <v>100</v>
      </c>
      <c r="G670">
        <f>IF(OR(Table7[[#This Row],[Response]]="Strongly Agree",Table7[[#This Row],[Response]]="Agree"),1,0)</f>
        <v>1</v>
      </c>
      <c r="H670" t="str">
        <f>_xlfn.XLOOKUP(Table7[[#This Row],[QuestionID]], FinalQuestions!$A:$A, FinalQuestions!$D:$D,"")</f>
        <v xml:space="preserve">Peer to peer Accountability </v>
      </c>
      <c r="I670" t="s">
        <v>263</v>
      </c>
    </row>
    <row r="671" spans="1:9" x14ac:dyDescent="0.35">
      <c r="A671" t="s">
        <v>108</v>
      </c>
      <c r="B671" t="s">
        <v>71</v>
      </c>
      <c r="C671" t="s">
        <v>2</v>
      </c>
      <c r="D671" t="str">
        <f>VLOOKUP(Table7[[#This Row],[QuestionID]], FinalQuestions!$A:$C, 3, FALSE)</f>
        <v>Call someone to account</v>
      </c>
      <c r="E671">
        <f>IF(Table7[[#This Row],[Response]]="","",CHOOSE(MATCH(Table7[[#This Row],[Response]],{"Strongly Agree","Agree","Neutral","Disagree","Strongly Disagree","Not Applicable"},0),5,4,3,2,1,""))</f>
        <v>4</v>
      </c>
      <c r="F671">
        <f>Table7[[#This Row],[Scores]] * 20</f>
        <v>80</v>
      </c>
      <c r="G671">
        <f>IF(OR(Table7[[#This Row],[Response]]="Strongly Agree",Table7[[#This Row],[Response]]="Agree"),1,0)</f>
        <v>1</v>
      </c>
      <c r="H671" t="str">
        <f>_xlfn.XLOOKUP(Table7[[#This Row],[QuestionID]], FinalQuestions!$A:$A, FinalQuestions!$D:$D,"")</f>
        <v>Timely Resolution of Accountability Issues</v>
      </c>
      <c r="I671" t="s">
        <v>263</v>
      </c>
    </row>
    <row r="672" spans="1:9" x14ac:dyDescent="0.35">
      <c r="A672" t="s">
        <v>108</v>
      </c>
      <c r="B672" t="s">
        <v>73</v>
      </c>
      <c r="C672" t="s">
        <v>2</v>
      </c>
      <c r="D672" t="str">
        <f>VLOOKUP(Table7[[#This Row],[QuestionID]], FinalQuestions!$A:$C, 3, FALSE)</f>
        <v>Call someone to account</v>
      </c>
      <c r="E672">
        <f>IF(Table7[[#This Row],[Response]]="","",CHOOSE(MATCH(Table7[[#This Row],[Response]],{"Strongly Agree","Agree","Neutral","Disagree","Strongly Disagree","Not Applicable"},0),5,4,3,2,1,""))</f>
        <v>4</v>
      </c>
      <c r="F672">
        <f>Table7[[#This Row],[Scores]] * 20</f>
        <v>80</v>
      </c>
      <c r="G672">
        <f>IF(OR(Table7[[#This Row],[Response]]="Strongly Agree",Table7[[#This Row],[Response]]="Agree"),1,0)</f>
        <v>1</v>
      </c>
      <c r="H672" t="str">
        <f>_xlfn.XLOOKUP(Table7[[#This Row],[QuestionID]], FinalQuestions!$A:$A, FinalQuestions!$D:$D,"")</f>
        <v>Comfort for Reporting Non‑Compliance.</v>
      </c>
      <c r="I672" t="s">
        <v>263</v>
      </c>
    </row>
    <row r="673" spans="1:9" x14ac:dyDescent="0.35">
      <c r="A673" t="s">
        <v>108</v>
      </c>
      <c r="B673" t="s">
        <v>75</v>
      </c>
      <c r="C673" t="s">
        <v>2</v>
      </c>
      <c r="D673" t="str">
        <f>VLOOKUP(Table7[[#This Row],[QuestionID]], FinalQuestions!$A:$C, 3, FALSE)</f>
        <v>Call someone to account</v>
      </c>
      <c r="E673">
        <f>IF(Table7[[#This Row],[Response]]="","",CHOOSE(MATCH(Table7[[#This Row],[Response]],{"Strongly Agree","Agree","Neutral","Disagree","Strongly Disagree","Not Applicable"},0),5,4,3,2,1,""))</f>
        <v>4</v>
      </c>
      <c r="F673">
        <f>Table7[[#This Row],[Scores]] * 20</f>
        <v>80</v>
      </c>
      <c r="G673">
        <f>IF(OR(Table7[[#This Row],[Response]]="Strongly Agree",Table7[[#This Row],[Response]]="Agree"),1,0)</f>
        <v>1</v>
      </c>
      <c r="H673" t="str">
        <f>_xlfn.XLOOKUP(Table7[[#This Row],[QuestionID]], FinalQuestions!$A:$A, FinalQuestions!$D:$D,"")</f>
        <v>Consistency of Conduct Enforcement</v>
      </c>
      <c r="I673" t="s">
        <v>263</v>
      </c>
    </row>
    <row r="674" spans="1:9" x14ac:dyDescent="0.35">
      <c r="A674" t="s">
        <v>109</v>
      </c>
      <c r="B674" t="s">
        <v>13</v>
      </c>
      <c r="C674" t="s">
        <v>2</v>
      </c>
      <c r="D674" t="str">
        <f>VLOOKUP(Table7[[#This Row],[QuestionID]], FinalQuestions!$A:$C, 3, FALSE)</f>
        <v>Role Modelling</v>
      </c>
      <c r="E674">
        <f>IF(Table7[[#This Row],[Response]]="","",CHOOSE(MATCH(Table7[[#This Row],[Response]],{"Strongly Agree","Agree","Neutral","Disagree","Strongly Disagree","Not Applicable"},0),5,4,3,2,1,""))</f>
        <v>4</v>
      </c>
      <c r="F674">
        <f>Table7[[#This Row],[Scores]] * 20</f>
        <v>80</v>
      </c>
      <c r="G674">
        <f>IF(OR(Table7[[#This Row],[Response]]="Strongly Agree",Table7[[#This Row],[Response]]="Agree"),1,0)</f>
        <v>1</v>
      </c>
      <c r="H674" t="str">
        <f>_xlfn.XLOOKUP(Table7[[#This Row],[QuestionID]], FinalQuestions!$A:$A, FinalQuestions!$D:$D,"")</f>
        <v xml:space="preserve">Leadership Example‑Setting in Risk Management </v>
      </c>
      <c r="I674" t="s">
        <v>268</v>
      </c>
    </row>
    <row r="675" spans="1:9" x14ac:dyDescent="0.35">
      <c r="A675" t="s">
        <v>109</v>
      </c>
      <c r="B675" t="s">
        <v>15</v>
      </c>
      <c r="C675" t="s">
        <v>2</v>
      </c>
      <c r="D675" t="str">
        <f>VLOOKUP(Table7[[#This Row],[QuestionID]], FinalQuestions!$A:$C, 3, FALSE)</f>
        <v>Role Modelling</v>
      </c>
      <c r="E675">
        <f>IF(Table7[[#This Row],[Response]]="","",CHOOSE(MATCH(Table7[[#This Row],[Response]],{"Strongly Agree","Agree","Neutral","Disagree","Strongly Disagree","Not Applicable"},0),5,4,3,2,1,""))</f>
        <v>4</v>
      </c>
      <c r="F675">
        <f>Table7[[#This Row],[Scores]] * 20</f>
        <v>80</v>
      </c>
      <c r="G675">
        <f>IF(OR(Table7[[#This Row],[Response]]="Strongly Agree",Table7[[#This Row],[Response]]="Agree"),1,0)</f>
        <v>1</v>
      </c>
      <c r="H675" t="str">
        <f>_xlfn.XLOOKUP(Table7[[#This Row],[QuestionID]], FinalQuestions!$A:$A, FinalQuestions!$D:$D,"")</f>
        <v>Executive Commitment to Risk Culture</v>
      </c>
      <c r="I675" t="s">
        <v>268</v>
      </c>
    </row>
    <row r="676" spans="1:9" x14ac:dyDescent="0.35">
      <c r="A676" t="s">
        <v>109</v>
      </c>
      <c r="B676" t="s">
        <v>17</v>
      </c>
      <c r="C676" t="s">
        <v>2</v>
      </c>
      <c r="D676" t="str">
        <f>VLOOKUP(Table7[[#This Row],[QuestionID]], FinalQuestions!$A:$C, 3, FALSE)</f>
        <v>Role Modelling</v>
      </c>
      <c r="E676">
        <f>IF(Table7[[#This Row],[Response]]="","",CHOOSE(MATCH(Table7[[#This Row],[Response]],{"Strongly Agree","Agree","Neutral","Disagree","Strongly Disagree","Not Applicable"},0),5,4,3,2,1,""))</f>
        <v>4</v>
      </c>
      <c r="F676">
        <f>Table7[[#This Row],[Scores]] * 20</f>
        <v>80</v>
      </c>
      <c r="G676">
        <f>IF(OR(Table7[[#This Row],[Response]]="Strongly Agree",Table7[[#This Row],[Response]]="Agree"),1,0)</f>
        <v>1</v>
      </c>
      <c r="H676" t="str">
        <f>_xlfn.XLOOKUP(Table7[[#This Row],[QuestionID]], FinalQuestions!$A:$A, FinalQuestions!$D:$D,"")</f>
        <v>Leadership Encouragement to Escalate Risks</v>
      </c>
      <c r="I676" t="s">
        <v>268</v>
      </c>
    </row>
    <row r="677" spans="1:9" x14ac:dyDescent="0.35">
      <c r="A677" t="s">
        <v>109</v>
      </c>
      <c r="B677" t="s">
        <v>19</v>
      </c>
      <c r="C677" t="s">
        <v>2</v>
      </c>
      <c r="D677" t="str">
        <f>VLOOKUP(Table7[[#This Row],[QuestionID]], FinalQuestions!$A:$C, 3, FALSE)</f>
        <v>Role Modelling</v>
      </c>
      <c r="E677">
        <f>IF(Table7[[#This Row],[Response]]="","",CHOOSE(MATCH(Table7[[#This Row],[Response]],{"Strongly Agree","Agree","Neutral","Disagree","Strongly Disagree","Not Applicable"},0),5,4,3,2,1,""))</f>
        <v>4</v>
      </c>
      <c r="F677">
        <f>Table7[[#This Row],[Scores]] * 20</f>
        <v>80</v>
      </c>
      <c r="G677">
        <f>IF(OR(Table7[[#This Row],[Response]]="Strongly Agree",Table7[[#This Row],[Response]]="Agree"),1,0)</f>
        <v>1</v>
      </c>
      <c r="H677" t="str">
        <f>_xlfn.XLOOKUP(Table7[[#This Row],[QuestionID]], FinalQuestions!$A:$A, FinalQuestions!$D:$D,"")</f>
        <v>Long-Term Decision Awareness</v>
      </c>
      <c r="I677" t="s">
        <v>268</v>
      </c>
    </row>
    <row r="678" spans="1:9" x14ac:dyDescent="0.35">
      <c r="A678" t="s">
        <v>109</v>
      </c>
      <c r="B678" t="s">
        <v>21</v>
      </c>
      <c r="C678" t="s">
        <v>2</v>
      </c>
      <c r="D678" t="str">
        <f>VLOOKUP(Table7[[#This Row],[QuestionID]], FinalQuestions!$A:$C, 3, FALSE)</f>
        <v>Discussability</v>
      </c>
      <c r="E678">
        <f>IF(Table7[[#This Row],[Response]]="","",CHOOSE(MATCH(Table7[[#This Row],[Response]],{"Strongly Agree","Agree","Neutral","Disagree","Strongly Disagree","Not Applicable"},0),5,4,3,2,1,""))</f>
        <v>4</v>
      </c>
      <c r="F678">
        <f>Table7[[#This Row],[Scores]] * 20</f>
        <v>80</v>
      </c>
      <c r="G678">
        <f>IF(OR(Table7[[#This Row],[Response]]="Strongly Agree",Table7[[#This Row],[Response]]="Agree"),1,0)</f>
        <v>1</v>
      </c>
      <c r="H678" t="str">
        <f>_xlfn.XLOOKUP(Table7[[#This Row],[QuestionID]], FinalQuestions!$A:$A, FinalQuestions!$D:$D,"")</f>
        <v>Openness to Discussions</v>
      </c>
      <c r="I678" t="s">
        <v>268</v>
      </c>
    </row>
    <row r="679" spans="1:9" x14ac:dyDescent="0.35">
      <c r="A679" t="s">
        <v>109</v>
      </c>
      <c r="B679" t="s">
        <v>23</v>
      </c>
      <c r="C679" t="s">
        <v>4</v>
      </c>
      <c r="D679" t="str">
        <f>VLOOKUP(Table7[[#This Row],[QuestionID]], FinalQuestions!$A:$C, 3, FALSE)</f>
        <v>Discussability</v>
      </c>
      <c r="E679">
        <f>IF(Table7[[#This Row],[Response]]="","",CHOOSE(MATCH(Table7[[#This Row],[Response]],{"Strongly Agree","Agree","Neutral","Disagree","Strongly Disagree","Not Applicable"},0),5,4,3,2,1,""))</f>
        <v>3</v>
      </c>
      <c r="F679">
        <f>Table7[[#This Row],[Scores]] * 20</f>
        <v>60</v>
      </c>
      <c r="G679">
        <f>IF(OR(Table7[[#This Row],[Response]]="Strongly Agree",Table7[[#This Row],[Response]]="Agree"),1,0)</f>
        <v>0</v>
      </c>
      <c r="H679" t="str">
        <f>_xlfn.XLOOKUP(Table7[[#This Row],[QuestionID]], FinalQuestions!$A:$A, FinalQuestions!$D:$D,"")</f>
        <v>Access to Guidance</v>
      </c>
      <c r="I679" t="s">
        <v>268</v>
      </c>
    </row>
    <row r="680" spans="1:9" x14ac:dyDescent="0.35">
      <c r="A680" t="s">
        <v>109</v>
      </c>
      <c r="B680" t="s">
        <v>25</v>
      </c>
      <c r="C680" t="s">
        <v>85</v>
      </c>
      <c r="D680" t="str">
        <f>VLOOKUP(Table7[[#This Row],[QuestionID]], FinalQuestions!$A:$C, 3, FALSE)</f>
        <v>Discussability</v>
      </c>
      <c r="E680">
        <f>IF(Table7[[#This Row],[Response]]="","",CHOOSE(MATCH(Table7[[#This Row],[Response]],{"Strongly Agree","Agree","Neutral","Disagree","Strongly Disagree","Not Applicable"},0),5,4,3,2,1,""))</f>
        <v>5</v>
      </c>
      <c r="F680">
        <f>Table7[[#This Row],[Scores]] * 20</f>
        <v>100</v>
      </c>
      <c r="G680">
        <f>IF(OR(Table7[[#This Row],[Response]]="Strongly Agree",Table7[[#This Row],[Response]]="Agree"),1,0)</f>
        <v>1</v>
      </c>
      <c r="H680" t="str">
        <f>_xlfn.XLOOKUP(Table7[[#This Row],[QuestionID]], FinalQuestions!$A:$A, FinalQuestions!$D:$D,"")</f>
        <v>Openness to Sharing Opinions</v>
      </c>
      <c r="I680" t="s">
        <v>268</v>
      </c>
    </row>
    <row r="681" spans="1:9" x14ac:dyDescent="0.35">
      <c r="A681" t="s">
        <v>109</v>
      </c>
      <c r="B681" t="s">
        <v>27</v>
      </c>
      <c r="C681" t="s">
        <v>85</v>
      </c>
      <c r="D681" t="str">
        <f>VLOOKUP(Table7[[#This Row],[QuestionID]], FinalQuestions!$A:$C, 3, FALSE)</f>
        <v>Discussability</v>
      </c>
      <c r="E681">
        <f>IF(Table7[[#This Row],[Response]]="","",CHOOSE(MATCH(Table7[[#This Row],[Response]],{"Strongly Agree","Agree","Neutral","Disagree","Strongly Disagree","Not Applicable"},0),5,4,3,2,1,""))</f>
        <v>5</v>
      </c>
      <c r="F681">
        <f>Table7[[#This Row],[Scores]] * 20</f>
        <v>100</v>
      </c>
      <c r="G681">
        <f>IF(OR(Table7[[#This Row],[Response]]="Strongly Agree",Table7[[#This Row],[Response]]="Agree"),1,0)</f>
        <v>1</v>
      </c>
      <c r="H681" t="str">
        <f>_xlfn.XLOOKUP(Table7[[#This Row],[QuestionID]], FinalQuestions!$A:$A, FinalQuestions!$D:$D,"")</f>
        <v>Comfort in Reporting Risk Dilemmas</v>
      </c>
      <c r="I681" t="s">
        <v>268</v>
      </c>
    </row>
    <row r="682" spans="1:9" x14ac:dyDescent="0.35">
      <c r="A682" t="s">
        <v>109</v>
      </c>
      <c r="B682" t="s">
        <v>29</v>
      </c>
      <c r="C682" t="s">
        <v>2</v>
      </c>
      <c r="D682" t="str">
        <f>VLOOKUP(Table7[[#This Row],[QuestionID]], FinalQuestions!$A:$C, 3, FALSE)</f>
        <v>Achievability</v>
      </c>
      <c r="E682">
        <f>IF(Table7[[#This Row],[Response]]="","",CHOOSE(MATCH(Table7[[#This Row],[Response]],{"Strongly Agree","Agree","Neutral","Disagree","Strongly Disagree","Not Applicable"},0),5,4,3,2,1,""))</f>
        <v>4</v>
      </c>
      <c r="F682">
        <f>Table7[[#This Row],[Scores]] * 20</f>
        <v>80</v>
      </c>
      <c r="G682">
        <f>IF(OR(Table7[[#This Row],[Response]]="Strongly Agree",Table7[[#This Row],[Response]]="Agree"),1,0)</f>
        <v>1</v>
      </c>
      <c r="H682" t="str">
        <f>_xlfn.XLOOKUP(Table7[[#This Row],[QuestionID]], FinalQuestions!$A:$A, FinalQuestions!$D:$D,"")</f>
        <v>Adequacy of Risk Management Training</v>
      </c>
      <c r="I682" t="s">
        <v>268</v>
      </c>
    </row>
    <row r="683" spans="1:9" x14ac:dyDescent="0.35">
      <c r="A683" t="s">
        <v>109</v>
      </c>
      <c r="B683" t="s">
        <v>31</v>
      </c>
      <c r="C683" t="s">
        <v>2</v>
      </c>
      <c r="D683" t="str">
        <f>VLOOKUP(Table7[[#This Row],[QuestionID]], FinalQuestions!$A:$C, 3, FALSE)</f>
        <v>Achievability</v>
      </c>
      <c r="E683">
        <f>IF(Table7[[#This Row],[Response]]="","",CHOOSE(MATCH(Table7[[#This Row],[Response]],{"Strongly Agree","Agree","Neutral","Disagree","Strongly Disagree","Not Applicable"},0),5,4,3,2,1,""))</f>
        <v>4</v>
      </c>
      <c r="F683">
        <f>Table7[[#This Row],[Scores]] * 20</f>
        <v>80</v>
      </c>
      <c r="G683">
        <f>IF(OR(Table7[[#This Row],[Response]]="Strongly Agree",Table7[[#This Row],[Response]]="Agree"),1,0)</f>
        <v>1</v>
      </c>
      <c r="H683" t="str">
        <f>_xlfn.XLOOKUP(Table7[[#This Row],[QuestionID]], FinalQuestions!$A:$A, FinalQuestions!$D:$D,"")</f>
        <v>Workload Balance &amp; Resource Sufficiency</v>
      </c>
      <c r="I683" t="s">
        <v>268</v>
      </c>
    </row>
    <row r="684" spans="1:9" x14ac:dyDescent="0.35">
      <c r="A684" t="s">
        <v>109</v>
      </c>
      <c r="B684" t="s">
        <v>33</v>
      </c>
      <c r="C684" t="s">
        <v>85</v>
      </c>
      <c r="D684" t="str">
        <f>VLOOKUP(Table7[[#This Row],[QuestionID]], FinalQuestions!$A:$C, 3, FALSE)</f>
        <v>Achievability</v>
      </c>
      <c r="E684">
        <f>IF(Table7[[#This Row],[Response]]="","",CHOOSE(MATCH(Table7[[#This Row],[Response]],{"Strongly Agree","Agree","Neutral","Disagree","Strongly Disagree","Not Applicable"},0),5,4,3,2,1,""))</f>
        <v>5</v>
      </c>
      <c r="F684">
        <f>Table7[[#This Row],[Scores]] * 20</f>
        <v>100</v>
      </c>
      <c r="G684">
        <f>IF(OR(Table7[[#This Row],[Response]]="Strongly Agree",Table7[[#This Row],[Response]]="Agree"),1,0)</f>
        <v>1</v>
      </c>
      <c r="H684" t="str">
        <f>_xlfn.XLOOKUP(Table7[[#This Row],[QuestionID]], FinalQuestions!$A:$A, FinalQuestions!$D:$D,"")</f>
        <v>Realistic Target Setting</v>
      </c>
      <c r="I684" t="s">
        <v>268</v>
      </c>
    </row>
    <row r="685" spans="1:9" x14ac:dyDescent="0.35">
      <c r="A685" t="s">
        <v>109</v>
      </c>
      <c r="B685" t="s">
        <v>35</v>
      </c>
      <c r="C685" t="s">
        <v>85</v>
      </c>
      <c r="D685" t="str">
        <f>VLOOKUP(Table7[[#This Row],[QuestionID]], FinalQuestions!$A:$C, 3, FALSE)</f>
        <v>Achievability</v>
      </c>
      <c r="E685">
        <f>IF(Table7[[#This Row],[Response]]="","",CHOOSE(MATCH(Table7[[#This Row],[Response]],{"Strongly Agree","Agree","Neutral","Disagree","Strongly Disagree","Not Applicable"},0),5,4,3,2,1,""))</f>
        <v>5</v>
      </c>
      <c r="F685">
        <f>Table7[[#This Row],[Scores]] * 20</f>
        <v>100</v>
      </c>
      <c r="G685">
        <f>IF(OR(Table7[[#This Row],[Response]]="Strongly Agree",Table7[[#This Row],[Response]]="Agree"),1,0)</f>
        <v>1</v>
      </c>
      <c r="H685" t="str">
        <f>_xlfn.XLOOKUP(Table7[[#This Row],[QuestionID]], FinalQuestions!$A:$A, FinalQuestions!$D:$D,"")</f>
        <v>Risk Insight in Decision Making</v>
      </c>
      <c r="I685" t="s">
        <v>268</v>
      </c>
    </row>
    <row r="686" spans="1:9" x14ac:dyDescent="0.35">
      <c r="A686" t="s">
        <v>109</v>
      </c>
      <c r="B686" t="s">
        <v>37</v>
      </c>
      <c r="C686" t="s">
        <v>85</v>
      </c>
      <c r="D686" t="str">
        <f>VLOOKUP(Table7[[#This Row],[QuestionID]], FinalQuestions!$A:$C, 3, FALSE)</f>
        <v>Enforcement</v>
      </c>
      <c r="E686">
        <f>IF(Table7[[#This Row],[Response]]="","",CHOOSE(MATCH(Table7[[#This Row],[Response]],{"Strongly Agree","Agree","Neutral","Disagree","Strongly Disagree","Not Applicable"},0),5,4,3,2,1,""))</f>
        <v>5</v>
      </c>
      <c r="F686">
        <f>Table7[[#This Row],[Scores]] * 20</f>
        <v>100</v>
      </c>
      <c r="G686">
        <f>IF(OR(Table7[[#This Row],[Response]]="Strongly Agree",Table7[[#This Row],[Response]]="Agree"),1,0)</f>
        <v>1</v>
      </c>
      <c r="H686" t="str">
        <f>_xlfn.XLOOKUP(Table7[[#This Row],[QuestionID]], FinalQuestions!$A:$A, FinalQuestions!$D:$D,"")</f>
        <v>Learning Culture from Non‑Compliance Cases</v>
      </c>
      <c r="I686" t="s">
        <v>268</v>
      </c>
    </row>
    <row r="687" spans="1:9" x14ac:dyDescent="0.35">
      <c r="A687" t="s">
        <v>109</v>
      </c>
      <c r="B687" t="s">
        <v>39</v>
      </c>
      <c r="C687" t="s">
        <v>85</v>
      </c>
      <c r="D687" t="str">
        <f>VLOOKUP(Table7[[#This Row],[QuestionID]], FinalQuestions!$A:$C, 3, FALSE)</f>
        <v>Enforcement</v>
      </c>
      <c r="E687">
        <f>IF(Table7[[#This Row],[Response]]="","",CHOOSE(MATCH(Table7[[#This Row],[Response]],{"Strongly Agree","Agree","Neutral","Disagree","Strongly Disagree","Not Applicable"},0),5,4,3,2,1,""))</f>
        <v>5</v>
      </c>
      <c r="F687">
        <f>Table7[[#This Row],[Scores]] * 20</f>
        <v>100</v>
      </c>
      <c r="G687">
        <f>IF(OR(Table7[[#This Row],[Response]]="Strongly Agree",Table7[[#This Row],[Response]]="Agree"),1,0)</f>
        <v>1</v>
      </c>
      <c r="H687" t="str">
        <f>_xlfn.XLOOKUP(Table7[[#This Row],[QuestionID]], FinalQuestions!$A:$A, FinalQuestions!$D:$D,"")</f>
        <v>Organizational View on Risk Culture</v>
      </c>
      <c r="I687" t="s">
        <v>268</v>
      </c>
    </row>
    <row r="688" spans="1:9" x14ac:dyDescent="0.35">
      <c r="A688" t="s">
        <v>109</v>
      </c>
      <c r="B688" t="s">
        <v>41</v>
      </c>
      <c r="C688" t="s">
        <v>85</v>
      </c>
      <c r="D688" t="str">
        <f>VLOOKUP(Table7[[#This Row],[QuestionID]], FinalQuestions!$A:$C, 3, FALSE)</f>
        <v>Enforcement</v>
      </c>
      <c r="E688">
        <f>IF(Table7[[#This Row],[Response]]="","",CHOOSE(MATCH(Table7[[#This Row],[Response]],{"Strongly Agree","Agree","Neutral","Disagree","Strongly Disagree","Not Applicable"},0),5,4,3,2,1,""))</f>
        <v>5</v>
      </c>
      <c r="F688">
        <f>Table7[[#This Row],[Scores]] * 20</f>
        <v>100</v>
      </c>
      <c r="G688">
        <f>IF(OR(Table7[[#This Row],[Response]]="Strongly Agree",Table7[[#This Row],[Response]]="Agree"),1,0)</f>
        <v>1</v>
      </c>
      <c r="H688" t="str">
        <f>_xlfn.XLOOKUP(Table7[[#This Row],[QuestionID]], FinalQuestions!$A:$A, FinalQuestions!$D:$D,"")</f>
        <v>Compliance Recognition &amp; enforcement</v>
      </c>
      <c r="I688" t="s">
        <v>268</v>
      </c>
    </row>
    <row r="689" spans="1:9" x14ac:dyDescent="0.35">
      <c r="A689" t="s">
        <v>109</v>
      </c>
      <c r="B689" t="s">
        <v>43</v>
      </c>
      <c r="C689" t="s">
        <v>2</v>
      </c>
      <c r="D689" t="str">
        <f>VLOOKUP(Table7[[#This Row],[QuestionID]], FinalQuestions!$A:$C, 3, FALSE)</f>
        <v>Enforcement</v>
      </c>
      <c r="E689">
        <f>IF(Table7[[#This Row],[Response]]="","",CHOOSE(MATCH(Table7[[#This Row],[Response]],{"Strongly Agree","Agree","Neutral","Disagree","Strongly Disagree","Not Applicable"},0),5,4,3,2,1,""))</f>
        <v>4</v>
      </c>
      <c r="F689">
        <f>Table7[[#This Row],[Scores]] * 20</f>
        <v>80</v>
      </c>
      <c r="G689">
        <f>IF(OR(Table7[[#This Row],[Response]]="Strongly Agree",Table7[[#This Row],[Response]]="Agree"),1,0)</f>
        <v>1</v>
      </c>
      <c r="H689" t="str">
        <f>_xlfn.XLOOKUP(Table7[[#This Row],[QuestionID]], FinalQuestions!$A:$A, FinalQuestions!$D:$D,"")</f>
        <v>Sense of Ownership</v>
      </c>
      <c r="I689" t="s">
        <v>268</v>
      </c>
    </row>
    <row r="690" spans="1:9" x14ac:dyDescent="0.35">
      <c r="A690" t="s">
        <v>109</v>
      </c>
      <c r="B690" t="s">
        <v>45</v>
      </c>
      <c r="C690" t="s">
        <v>6</v>
      </c>
      <c r="D690" t="str">
        <f>VLOOKUP(Table7[[#This Row],[QuestionID]], FinalQuestions!$A:$C, 3, FALSE)</f>
        <v>Clarity</v>
      </c>
      <c r="E690">
        <f>IF(Table7[[#This Row],[Response]]="","",CHOOSE(MATCH(Table7[[#This Row],[Response]],{"Strongly Agree","Agree","Neutral","Disagree","Strongly Disagree","Not Applicable"},0),5,4,3,2,1,""))</f>
        <v>2</v>
      </c>
      <c r="F690">
        <f>Table7[[#This Row],[Scores]] * 20</f>
        <v>40</v>
      </c>
      <c r="G690">
        <f>IF(OR(Table7[[#This Row],[Response]]="Strongly Agree",Table7[[#This Row],[Response]]="Agree"),1,0)</f>
        <v>0</v>
      </c>
      <c r="H690" t="str">
        <f>_xlfn.XLOOKUP(Table7[[#This Row],[QuestionID]], FinalQuestions!$A:$A, FinalQuestions!$D:$D,"")</f>
        <v>Clarity of Role and Responsibilities</v>
      </c>
      <c r="I690" t="s">
        <v>268</v>
      </c>
    </row>
    <row r="691" spans="1:9" x14ac:dyDescent="0.35">
      <c r="A691" t="s">
        <v>109</v>
      </c>
      <c r="B691" t="s">
        <v>47</v>
      </c>
      <c r="C691" t="s">
        <v>4</v>
      </c>
      <c r="D691" t="str">
        <f>VLOOKUP(Table7[[#This Row],[QuestionID]], FinalQuestions!$A:$C, 3, FALSE)</f>
        <v>Clarity</v>
      </c>
      <c r="E691">
        <f>IF(Table7[[#This Row],[Response]]="","",CHOOSE(MATCH(Table7[[#This Row],[Response]],{"Strongly Agree","Agree","Neutral","Disagree","Strongly Disagree","Not Applicable"},0),5,4,3,2,1,""))</f>
        <v>3</v>
      </c>
      <c r="F691">
        <f>Table7[[#This Row],[Scores]] * 20</f>
        <v>60</v>
      </c>
      <c r="G691">
        <f>IF(OR(Table7[[#This Row],[Response]]="Strongly Agree",Table7[[#This Row],[Response]]="Agree"),1,0)</f>
        <v>0</v>
      </c>
      <c r="H691" t="str">
        <f>_xlfn.XLOOKUP(Table7[[#This Row],[QuestionID]], FinalQuestions!$A:$A, FinalQuestions!$D:$D,"")</f>
        <v>Understanding of Risk Policies &amp; Procedures</v>
      </c>
      <c r="I691" t="s">
        <v>268</v>
      </c>
    </row>
    <row r="692" spans="1:9" x14ac:dyDescent="0.35">
      <c r="A692" t="s">
        <v>109</v>
      </c>
      <c r="B692" t="s">
        <v>49</v>
      </c>
      <c r="C692" t="s">
        <v>85</v>
      </c>
      <c r="D692" t="str">
        <f>VLOOKUP(Table7[[#This Row],[QuestionID]], FinalQuestions!$A:$C, 3, FALSE)</f>
        <v>Clarity</v>
      </c>
      <c r="E692">
        <f>IF(Table7[[#This Row],[Response]]="","",CHOOSE(MATCH(Table7[[#This Row],[Response]],{"Strongly Agree","Agree","Neutral","Disagree","Strongly Disagree","Not Applicable"},0),5,4,3,2,1,""))</f>
        <v>5</v>
      </c>
      <c r="F692">
        <f>Table7[[#This Row],[Scores]] * 20</f>
        <v>100</v>
      </c>
      <c r="G692">
        <f>IF(OR(Table7[[#This Row],[Response]]="Strongly Agree",Table7[[#This Row],[Response]]="Agree"),1,0)</f>
        <v>1</v>
      </c>
      <c r="H692" t="str">
        <f>_xlfn.XLOOKUP(Table7[[#This Row],[QuestionID]], FinalQuestions!$A:$A, FinalQuestions!$D:$D,"")</f>
        <v>Clarity of Personal Risk Boundaries</v>
      </c>
      <c r="I692" t="s">
        <v>268</v>
      </c>
    </row>
    <row r="693" spans="1:9" x14ac:dyDescent="0.35">
      <c r="A693" t="s">
        <v>109</v>
      </c>
      <c r="B693" t="s">
        <v>51</v>
      </c>
      <c r="C693" t="s">
        <v>2</v>
      </c>
      <c r="D693" t="str">
        <f>VLOOKUP(Table7[[#This Row],[QuestionID]], FinalQuestions!$A:$C, 3, FALSE)</f>
        <v>Clarity</v>
      </c>
      <c r="E693">
        <f>IF(Table7[[#This Row],[Response]]="","",CHOOSE(MATCH(Table7[[#This Row],[Response]],{"Strongly Agree","Agree","Neutral","Disagree","Strongly Disagree","Not Applicable"},0),5,4,3,2,1,""))</f>
        <v>4</v>
      </c>
      <c r="F693">
        <f>Table7[[#This Row],[Scores]] * 20</f>
        <v>80</v>
      </c>
      <c r="G693">
        <f>IF(OR(Table7[[#This Row],[Response]]="Strongly Agree",Table7[[#This Row],[Response]]="Agree"),1,0)</f>
        <v>1</v>
      </c>
      <c r="H693" t="str">
        <f>_xlfn.XLOOKUP(Table7[[#This Row],[QuestionID]], FinalQuestions!$A:$A, FinalQuestions!$D:$D,"")</f>
        <v>Effectiveness of Risk Communication &amp; Training</v>
      </c>
      <c r="I693" t="s">
        <v>268</v>
      </c>
    </row>
    <row r="694" spans="1:9" x14ac:dyDescent="0.35">
      <c r="A694" t="s">
        <v>109</v>
      </c>
      <c r="B694" t="s">
        <v>53</v>
      </c>
      <c r="C694" t="s">
        <v>6</v>
      </c>
      <c r="D694" t="str">
        <f>VLOOKUP(Table7[[#This Row],[QuestionID]], FinalQuestions!$A:$C, 3, FALSE)</f>
        <v>Transparency</v>
      </c>
      <c r="E694">
        <f>IF(Table7[[#This Row],[Response]]="","",CHOOSE(MATCH(Table7[[#This Row],[Response]],{"Strongly Agree","Agree","Neutral","Disagree","Strongly Disagree","Not Applicable"},0),5,4,3,2,1,""))</f>
        <v>2</v>
      </c>
      <c r="F694">
        <f>Table7[[#This Row],[Scores]] * 20</f>
        <v>40</v>
      </c>
      <c r="G694">
        <f>IF(OR(Table7[[#This Row],[Response]]="Strongly Agree",Table7[[#This Row],[Response]]="Agree"),1,0)</f>
        <v>0</v>
      </c>
      <c r="H694" t="str">
        <f>_xlfn.XLOOKUP(Table7[[#This Row],[QuestionID]], FinalQuestions!$A:$A, FinalQuestions!$D:$D,"")</f>
        <v>Compliance Confidence in team</v>
      </c>
      <c r="I694" t="s">
        <v>268</v>
      </c>
    </row>
    <row r="695" spans="1:9" x14ac:dyDescent="0.35">
      <c r="A695" t="s">
        <v>109</v>
      </c>
      <c r="B695" t="s">
        <v>55</v>
      </c>
      <c r="C695" t="s">
        <v>4</v>
      </c>
      <c r="D695" t="str">
        <f>VLOOKUP(Table7[[#This Row],[QuestionID]], FinalQuestions!$A:$C, 3, FALSE)</f>
        <v>Transparency</v>
      </c>
      <c r="E695">
        <f>IF(Table7[[#This Row],[Response]]="","",CHOOSE(MATCH(Table7[[#This Row],[Response]],{"Strongly Agree","Agree","Neutral","Disagree","Strongly Disagree","Not Applicable"},0),5,4,3,2,1,""))</f>
        <v>3</v>
      </c>
      <c r="F695">
        <f>Table7[[#This Row],[Scores]] * 20</f>
        <v>60</v>
      </c>
      <c r="G695">
        <f>IF(OR(Table7[[#This Row],[Response]]="Strongly Agree",Table7[[#This Row],[Response]]="Agree"),1,0)</f>
        <v>0</v>
      </c>
      <c r="H695" t="str">
        <f>_xlfn.XLOOKUP(Table7[[#This Row],[QuestionID]], FinalQuestions!$A:$A, FinalQuestions!$D:$D,"")</f>
        <v>Transparency in Decision‑Making</v>
      </c>
      <c r="I695" t="s">
        <v>268</v>
      </c>
    </row>
    <row r="696" spans="1:9" x14ac:dyDescent="0.35">
      <c r="A696" t="s">
        <v>109</v>
      </c>
      <c r="B696" t="s">
        <v>57</v>
      </c>
      <c r="C696" t="s">
        <v>85</v>
      </c>
      <c r="D696" t="str">
        <f>VLOOKUP(Table7[[#This Row],[QuestionID]], FinalQuestions!$A:$C, 3, FALSE)</f>
        <v>Transparency</v>
      </c>
      <c r="E696">
        <f>IF(Table7[[#This Row],[Response]]="","",CHOOSE(MATCH(Table7[[#This Row],[Response]],{"Strongly Agree","Agree","Neutral","Disagree","Strongly Disagree","Not Applicable"},0),5,4,3,2,1,""))</f>
        <v>5</v>
      </c>
      <c r="F696">
        <f>Table7[[#This Row],[Scores]] * 20</f>
        <v>100</v>
      </c>
      <c r="G696">
        <f>IF(OR(Table7[[#This Row],[Response]]="Strongly Agree",Table7[[#This Row],[Response]]="Agree"),1,0)</f>
        <v>1</v>
      </c>
      <c r="H696" t="str">
        <f>_xlfn.XLOOKUP(Table7[[#This Row],[QuestionID]], FinalQuestions!$A:$A, FinalQuestions!$D:$D,"")</f>
        <v>Fairness &amp; Equity of Expectations</v>
      </c>
      <c r="I696" t="s">
        <v>268</v>
      </c>
    </row>
    <row r="697" spans="1:9" x14ac:dyDescent="0.35">
      <c r="A697" t="s">
        <v>109</v>
      </c>
      <c r="B697" t="s">
        <v>59</v>
      </c>
      <c r="C697" t="s">
        <v>85</v>
      </c>
      <c r="D697" t="str">
        <f>VLOOKUP(Table7[[#This Row],[QuestionID]], FinalQuestions!$A:$C, 3, FALSE)</f>
        <v>Transparency</v>
      </c>
      <c r="E697">
        <f>IF(Table7[[#This Row],[Response]]="","",CHOOSE(MATCH(Table7[[#This Row],[Response]],{"Strongly Agree","Agree","Neutral","Disagree","Strongly Disagree","Not Applicable"},0),5,4,3,2,1,""))</f>
        <v>5</v>
      </c>
      <c r="F697">
        <f>Table7[[#This Row],[Scores]] * 20</f>
        <v>100</v>
      </c>
      <c r="G697">
        <f>IF(OR(Table7[[#This Row],[Response]]="Strongly Agree",Table7[[#This Row],[Response]]="Agree"),1,0)</f>
        <v>1</v>
      </c>
      <c r="H697" t="str">
        <f>_xlfn.XLOOKUP(Table7[[#This Row],[QuestionID]], FinalQuestions!$A:$A, FinalQuestions!$D:$D,"")</f>
        <v>Leadership Awareness in the team</v>
      </c>
      <c r="I697" t="s">
        <v>268</v>
      </c>
    </row>
    <row r="698" spans="1:9" x14ac:dyDescent="0.35">
      <c r="A698" t="s">
        <v>109</v>
      </c>
      <c r="B698" t="s">
        <v>61</v>
      </c>
      <c r="C698" t="s">
        <v>2</v>
      </c>
      <c r="D698" t="str">
        <f>VLOOKUP(Table7[[#This Row],[QuestionID]], FinalQuestions!$A:$C, 3, FALSE)</f>
        <v>Commitment</v>
      </c>
      <c r="E698">
        <f>IF(Table7[[#This Row],[Response]]="","",CHOOSE(MATCH(Table7[[#This Row],[Response]],{"Strongly Agree","Agree","Neutral","Disagree","Strongly Disagree","Not Applicable"},0),5,4,3,2,1,""))</f>
        <v>4</v>
      </c>
      <c r="F698">
        <f>Table7[[#This Row],[Scores]] * 20</f>
        <v>80</v>
      </c>
      <c r="G698">
        <f>IF(OR(Table7[[#This Row],[Response]]="Strongly Agree",Table7[[#This Row],[Response]]="Agree"),1,0)</f>
        <v>1</v>
      </c>
      <c r="H698" t="str">
        <f>_xlfn.XLOOKUP(Table7[[#This Row],[QuestionID]], FinalQuestions!$A:$A, FinalQuestions!$D:$D,"")</f>
        <v>Motivation for Risk Ownership</v>
      </c>
      <c r="I698" t="s">
        <v>268</v>
      </c>
    </row>
    <row r="699" spans="1:9" x14ac:dyDescent="0.35">
      <c r="A699" t="s">
        <v>109</v>
      </c>
      <c r="B699" t="s">
        <v>63</v>
      </c>
      <c r="C699" t="s">
        <v>2</v>
      </c>
      <c r="D699" t="str">
        <f>VLOOKUP(Table7[[#This Row],[QuestionID]], FinalQuestions!$A:$C, 3, FALSE)</f>
        <v>Commitment</v>
      </c>
      <c r="E699">
        <f>IF(Table7[[#This Row],[Response]]="","",CHOOSE(MATCH(Table7[[#This Row],[Response]],{"Strongly Agree","Agree","Neutral","Disagree","Strongly Disagree","Not Applicable"},0),5,4,3,2,1,""))</f>
        <v>4</v>
      </c>
      <c r="F699">
        <f>Table7[[#This Row],[Scores]] * 20</f>
        <v>80</v>
      </c>
      <c r="G699">
        <f>IF(OR(Table7[[#This Row],[Response]]="Strongly Agree",Table7[[#This Row],[Response]]="Agree"),1,0)</f>
        <v>1</v>
      </c>
      <c r="H699" t="str">
        <f>_xlfn.XLOOKUP(Table7[[#This Row],[QuestionID]], FinalQuestions!$A:$A, FinalQuestions!$D:$D,"")</f>
        <v>Sense of Belonging to the Organization</v>
      </c>
      <c r="I699" t="s">
        <v>268</v>
      </c>
    </row>
    <row r="700" spans="1:9" x14ac:dyDescent="0.35">
      <c r="A700" t="s">
        <v>109</v>
      </c>
      <c r="B700" t="s">
        <v>65</v>
      </c>
      <c r="C700" t="s">
        <v>2</v>
      </c>
      <c r="D700" t="str">
        <f>VLOOKUP(Table7[[#This Row],[QuestionID]], FinalQuestions!$A:$C, 3, FALSE)</f>
        <v>Commitment</v>
      </c>
      <c r="E700">
        <f>IF(Table7[[#This Row],[Response]]="","",CHOOSE(MATCH(Table7[[#This Row],[Response]],{"Strongly Agree","Agree","Neutral","Disagree","Strongly Disagree","Not Applicable"},0),5,4,3,2,1,""))</f>
        <v>4</v>
      </c>
      <c r="F700">
        <f>Table7[[#This Row],[Scores]] * 20</f>
        <v>80</v>
      </c>
      <c r="G700">
        <f>IF(OR(Table7[[#This Row],[Response]]="Strongly Agree",Table7[[#This Row],[Response]]="Agree"),1,0)</f>
        <v>1</v>
      </c>
      <c r="H700" t="str">
        <f>_xlfn.XLOOKUP(Table7[[#This Row],[QuestionID]], FinalQuestions!$A:$A, FinalQuestions!$D:$D,"")</f>
        <v>Consideration of Impact on Others</v>
      </c>
      <c r="I700" t="s">
        <v>268</v>
      </c>
    </row>
    <row r="701" spans="1:9" x14ac:dyDescent="0.35">
      <c r="A701" t="s">
        <v>109</v>
      </c>
      <c r="B701" t="s">
        <v>67</v>
      </c>
      <c r="C701" t="s">
        <v>2</v>
      </c>
      <c r="D701" t="str">
        <f>VLOOKUP(Table7[[#This Row],[QuestionID]], FinalQuestions!$A:$C, 3, FALSE)</f>
        <v>Commitment</v>
      </c>
      <c r="E701">
        <f>IF(Table7[[#This Row],[Response]]="","",CHOOSE(MATCH(Table7[[#This Row],[Response]],{"Strongly Agree","Agree","Neutral","Disagree","Strongly Disagree","Not Applicable"},0),5,4,3,2,1,""))</f>
        <v>4</v>
      </c>
      <c r="F701">
        <f>Table7[[#This Row],[Scores]] * 20</f>
        <v>80</v>
      </c>
      <c r="G701">
        <f>IF(OR(Table7[[#This Row],[Response]]="Strongly Agree",Table7[[#This Row],[Response]]="Agree"),1,0)</f>
        <v>1</v>
      </c>
      <c r="H701" t="str">
        <f>_xlfn.XLOOKUP(Table7[[#This Row],[QuestionID]], FinalQuestions!$A:$A, FinalQuestions!$D:$D,"")</f>
        <v>Accountability for Risk Actions</v>
      </c>
      <c r="I701" t="s">
        <v>268</v>
      </c>
    </row>
    <row r="702" spans="1:9" x14ac:dyDescent="0.35">
      <c r="A702" t="s">
        <v>109</v>
      </c>
      <c r="B702" t="s">
        <v>69</v>
      </c>
      <c r="C702" t="s">
        <v>2</v>
      </c>
      <c r="D702" t="str">
        <f>VLOOKUP(Table7[[#This Row],[QuestionID]], FinalQuestions!$A:$C, 3, FALSE)</f>
        <v>Call someone to account</v>
      </c>
      <c r="E702">
        <f>IF(Table7[[#This Row],[Response]]="","",CHOOSE(MATCH(Table7[[#This Row],[Response]],{"Strongly Agree","Agree","Neutral","Disagree","Strongly Disagree","Not Applicable"},0),5,4,3,2,1,""))</f>
        <v>4</v>
      </c>
      <c r="F702">
        <f>Table7[[#This Row],[Scores]] * 20</f>
        <v>80</v>
      </c>
      <c r="G702">
        <f>IF(OR(Table7[[#This Row],[Response]]="Strongly Agree",Table7[[#This Row],[Response]]="Agree"),1,0)</f>
        <v>1</v>
      </c>
      <c r="H702" t="str">
        <f>_xlfn.XLOOKUP(Table7[[#This Row],[QuestionID]], FinalQuestions!$A:$A, FinalQuestions!$D:$D,"")</f>
        <v xml:space="preserve">Peer to peer Accountability </v>
      </c>
      <c r="I702" t="s">
        <v>268</v>
      </c>
    </row>
    <row r="703" spans="1:9" x14ac:dyDescent="0.35">
      <c r="A703" t="s">
        <v>109</v>
      </c>
      <c r="B703" t="s">
        <v>71</v>
      </c>
      <c r="C703" t="s">
        <v>85</v>
      </c>
      <c r="D703" t="str">
        <f>VLOOKUP(Table7[[#This Row],[QuestionID]], FinalQuestions!$A:$C, 3, FALSE)</f>
        <v>Call someone to account</v>
      </c>
      <c r="E703">
        <f>IF(Table7[[#This Row],[Response]]="","",CHOOSE(MATCH(Table7[[#This Row],[Response]],{"Strongly Agree","Agree","Neutral","Disagree","Strongly Disagree","Not Applicable"},0),5,4,3,2,1,""))</f>
        <v>5</v>
      </c>
      <c r="F703">
        <f>Table7[[#This Row],[Scores]] * 20</f>
        <v>100</v>
      </c>
      <c r="G703">
        <f>IF(OR(Table7[[#This Row],[Response]]="Strongly Agree",Table7[[#This Row],[Response]]="Agree"),1,0)</f>
        <v>1</v>
      </c>
      <c r="H703" t="str">
        <f>_xlfn.XLOOKUP(Table7[[#This Row],[QuestionID]], FinalQuestions!$A:$A, FinalQuestions!$D:$D,"")</f>
        <v>Timely Resolution of Accountability Issues</v>
      </c>
      <c r="I703" t="s">
        <v>268</v>
      </c>
    </row>
    <row r="704" spans="1:9" x14ac:dyDescent="0.35">
      <c r="A704" t="s">
        <v>109</v>
      </c>
      <c r="B704" t="s">
        <v>73</v>
      </c>
      <c r="C704" t="s">
        <v>2</v>
      </c>
      <c r="D704" t="str">
        <f>VLOOKUP(Table7[[#This Row],[QuestionID]], FinalQuestions!$A:$C, 3, FALSE)</f>
        <v>Call someone to account</v>
      </c>
      <c r="E704">
        <f>IF(Table7[[#This Row],[Response]]="","",CHOOSE(MATCH(Table7[[#This Row],[Response]],{"Strongly Agree","Agree","Neutral","Disagree","Strongly Disagree","Not Applicable"},0),5,4,3,2,1,""))</f>
        <v>4</v>
      </c>
      <c r="F704">
        <f>Table7[[#This Row],[Scores]] * 20</f>
        <v>80</v>
      </c>
      <c r="G704">
        <f>IF(OR(Table7[[#This Row],[Response]]="Strongly Agree",Table7[[#This Row],[Response]]="Agree"),1,0)</f>
        <v>1</v>
      </c>
      <c r="H704" t="str">
        <f>_xlfn.XLOOKUP(Table7[[#This Row],[QuestionID]], FinalQuestions!$A:$A, FinalQuestions!$D:$D,"")</f>
        <v>Comfort for Reporting Non‑Compliance.</v>
      </c>
      <c r="I704" t="s">
        <v>268</v>
      </c>
    </row>
    <row r="705" spans="1:9" x14ac:dyDescent="0.35">
      <c r="A705" t="s">
        <v>109</v>
      </c>
      <c r="B705" t="s">
        <v>75</v>
      </c>
      <c r="C705" t="s">
        <v>2</v>
      </c>
      <c r="D705" t="str">
        <f>VLOOKUP(Table7[[#This Row],[QuestionID]], FinalQuestions!$A:$C, 3, FALSE)</f>
        <v>Call someone to account</v>
      </c>
      <c r="E705">
        <f>IF(Table7[[#This Row],[Response]]="","",CHOOSE(MATCH(Table7[[#This Row],[Response]],{"Strongly Agree","Agree","Neutral","Disagree","Strongly Disagree","Not Applicable"},0),5,4,3,2,1,""))</f>
        <v>4</v>
      </c>
      <c r="F705">
        <f>Table7[[#This Row],[Scores]] * 20</f>
        <v>80</v>
      </c>
      <c r="G705">
        <f>IF(OR(Table7[[#This Row],[Response]]="Strongly Agree",Table7[[#This Row],[Response]]="Agree"),1,0)</f>
        <v>1</v>
      </c>
      <c r="H705" t="str">
        <f>_xlfn.XLOOKUP(Table7[[#This Row],[QuestionID]], FinalQuestions!$A:$A, FinalQuestions!$D:$D,"")</f>
        <v>Consistency of Conduct Enforcement</v>
      </c>
      <c r="I705" t="s">
        <v>268</v>
      </c>
    </row>
    <row r="706" spans="1:9" x14ac:dyDescent="0.35">
      <c r="A706" t="s">
        <v>110</v>
      </c>
      <c r="B706" t="s">
        <v>13</v>
      </c>
      <c r="C706" t="s">
        <v>2</v>
      </c>
      <c r="D706" t="str">
        <f>VLOOKUP(Table7[[#This Row],[QuestionID]], FinalQuestions!$A:$C, 3, FALSE)</f>
        <v>Role Modelling</v>
      </c>
      <c r="E706">
        <f>IF(Table7[[#This Row],[Response]]="","",CHOOSE(MATCH(Table7[[#This Row],[Response]],{"Strongly Agree","Agree","Neutral","Disagree","Strongly Disagree","Not Applicable"},0),5,4,3,2,1,""))</f>
        <v>4</v>
      </c>
      <c r="F706">
        <f>Table7[[#This Row],[Scores]] * 20</f>
        <v>80</v>
      </c>
      <c r="G706">
        <f>IF(OR(Table7[[#This Row],[Response]]="Strongly Agree",Table7[[#This Row],[Response]]="Agree"),1,0)</f>
        <v>1</v>
      </c>
      <c r="H706" t="str">
        <f>_xlfn.XLOOKUP(Table7[[#This Row],[QuestionID]], FinalQuestions!$A:$A, FinalQuestions!$D:$D,"")</f>
        <v xml:space="preserve">Leadership Example‑Setting in Risk Management </v>
      </c>
      <c r="I706" t="s">
        <v>267</v>
      </c>
    </row>
    <row r="707" spans="1:9" x14ac:dyDescent="0.35">
      <c r="A707" t="s">
        <v>110</v>
      </c>
      <c r="B707" t="s">
        <v>15</v>
      </c>
      <c r="C707" t="s">
        <v>2</v>
      </c>
      <c r="D707" t="str">
        <f>VLOOKUP(Table7[[#This Row],[QuestionID]], FinalQuestions!$A:$C, 3, FALSE)</f>
        <v>Role Modelling</v>
      </c>
      <c r="E707">
        <f>IF(Table7[[#This Row],[Response]]="","",CHOOSE(MATCH(Table7[[#This Row],[Response]],{"Strongly Agree","Agree","Neutral","Disagree","Strongly Disagree","Not Applicable"},0),5,4,3,2,1,""))</f>
        <v>4</v>
      </c>
      <c r="F707">
        <f>Table7[[#This Row],[Scores]] * 20</f>
        <v>80</v>
      </c>
      <c r="G707">
        <f>IF(OR(Table7[[#This Row],[Response]]="Strongly Agree",Table7[[#This Row],[Response]]="Agree"),1,0)</f>
        <v>1</v>
      </c>
      <c r="H707" t="str">
        <f>_xlfn.XLOOKUP(Table7[[#This Row],[QuestionID]], FinalQuestions!$A:$A, FinalQuestions!$D:$D,"")</f>
        <v>Executive Commitment to Risk Culture</v>
      </c>
      <c r="I707" t="s">
        <v>267</v>
      </c>
    </row>
    <row r="708" spans="1:9" x14ac:dyDescent="0.35">
      <c r="A708" t="s">
        <v>110</v>
      </c>
      <c r="B708" t="s">
        <v>17</v>
      </c>
      <c r="C708" t="s">
        <v>2</v>
      </c>
      <c r="D708" t="str">
        <f>VLOOKUP(Table7[[#This Row],[QuestionID]], FinalQuestions!$A:$C, 3, FALSE)</f>
        <v>Role Modelling</v>
      </c>
      <c r="E708">
        <f>IF(Table7[[#This Row],[Response]]="","",CHOOSE(MATCH(Table7[[#This Row],[Response]],{"Strongly Agree","Agree","Neutral","Disagree","Strongly Disagree","Not Applicable"},0),5,4,3,2,1,""))</f>
        <v>4</v>
      </c>
      <c r="F708">
        <f>Table7[[#This Row],[Scores]] * 20</f>
        <v>80</v>
      </c>
      <c r="G708">
        <f>IF(OR(Table7[[#This Row],[Response]]="Strongly Agree",Table7[[#This Row],[Response]]="Agree"),1,0)</f>
        <v>1</v>
      </c>
      <c r="H708" t="str">
        <f>_xlfn.XLOOKUP(Table7[[#This Row],[QuestionID]], FinalQuestions!$A:$A, FinalQuestions!$D:$D,"")</f>
        <v>Leadership Encouragement to Escalate Risks</v>
      </c>
      <c r="I708" t="s">
        <v>267</v>
      </c>
    </row>
    <row r="709" spans="1:9" x14ac:dyDescent="0.35">
      <c r="A709" t="s">
        <v>110</v>
      </c>
      <c r="B709" t="s">
        <v>19</v>
      </c>
      <c r="C709" t="s">
        <v>2</v>
      </c>
      <c r="D709" t="str">
        <f>VLOOKUP(Table7[[#This Row],[QuestionID]], FinalQuestions!$A:$C, 3, FALSE)</f>
        <v>Role Modelling</v>
      </c>
      <c r="E709">
        <f>IF(Table7[[#This Row],[Response]]="","",CHOOSE(MATCH(Table7[[#This Row],[Response]],{"Strongly Agree","Agree","Neutral","Disagree","Strongly Disagree","Not Applicable"},0),5,4,3,2,1,""))</f>
        <v>4</v>
      </c>
      <c r="F709">
        <f>Table7[[#This Row],[Scores]] * 20</f>
        <v>80</v>
      </c>
      <c r="G709">
        <f>IF(OR(Table7[[#This Row],[Response]]="Strongly Agree",Table7[[#This Row],[Response]]="Agree"),1,0)</f>
        <v>1</v>
      </c>
      <c r="H709" t="str">
        <f>_xlfn.XLOOKUP(Table7[[#This Row],[QuestionID]], FinalQuestions!$A:$A, FinalQuestions!$D:$D,"")</f>
        <v>Long-Term Decision Awareness</v>
      </c>
      <c r="I709" t="s">
        <v>267</v>
      </c>
    </row>
    <row r="710" spans="1:9" x14ac:dyDescent="0.35">
      <c r="A710" t="s">
        <v>110</v>
      </c>
      <c r="B710" t="s">
        <v>21</v>
      </c>
      <c r="C710" t="s">
        <v>2</v>
      </c>
      <c r="D710" t="str">
        <f>VLOOKUP(Table7[[#This Row],[QuestionID]], FinalQuestions!$A:$C, 3, FALSE)</f>
        <v>Discussability</v>
      </c>
      <c r="E710">
        <f>IF(Table7[[#This Row],[Response]]="","",CHOOSE(MATCH(Table7[[#This Row],[Response]],{"Strongly Agree","Agree","Neutral","Disagree","Strongly Disagree","Not Applicable"},0),5,4,3,2,1,""))</f>
        <v>4</v>
      </c>
      <c r="F710">
        <f>Table7[[#This Row],[Scores]] * 20</f>
        <v>80</v>
      </c>
      <c r="G710">
        <f>IF(OR(Table7[[#This Row],[Response]]="Strongly Agree",Table7[[#This Row],[Response]]="Agree"),1,0)</f>
        <v>1</v>
      </c>
      <c r="H710" t="str">
        <f>_xlfn.XLOOKUP(Table7[[#This Row],[QuestionID]], FinalQuestions!$A:$A, FinalQuestions!$D:$D,"")</f>
        <v>Openness to Discussions</v>
      </c>
      <c r="I710" t="s">
        <v>267</v>
      </c>
    </row>
    <row r="711" spans="1:9" x14ac:dyDescent="0.35">
      <c r="A711" t="s">
        <v>110</v>
      </c>
      <c r="B711" t="s">
        <v>23</v>
      </c>
      <c r="C711" t="s">
        <v>2</v>
      </c>
      <c r="D711" t="str">
        <f>VLOOKUP(Table7[[#This Row],[QuestionID]], FinalQuestions!$A:$C, 3, FALSE)</f>
        <v>Discussability</v>
      </c>
      <c r="E711">
        <f>IF(Table7[[#This Row],[Response]]="","",CHOOSE(MATCH(Table7[[#This Row],[Response]],{"Strongly Agree","Agree","Neutral","Disagree","Strongly Disagree","Not Applicable"},0),5,4,3,2,1,""))</f>
        <v>4</v>
      </c>
      <c r="F711">
        <f>Table7[[#This Row],[Scores]] * 20</f>
        <v>80</v>
      </c>
      <c r="G711">
        <f>IF(OR(Table7[[#This Row],[Response]]="Strongly Agree",Table7[[#This Row],[Response]]="Agree"),1,0)</f>
        <v>1</v>
      </c>
      <c r="H711" t="str">
        <f>_xlfn.XLOOKUP(Table7[[#This Row],[QuestionID]], FinalQuestions!$A:$A, FinalQuestions!$D:$D,"")</f>
        <v>Access to Guidance</v>
      </c>
      <c r="I711" t="s">
        <v>267</v>
      </c>
    </row>
    <row r="712" spans="1:9" x14ac:dyDescent="0.35">
      <c r="A712" t="s">
        <v>110</v>
      </c>
      <c r="B712" t="s">
        <v>25</v>
      </c>
      <c r="C712" t="s">
        <v>4</v>
      </c>
      <c r="D712" t="str">
        <f>VLOOKUP(Table7[[#This Row],[QuestionID]], FinalQuestions!$A:$C, 3, FALSE)</f>
        <v>Discussability</v>
      </c>
      <c r="E712">
        <f>IF(Table7[[#This Row],[Response]]="","",CHOOSE(MATCH(Table7[[#This Row],[Response]],{"Strongly Agree","Agree","Neutral","Disagree","Strongly Disagree","Not Applicable"},0),5,4,3,2,1,""))</f>
        <v>3</v>
      </c>
      <c r="F712">
        <f>Table7[[#This Row],[Scores]] * 20</f>
        <v>60</v>
      </c>
      <c r="G712">
        <f>IF(OR(Table7[[#This Row],[Response]]="Strongly Agree",Table7[[#This Row],[Response]]="Agree"),1,0)</f>
        <v>0</v>
      </c>
      <c r="H712" t="str">
        <f>_xlfn.XLOOKUP(Table7[[#This Row],[QuestionID]], FinalQuestions!$A:$A, FinalQuestions!$D:$D,"")</f>
        <v>Openness to Sharing Opinions</v>
      </c>
      <c r="I712" t="s">
        <v>267</v>
      </c>
    </row>
    <row r="713" spans="1:9" x14ac:dyDescent="0.35">
      <c r="A713" t="s">
        <v>110</v>
      </c>
      <c r="B713" t="s">
        <v>27</v>
      </c>
      <c r="C713" t="s">
        <v>85</v>
      </c>
      <c r="D713" t="str">
        <f>VLOOKUP(Table7[[#This Row],[QuestionID]], FinalQuestions!$A:$C, 3, FALSE)</f>
        <v>Discussability</v>
      </c>
      <c r="E713">
        <f>IF(Table7[[#This Row],[Response]]="","",CHOOSE(MATCH(Table7[[#This Row],[Response]],{"Strongly Agree","Agree","Neutral","Disagree","Strongly Disagree","Not Applicable"},0),5,4,3,2,1,""))</f>
        <v>5</v>
      </c>
      <c r="F713">
        <f>Table7[[#This Row],[Scores]] * 20</f>
        <v>100</v>
      </c>
      <c r="G713">
        <f>IF(OR(Table7[[#This Row],[Response]]="Strongly Agree",Table7[[#This Row],[Response]]="Agree"),1,0)</f>
        <v>1</v>
      </c>
      <c r="H713" t="str">
        <f>_xlfn.XLOOKUP(Table7[[#This Row],[QuestionID]], FinalQuestions!$A:$A, FinalQuestions!$D:$D,"")</f>
        <v>Comfort in Reporting Risk Dilemmas</v>
      </c>
      <c r="I713" t="s">
        <v>267</v>
      </c>
    </row>
    <row r="714" spans="1:9" x14ac:dyDescent="0.35">
      <c r="A714" t="s">
        <v>110</v>
      </c>
      <c r="B714" t="s">
        <v>29</v>
      </c>
      <c r="C714" t="s">
        <v>85</v>
      </c>
      <c r="D714" t="str">
        <f>VLOOKUP(Table7[[#This Row],[QuestionID]], FinalQuestions!$A:$C, 3, FALSE)</f>
        <v>Achievability</v>
      </c>
      <c r="E714">
        <f>IF(Table7[[#This Row],[Response]]="","",CHOOSE(MATCH(Table7[[#This Row],[Response]],{"Strongly Agree","Agree","Neutral","Disagree","Strongly Disagree","Not Applicable"},0),5,4,3,2,1,""))</f>
        <v>5</v>
      </c>
      <c r="F714">
        <f>Table7[[#This Row],[Scores]] * 20</f>
        <v>100</v>
      </c>
      <c r="G714">
        <f>IF(OR(Table7[[#This Row],[Response]]="Strongly Agree",Table7[[#This Row],[Response]]="Agree"),1,0)</f>
        <v>1</v>
      </c>
      <c r="H714" t="str">
        <f>_xlfn.XLOOKUP(Table7[[#This Row],[QuestionID]], FinalQuestions!$A:$A, FinalQuestions!$D:$D,"")</f>
        <v>Adequacy of Risk Management Training</v>
      </c>
      <c r="I714" t="s">
        <v>267</v>
      </c>
    </row>
    <row r="715" spans="1:9" x14ac:dyDescent="0.35">
      <c r="A715" t="s">
        <v>110</v>
      </c>
      <c r="B715" t="s">
        <v>31</v>
      </c>
      <c r="C715" t="s">
        <v>2</v>
      </c>
      <c r="D715" t="str">
        <f>VLOOKUP(Table7[[#This Row],[QuestionID]], FinalQuestions!$A:$C, 3, FALSE)</f>
        <v>Achievability</v>
      </c>
      <c r="E715">
        <f>IF(Table7[[#This Row],[Response]]="","",CHOOSE(MATCH(Table7[[#This Row],[Response]],{"Strongly Agree","Agree","Neutral","Disagree","Strongly Disagree","Not Applicable"},0),5,4,3,2,1,""))</f>
        <v>4</v>
      </c>
      <c r="F715">
        <f>Table7[[#This Row],[Scores]] * 20</f>
        <v>80</v>
      </c>
      <c r="G715">
        <f>IF(OR(Table7[[#This Row],[Response]]="Strongly Agree",Table7[[#This Row],[Response]]="Agree"),1,0)</f>
        <v>1</v>
      </c>
      <c r="H715" t="str">
        <f>_xlfn.XLOOKUP(Table7[[#This Row],[QuestionID]], FinalQuestions!$A:$A, FinalQuestions!$D:$D,"")</f>
        <v>Workload Balance &amp; Resource Sufficiency</v>
      </c>
      <c r="I715" t="s">
        <v>267</v>
      </c>
    </row>
    <row r="716" spans="1:9" x14ac:dyDescent="0.35">
      <c r="A716" t="s">
        <v>110</v>
      </c>
      <c r="B716" t="s">
        <v>33</v>
      </c>
      <c r="C716" t="s">
        <v>2</v>
      </c>
      <c r="D716" t="str">
        <f>VLOOKUP(Table7[[#This Row],[QuestionID]], FinalQuestions!$A:$C, 3, FALSE)</f>
        <v>Achievability</v>
      </c>
      <c r="E716">
        <f>IF(Table7[[#This Row],[Response]]="","",CHOOSE(MATCH(Table7[[#This Row],[Response]],{"Strongly Agree","Agree","Neutral","Disagree","Strongly Disagree","Not Applicable"},0),5,4,3,2,1,""))</f>
        <v>4</v>
      </c>
      <c r="F716">
        <f>Table7[[#This Row],[Scores]] * 20</f>
        <v>80</v>
      </c>
      <c r="G716">
        <f>IF(OR(Table7[[#This Row],[Response]]="Strongly Agree",Table7[[#This Row],[Response]]="Agree"),1,0)</f>
        <v>1</v>
      </c>
      <c r="H716" t="str">
        <f>_xlfn.XLOOKUP(Table7[[#This Row],[QuestionID]], FinalQuestions!$A:$A, FinalQuestions!$D:$D,"")</f>
        <v>Realistic Target Setting</v>
      </c>
      <c r="I716" t="s">
        <v>267</v>
      </c>
    </row>
    <row r="717" spans="1:9" x14ac:dyDescent="0.35">
      <c r="A717" t="s">
        <v>110</v>
      </c>
      <c r="B717" t="s">
        <v>35</v>
      </c>
      <c r="C717" t="s">
        <v>6</v>
      </c>
      <c r="D717" t="str">
        <f>VLOOKUP(Table7[[#This Row],[QuestionID]], FinalQuestions!$A:$C, 3, FALSE)</f>
        <v>Achievability</v>
      </c>
      <c r="E717">
        <f>IF(Table7[[#This Row],[Response]]="","",CHOOSE(MATCH(Table7[[#This Row],[Response]],{"Strongly Agree","Agree","Neutral","Disagree","Strongly Disagree","Not Applicable"},0),5,4,3,2,1,""))</f>
        <v>2</v>
      </c>
      <c r="F717">
        <f>Table7[[#This Row],[Scores]] * 20</f>
        <v>40</v>
      </c>
      <c r="G717">
        <f>IF(OR(Table7[[#This Row],[Response]]="Strongly Agree",Table7[[#This Row],[Response]]="Agree"),1,0)</f>
        <v>0</v>
      </c>
      <c r="H717" t="str">
        <f>_xlfn.XLOOKUP(Table7[[#This Row],[QuestionID]], FinalQuestions!$A:$A, FinalQuestions!$D:$D,"")</f>
        <v>Risk Insight in Decision Making</v>
      </c>
      <c r="I717" t="s">
        <v>267</v>
      </c>
    </row>
    <row r="718" spans="1:9" x14ac:dyDescent="0.35">
      <c r="A718" t="s">
        <v>110</v>
      </c>
      <c r="B718" t="s">
        <v>37</v>
      </c>
      <c r="C718" t="s">
        <v>4</v>
      </c>
      <c r="D718" t="str">
        <f>VLOOKUP(Table7[[#This Row],[QuestionID]], FinalQuestions!$A:$C, 3, FALSE)</f>
        <v>Enforcement</v>
      </c>
      <c r="E718">
        <f>IF(Table7[[#This Row],[Response]]="","",CHOOSE(MATCH(Table7[[#This Row],[Response]],{"Strongly Agree","Agree","Neutral","Disagree","Strongly Disagree","Not Applicable"},0),5,4,3,2,1,""))</f>
        <v>3</v>
      </c>
      <c r="F718">
        <f>Table7[[#This Row],[Scores]] * 20</f>
        <v>60</v>
      </c>
      <c r="G718">
        <f>IF(OR(Table7[[#This Row],[Response]]="Strongly Agree",Table7[[#This Row],[Response]]="Agree"),1,0)</f>
        <v>0</v>
      </c>
      <c r="H718" t="str">
        <f>_xlfn.XLOOKUP(Table7[[#This Row],[QuestionID]], FinalQuestions!$A:$A, FinalQuestions!$D:$D,"")</f>
        <v>Learning Culture from Non‑Compliance Cases</v>
      </c>
      <c r="I718" t="s">
        <v>267</v>
      </c>
    </row>
    <row r="719" spans="1:9" x14ac:dyDescent="0.35">
      <c r="A719" t="s">
        <v>110</v>
      </c>
      <c r="B719" t="s">
        <v>39</v>
      </c>
      <c r="C719" t="s">
        <v>85</v>
      </c>
      <c r="D719" t="str">
        <f>VLOOKUP(Table7[[#This Row],[QuestionID]], FinalQuestions!$A:$C, 3, FALSE)</f>
        <v>Enforcement</v>
      </c>
      <c r="E719">
        <f>IF(Table7[[#This Row],[Response]]="","",CHOOSE(MATCH(Table7[[#This Row],[Response]],{"Strongly Agree","Agree","Neutral","Disagree","Strongly Disagree","Not Applicable"},0),5,4,3,2,1,""))</f>
        <v>5</v>
      </c>
      <c r="F719">
        <f>Table7[[#This Row],[Scores]] * 20</f>
        <v>100</v>
      </c>
      <c r="G719">
        <f>IF(OR(Table7[[#This Row],[Response]]="Strongly Agree",Table7[[#This Row],[Response]]="Agree"),1,0)</f>
        <v>1</v>
      </c>
      <c r="H719" t="str">
        <f>_xlfn.XLOOKUP(Table7[[#This Row],[QuestionID]], FinalQuestions!$A:$A, FinalQuestions!$D:$D,"")</f>
        <v>Organizational View on Risk Culture</v>
      </c>
      <c r="I719" t="s">
        <v>267</v>
      </c>
    </row>
    <row r="720" spans="1:9" x14ac:dyDescent="0.35">
      <c r="A720" t="s">
        <v>110</v>
      </c>
      <c r="B720" t="s">
        <v>41</v>
      </c>
      <c r="C720" t="s">
        <v>2</v>
      </c>
      <c r="D720" t="str">
        <f>VLOOKUP(Table7[[#This Row],[QuestionID]], FinalQuestions!$A:$C, 3, FALSE)</f>
        <v>Enforcement</v>
      </c>
      <c r="E720">
        <f>IF(Table7[[#This Row],[Response]]="","",CHOOSE(MATCH(Table7[[#This Row],[Response]],{"Strongly Agree","Agree","Neutral","Disagree","Strongly Disagree","Not Applicable"},0),5,4,3,2,1,""))</f>
        <v>4</v>
      </c>
      <c r="F720">
        <f>Table7[[#This Row],[Scores]] * 20</f>
        <v>80</v>
      </c>
      <c r="G720">
        <f>IF(OR(Table7[[#This Row],[Response]]="Strongly Agree",Table7[[#This Row],[Response]]="Agree"),1,0)</f>
        <v>1</v>
      </c>
      <c r="H720" t="str">
        <f>_xlfn.XLOOKUP(Table7[[#This Row],[QuestionID]], FinalQuestions!$A:$A, FinalQuestions!$D:$D,"")</f>
        <v>Compliance Recognition &amp; enforcement</v>
      </c>
      <c r="I720" t="s">
        <v>267</v>
      </c>
    </row>
    <row r="721" spans="1:9" x14ac:dyDescent="0.35">
      <c r="A721" t="s">
        <v>110</v>
      </c>
      <c r="B721" t="s">
        <v>43</v>
      </c>
      <c r="C721" t="s">
        <v>6</v>
      </c>
      <c r="D721" t="str">
        <f>VLOOKUP(Table7[[#This Row],[QuestionID]], FinalQuestions!$A:$C, 3, FALSE)</f>
        <v>Enforcement</v>
      </c>
      <c r="E721">
        <f>IF(Table7[[#This Row],[Response]]="","",CHOOSE(MATCH(Table7[[#This Row],[Response]],{"Strongly Agree","Agree","Neutral","Disagree","Strongly Disagree","Not Applicable"},0),5,4,3,2,1,""))</f>
        <v>2</v>
      </c>
      <c r="F721">
        <f>Table7[[#This Row],[Scores]] * 20</f>
        <v>40</v>
      </c>
      <c r="G721">
        <f>IF(OR(Table7[[#This Row],[Response]]="Strongly Agree",Table7[[#This Row],[Response]]="Agree"),1,0)</f>
        <v>0</v>
      </c>
      <c r="H721" t="str">
        <f>_xlfn.XLOOKUP(Table7[[#This Row],[QuestionID]], FinalQuestions!$A:$A, FinalQuestions!$D:$D,"")</f>
        <v>Sense of Ownership</v>
      </c>
      <c r="I721" t="s">
        <v>267</v>
      </c>
    </row>
    <row r="722" spans="1:9" x14ac:dyDescent="0.35">
      <c r="A722" t="s">
        <v>110</v>
      </c>
      <c r="B722" t="s">
        <v>45</v>
      </c>
      <c r="C722" t="s">
        <v>4</v>
      </c>
      <c r="D722" t="str">
        <f>VLOOKUP(Table7[[#This Row],[QuestionID]], FinalQuestions!$A:$C, 3, FALSE)</f>
        <v>Clarity</v>
      </c>
      <c r="E722">
        <f>IF(Table7[[#This Row],[Response]]="","",CHOOSE(MATCH(Table7[[#This Row],[Response]],{"Strongly Agree","Agree","Neutral","Disagree","Strongly Disagree","Not Applicable"},0),5,4,3,2,1,""))</f>
        <v>3</v>
      </c>
      <c r="F722">
        <f>Table7[[#This Row],[Scores]] * 20</f>
        <v>60</v>
      </c>
      <c r="G722">
        <f>IF(OR(Table7[[#This Row],[Response]]="Strongly Agree",Table7[[#This Row],[Response]]="Agree"),1,0)</f>
        <v>0</v>
      </c>
      <c r="H722" t="str">
        <f>_xlfn.XLOOKUP(Table7[[#This Row],[QuestionID]], FinalQuestions!$A:$A, FinalQuestions!$D:$D,"")</f>
        <v>Clarity of Role and Responsibilities</v>
      </c>
      <c r="I722" t="s">
        <v>267</v>
      </c>
    </row>
    <row r="723" spans="1:9" x14ac:dyDescent="0.35">
      <c r="A723" t="s">
        <v>110</v>
      </c>
      <c r="B723" t="s">
        <v>47</v>
      </c>
      <c r="C723" t="s">
        <v>85</v>
      </c>
      <c r="D723" t="str">
        <f>VLOOKUP(Table7[[#This Row],[QuestionID]], FinalQuestions!$A:$C, 3, FALSE)</f>
        <v>Clarity</v>
      </c>
      <c r="E723">
        <f>IF(Table7[[#This Row],[Response]]="","",CHOOSE(MATCH(Table7[[#This Row],[Response]],{"Strongly Agree","Agree","Neutral","Disagree","Strongly Disagree","Not Applicable"},0),5,4,3,2,1,""))</f>
        <v>5</v>
      </c>
      <c r="F723">
        <f>Table7[[#This Row],[Scores]] * 20</f>
        <v>100</v>
      </c>
      <c r="G723">
        <f>IF(OR(Table7[[#This Row],[Response]]="Strongly Agree",Table7[[#This Row],[Response]]="Agree"),1,0)</f>
        <v>1</v>
      </c>
      <c r="H723" t="str">
        <f>_xlfn.XLOOKUP(Table7[[#This Row],[QuestionID]], FinalQuestions!$A:$A, FinalQuestions!$D:$D,"")</f>
        <v>Understanding of Risk Policies &amp; Procedures</v>
      </c>
      <c r="I723" t="s">
        <v>267</v>
      </c>
    </row>
    <row r="724" spans="1:9" x14ac:dyDescent="0.35">
      <c r="A724" t="s">
        <v>110</v>
      </c>
      <c r="B724" t="s">
        <v>49</v>
      </c>
      <c r="C724" t="s">
        <v>85</v>
      </c>
      <c r="D724" t="str">
        <f>VLOOKUP(Table7[[#This Row],[QuestionID]], FinalQuestions!$A:$C, 3, FALSE)</f>
        <v>Clarity</v>
      </c>
      <c r="E724">
        <f>IF(Table7[[#This Row],[Response]]="","",CHOOSE(MATCH(Table7[[#This Row],[Response]],{"Strongly Agree","Agree","Neutral","Disagree","Strongly Disagree","Not Applicable"},0),5,4,3,2,1,""))</f>
        <v>5</v>
      </c>
      <c r="F724">
        <f>Table7[[#This Row],[Scores]] * 20</f>
        <v>100</v>
      </c>
      <c r="G724">
        <f>IF(OR(Table7[[#This Row],[Response]]="Strongly Agree",Table7[[#This Row],[Response]]="Agree"),1,0)</f>
        <v>1</v>
      </c>
      <c r="H724" t="str">
        <f>_xlfn.XLOOKUP(Table7[[#This Row],[QuestionID]], FinalQuestions!$A:$A, FinalQuestions!$D:$D,"")</f>
        <v>Clarity of Personal Risk Boundaries</v>
      </c>
      <c r="I724" t="s">
        <v>267</v>
      </c>
    </row>
    <row r="725" spans="1:9" x14ac:dyDescent="0.35">
      <c r="A725" t="s">
        <v>110</v>
      </c>
      <c r="B725" t="s">
        <v>51</v>
      </c>
      <c r="C725" t="s">
        <v>2</v>
      </c>
      <c r="D725" t="str">
        <f>VLOOKUP(Table7[[#This Row],[QuestionID]], FinalQuestions!$A:$C, 3, FALSE)</f>
        <v>Clarity</v>
      </c>
      <c r="E725">
        <f>IF(Table7[[#This Row],[Response]]="","",CHOOSE(MATCH(Table7[[#This Row],[Response]],{"Strongly Agree","Agree","Neutral","Disagree","Strongly Disagree","Not Applicable"},0),5,4,3,2,1,""))</f>
        <v>4</v>
      </c>
      <c r="F725">
        <f>Table7[[#This Row],[Scores]] * 20</f>
        <v>80</v>
      </c>
      <c r="G725">
        <f>IF(OR(Table7[[#This Row],[Response]]="Strongly Agree",Table7[[#This Row],[Response]]="Agree"),1,0)</f>
        <v>1</v>
      </c>
      <c r="H725" t="str">
        <f>_xlfn.XLOOKUP(Table7[[#This Row],[QuestionID]], FinalQuestions!$A:$A, FinalQuestions!$D:$D,"")</f>
        <v>Effectiveness of Risk Communication &amp; Training</v>
      </c>
      <c r="I725" t="s">
        <v>267</v>
      </c>
    </row>
    <row r="726" spans="1:9" x14ac:dyDescent="0.35">
      <c r="A726" t="s">
        <v>110</v>
      </c>
      <c r="B726" t="s">
        <v>53</v>
      </c>
      <c r="C726" t="s">
        <v>6</v>
      </c>
      <c r="D726" t="str">
        <f>VLOOKUP(Table7[[#This Row],[QuestionID]], FinalQuestions!$A:$C, 3, FALSE)</f>
        <v>Transparency</v>
      </c>
      <c r="E726">
        <f>IF(Table7[[#This Row],[Response]]="","",CHOOSE(MATCH(Table7[[#This Row],[Response]],{"Strongly Agree","Agree","Neutral","Disagree","Strongly Disagree","Not Applicable"},0),5,4,3,2,1,""))</f>
        <v>2</v>
      </c>
      <c r="F726">
        <f>Table7[[#This Row],[Scores]] * 20</f>
        <v>40</v>
      </c>
      <c r="G726">
        <f>IF(OR(Table7[[#This Row],[Response]]="Strongly Agree",Table7[[#This Row],[Response]]="Agree"),1,0)</f>
        <v>0</v>
      </c>
      <c r="H726" t="str">
        <f>_xlfn.XLOOKUP(Table7[[#This Row],[QuestionID]], FinalQuestions!$A:$A, FinalQuestions!$D:$D,"")</f>
        <v>Compliance Confidence in team</v>
      </c>
      <c r="I726" t="s">
        <v>267</v>
      </c>
    </row>
    <row r="727" spans="1:9" x14ac:dyDescent="0.35">
      <c r="A727" t="s">
        <v>110</v>
      </c>
      <c r="B727" t="s">
        <v>55</v>
      </c>
      <c r="C727" t="s">
        <v>4</v>
      </c>
      <c r="D727" t="str">
        <f>VLOOKUP(Table7[[#This Row],[QuestionID]], FinalQuestions!$A:$C, 3, FALSE)</f>
        <v>Transparency</v>
      </c>
      <c r="E727">
        <f>IF(Table7[[#This Row],[Response]]="","",CHOOSE(MATCH(Table7[[#This Row],[Response]],{"Strongly Agree","Agree","Neutral","Disagree","Strongly Disagree","Not Applicable"},0),5,4,3,2,1,""))</f>
        <v>3</v>
      </c>
      <c r="F727">
        <f>Table7[[#This Row],[Scores]] * 20</f>
        <v>60</v>
      </c>
      <c r="G727">
        <f>IF(OR(Table7[[#This Row],[Response]]="Strongly Agree",Table7[[#This Row],[Response]]="Agree"),1,0)</f>
        <v>0</v>
      </c>
      <c r="H727" t="str">
        <f>_xlfn.XLOOKUP(Table7[[#This Row],[QuestionID]], FinalQuestions!$A:$A, FinalQuestions!$D:$D,"")</f>
        <v>Transparency in Decision‑Making</v>
      </c>
      <c r="I727" t="s">
        <v>267</v>
      </c>
    </row>
    <row r="728" spans="1:9" x14ac:dyDescent="0.35">
      <c r="A728" t="s">
        <v>110</v>
      </c>
      <c r="B728" t="s">
        <v>57</v>
      </c>
      <c r="C728" t="s">
        <v>85</v>
      </c>
      <c r="D728" t="str">
        <f>VLOOKUP(Table7[[#This Row],[QuestionID]], FinalQuestions!$A:$C, 3, FALSE)</f>
        <v>Transparency</v>
      </c>
      <c r="E728">
        <f>IF(Table7[[#This Row],[Response]]="","",CHOOSE(MATCH(Table7[[#This Row],[Response]],{"Strongly Agree","Agree","Neutral","Disagree","Strongly Disagree","Not Applicable"},0),5,4,3,2,1,""))</f>
        <v>5</v>
      </c>
      <c r="F728">
        <f>Table7[[#This Row],[Scores]] * 20</f>
        <v>100</v>
      </c>
      <c r="G728">
        <f>IF(OR(Table7[[#This Row],[Response]]="Strongly Agree",Table7[[#This Row],[Response]]="Agree"),1,0)</f>
        <v>1</v>
      </c>
      <c r="H728" t="str">
        <f>_xlfn.XLOOKUP(Table7[[#This Row],[QuestionID]], FinalQuestions!$A:$A, FinalQuestions!$D:$D,"")</f>
        <v>Fairness &amp; Equity of Expectations</v>
      </c>
      <c r="I728" t="s">
        <v>267</v>
      </c>
    </row>
    <row r="729" spans="1:9" x14ac:dyDescent="0.35">
      <c r="A729" t="s">
        <v>110</v>
      </c>
      <c r="B729" t="s">
        <v>59</v>
      </c>
      <c r="C729" t="s">
        <v>2</v>
      </c>
      <c r="D729" t="str">
        <f>VLOOKUP(Table7[[#This Row],[QuestionID]], FinalQuestions!$A:$C, 3, FALSE)</f>
        <v>Transparency</v>
      </c>
      <c r="E729">
        <f>IF(Table7[[#This Row],[Response]]="","",CHOOSE(MATCH(Table7[[#This Row],[Response]],{"Strongly Agree","Agree","Neutral","Disagree","Strongly Disagree","Not Applicable"},0),5,4,3,2,1,""))</f>
        <v>4</v>
      </c>
      <c r="F729">
        <f>Table7[[#This Row],[Scores]] * 20</f>
        <v>80</v>
      </c>
      <c r="G729">
        <f>IF(OR(Table7[[#This Row],[Response]]="Strongly Agree",Table7[[#This Row],[Response]]="Agree"),1,0)</f>
        <v>1</v>
      </c>
      <c r="H729" t="str">
        <f>_xlfn.XLOOKUP(Table7[[#This Row],[QuestionID]], FinalQuestions!$A:$A, FinalQuestions!$D:$D,"")</f>
        <v>Leadership Awareness in the team</v>
      </c>
      <c r="I729" t="s">
        <v>267</v>
      </c>
    </row>
    <row r="730" spans="1:9" x14ac:dyDescent="0.35">
      <c r="A730" t="s">
        <v>110</v>
      </c>
      <c r="B730" t="s">
        <v>61</v>
      </c>
      <c r="C730" t="s">
        <v>6</v>
      </c>
      <c r="D730" t="str">
        <f>VLOOKUP(Table7[[#This Row],[QuestionID]], FinalQuestions!$A:$C, 3, FALSE)</f>
        <v>Commitment</v>
      </c>
      <c r="E730">
        <f>IF(Table7[[#This Row],[Response]]="","",CHOOSE(MATCH(Table7[[#This Row],[Response]],{"Strongly Agree","Agree","Neutral","Disagree","Strongly Disagree","Not Applicable"},0),5,4,3,2,1,""))</f>
        <v>2</v>
      </c>
      <c r="F730">
        <f>Table7[[#This Row],[Scores]] * 20</f>
        <v>40</v>
      </c>
      <c r="G730">
        <f>IF(OR(Table7[[#This Row],[Response]]="Strongly Agree",Table7[[#This Row],[Response]]="Agree"),1,0)</f>
        <v>0</v>
      </c>
      <c r="H730" t="str">
        <f>_xlfn.XLOOKUP(Table7[[#This Row],[QuestionID]], FinalQuestions!$A:$A, FinalQuestions!$D:$D,"")</f>
        <v>Motivation for Risk Ownership</v>
      </c>
      <c r="I730" t="s">
        <v>267</v>
      </c>
    </row>
    <row r="731" spans="1:9" x14ac:dyDescent="0.35">
      <c r="A731" t="s">
        <v>110</v>
      </c>
      <c r="B731" t="s">
        <v>63</v>
      </c>
      <c r="C731" t="s">
        <v>4</v>
      </c>
      <c r="D731" t="str">
        <f>VLOOKUP(Table7[[#This Row],[QuestionID]], FinalQuestions!$A:$C, 3, FALSE)</f>
        <v>Commitment</v>
      </c>
      <c r="E731">
        <f>IF(Table7[[#This Row],[Response]]="","",CHOOSE(MATCH(Table7[[#This Row],[Response]],{"Strongly Agree","Agree","Neutral","Disagree","Strongly Disagree","Not Applicable"},0),5,4,3,2,1,""))</f>
        <v>3</v>
      </c>
      <c r="F731">
        <f>Table7[[#This Row],[Scores]] * 20</f>
        <v>60</v>
      </c>
      <c r="G731">
        <f>IF(OR(Table7[[#This Row],[Response]]="Strongly Agree",Table7[[#This Row],[Response]]="Agree"),1,0)</f>
        <v>0</v>
      </c>
      <c r="H731" t="str">
        <f>_xlfn.XLOOKUP(Table7[[#This Row],[QuestionID]], FinalQuestions!$A:$A, FinalQuestions!$D:$D,"")</f>
        <v>Sense of Belonging to the Organization</v>
      </c>
      <c r="I731" t="s">
        <v>267</v>
      </c>
    </row>
    <row r="732" spans="1:9" x14ac:dyDescent="0.35">
      <c r="A732" t="s">
        <v>110</v>
      </c>
      <c r="B732" t="s">
        <v>65</v>
      </c>
      <c r="C732" t="s">
        <v>85</v>
      </c>
      <c r="D732" t="str">
        <f>VLOOKUP(Table7[[#This Row],[QuestionID]], FinalQuestions!$A:$C, 3, FALSE)</f>
        <v>Commitment</v>
      </c>
      <c r="E732">
        <f>IF(Table7[[#This Row],[Response]]="","",CHOOSE(MATCH(Table7[[#This Row],[Response]],{"Strongly Agree","Agree","Neutral","Disagree","Strongly Disagree","Not Applicable"},0),5,4,3,2,1,""))</f>
        <v>5</v>
      </c>
      <c r="F732">
        <f>Table7[[#This Row],[Scores]] * 20</f>
        <v>100</v>
      </c>
      <c r="G732">
        <f>IF(OR(Table7[[#This Row],[Response]]="Strongly Agree",Table7[[#This Row],[Response]]="Agree"),1,0)</f>
        <v>1</v>
      </c>
      <c r="H732" t="str">
        <f>_xlfn.XLOOKUP(Table7[[#This Row],[QuestionID]], FinalQuestions!$A:$A, FinalQuestions!$D:$D,"")</f>
        <v>Consideration of Impact on Others</v>
      </c>
      <c r="I732" t="s">
        <v>267</v>
      </c>
    </row>
    <row r="733" spans="1:9" x14ac:dyDescent="0.35">
      <c r="A733" t="s">
        <v>110</v>
      </c>
      <c r="B733" t="s">
        <v>67</v>
      </c>
      <c r="C733" t="s">
        <v>85</v>
      </c>
      <c r="D733" t="str">
        <f>VLOOKUP(Table7[[#This Row],[QuestionID]], FinalQuestions!$A:$C, 3, FALSE)</f>
        <v>Commitment</v>
      </c>
      <c r="E733">
        <f>IF(Table7[[#This Row],[Response]]="","",CHOOSE(MATCH(Table7[[#This Row],[Response]],{"Strongly Agree","Agree","Neutral","Disagree","Strongly Disagree","Not Applicable"},0),5,4,3,2,1,""))</f>
        <v>5</v>
      </c>
      <c r="F733">
        <f>Table7[[#This Row],[Scores]] * 20</f>
        <v>100</v>
      </c>
      <c r="G733">
        <f>IF(OR(Table7[[#This Row],[Response]]="Strongly Agree",Table7[[#This Row],[Response]]="Agree"),1,0)</f>
        <v>1</v>
      </c>
      <c r="H733" t="str">
        <f>_xlfn.XLOOKUP(Table7[[#This Row],[QuestionID]], FinalQuestions!$A:$A, FinalQuestions!$D:$D,"")</f>
        <v>Accountability for Risk Actions</v>
      </c>
      <c r="I733" t="s">
        <v>267</v>
      </c>
    </row>
    <row r="734" spans="1:9" x14ac:dyDescent="0.35">
      <c r="A734" t="s">
        <v>110</v>
      </c>
      <c r="B734" t="s">
        <v>69</v>
      </c>
      <c r="C734" t="s">
        <v>2</v>
      </c>
      <c r="D734" t="str">
        <f>VLOOKUP(Table7[[#This Row],[QuestionID]], FinalQuestions!$A:$C, 3, FALSE)</f>
        <v>Call someone to account</v>
      </c>
      <c r="E734">
        <f>IF(Table7[[#This Row],[Response]]="","",CHOOSE(MATCH(Table7[[#This Row],[Response]],{"Strongly Agree","Agree","Neutral","Disagree","Strongly Disagree","Not Applicable"},0),5,4,3,2,1,""))</f>
        <v>4</v>
      </c>
      <c r="F734">
        <f>Table7[[#This Row],[Scores]] * 20</f>
        <v>80</v>
      </c>
      <c r="G734">
        <f>IF(OR(Table7[[#This Row],[Response]]="Strongly Agree",Table7[[#This Row],[Response]]="Agree"),1,0)</f>
        <v>1</v>
      </c>
      <c r="H734" t="str">
        <f>_xlfn.XLOOKUP(Table7[[#This Row],[QuestionID]], FinalQuestions!$A:$A, FinalQuestions!$D:$D,"")</f>
        <v xml:space="preserve">Peer to peer Accountability </v>
      </c>
      <c r="I734" t="s">
        <v>267</v>
      </c>
    </row>
    <row r="735" spans="1:9" x14ac:dyDescent="0.35">
      <c r="A735" t="s">
        <v>110</v>
      </c>
      <c r="B735" t="s">
        <v>71</v>
      </c>
      <c r="C735" t="s">
        <v>2</v>
      </c>
      <c r="D735" t="str">
        <f>VLOOKUP(Table7[[#This Row],[QuestionID]], FinalQuestions!$A:$C, 3, FALSE)</f>
        <v>Call someone to account</v>
      </c>
      <c r="E735">
        <f>IF(Table7[[#This Row],[Response]]="","",CHOOSE(MATCH(Table7[[#This Row],[Response]],{"Strongly Agree","Agree","Neutral","Disagree","Strongly Disagree","Not Applicable"},0),5,4,3,2,1,""))</f>
        <v>4</v>
      </c>
      <c r="F735">
        <f>Table7[[#This Row],[Scores]] * 20</f>
        <v>80</v>
      </c>
      <c r="G735">
        <f>IF(OR(Table7[[#This Row],[Response]]="Strongly Agree",Table7[[#This Row],[Response]]="Agree"),1,0)</f>
        <v>1</v>
      </c>
      <c r="H735" t="str">
        <f>_xlfn.XLOOKUP(Table7[[#This Row],[QuestionID]], FinalQuestions!$A:$A, FinalQuestions!$D:$D,"")</f>
        <v>Timely Resolution of Accountability Issues</v>
      </c>
      <c r="I735" t="s">
        <v>267</v>
      </c>
    </row>
    <row r="736" spans="1:9" x14ac:dyDescent="0.35">
      <c r="A736" t="s">
        <v>110</v>
      </c>
      <c r="B736" t="s">
        <v>73</v>
      </c>
      <c r="C736" t="s">
        <v>2</v>
      </c>
      <c r="D736" t="str">
        <f>VLOOKUP(Table7[[#This Row],[QuestionID]], FinalQuestions!$A:$C, 3, FALSE)</f>
        <v>Call someone to account</v>
      </c>
      <c r="E736">
        <f>IF(Table7[[#This Row],[Response]]="","",CHOOSE(MATCH(Table7[[#This Row],[Response]],{"Strongly Agree","Agree","Neutral","Disagree","Strongly Disagree","Not Applicable"},0),5,4,3,2,1,""))</f>
        <v>4</v>
      </c>
      <c r="F736">
        <f>Table7[[#This Row],[Scores]] * 20</f>
        <v>80</v>
      </c>
      <c r="G736">
        <f>IF(OR(Table7[[#This Row],[Response]]="Strongly Agree",Table7[[#This Row],[Response]]="Agree"),1,0)</f>
        <v>1</v>
      </c>
      <c r="H736" t="str">
        <f>_xlfn.XLOOKUP(Table7[[#This Row],[QuestionID]], FinalQuestions!$A:$A, FinalQuestions!$D:$D,"")</f>
        <v>Comfort for Reporting Non‑Compliance.</v>
      </c>
      <c r="I736" t="s">
        <v>267</v>
      </c>
    </row>
    <row r="737" spans="1:9" x14ac:dyDescent="0.35">
      <c r="A737" t="s">
        <v>110</v>
      </c>
      <c r="B737" t="s">
        <v>75</v>
      </c>
      <c r="C737" t="s">
        <v>2</v>
      </c>
      <c r="D737" t="str">
        <f>VLOOKUP(Table7[[#This Row],[QuestionID]], FinalQuestions!$A:$C, 3, FALSE)</f>
        <v>Call someone to account</v>
      </c>
      <c r="E737">
        <f>IF(Table7[[#This Row],[Response]]="","",CHOOSE(MATCH(Table7[[#This Row],[Response]],{"Strongly Agree","Agree","Neutral","Disagree","Strongly Disagree","Not Applicable"},0),5,4,3,2,1,""))</f>
        <v>4</v>
      </c>
      <c r="F737">
        <f>Table7[[#This Row],[Scores]] * 20</f>
        <v>80</v>
      </c>
      <c r="G737">
        <f>IF(OR(Table7[[#This Row],[Response]]="Strongly Agree",Table7[[#This Row],[Response]]="Agree"),1,0)</f>
        <v>1</v>
      </c>
      <c r="H737" t="str">
        <f>_xlfn.XLOOKUP(Table7[[#This Row],[QuestionID]], FinalQuestions!$A:$A, FinalQuestions!$D:$D,"")</f>
        <v>Consistency of Conduct Enforcement</v>
      </c>
      <c r="I737" t="s">
        <v>267</v>
      </c>
    </row>
    <row r="738" spans="1:9" x14ac:dyDescent="0.35">
      <c r="A738" t="s">
        <v>111</v>
      </c>
      <c r="B738" t="s">
        <v>13</v>
      </c>
      <c r="C738" t="s">
        <v>4</v>
      </c>
      <c r="D738" t="str">
        <f>VLOOKUP(Table7[[#This Row],[QuestionID]], FinalQuestions!$A:$C, 3, FALSE)</f>
        <v>Role Modelling</v>
      </c>
      <c r="E738">
        <f>IF(Table7[[#This Row],[Response]]="","",CHOOSE(MATCH(Table7[[#This Row],[Response]],{"Strongly Agree","Agree","Neutral","Disagree","Strongly Disagree","Not Applicable"},0),5,4,3,2,1,""))</f>
        <v>3</v>
      </c>
      <c r="F738">
        <f>Table7[[#This Row],[Scores]] * 20</f>
        <v>60</v>
      </c>
      <c r="G738">
        <f>IF(OR(Table7[[#This Row],[Response]]="Strongly Agree",Table7[[#This Row],[Response]]="Agree"),1,0)</f>
        <v>0</v>
      </c>
      <c r="H738" t="str">
        <f>_xlfn.XLOOKUP(Table7[[#This Row],[QuestionID]], FinalQuestions!$A:$A, FinalQuestions!$D:$D,"")</f>
        <v xml:space="preserve">Leadership Example‑Setting in Risk Management </v>
      </c>
      <c r="I738" t="s">
        <v>268</v>
      </c>
    </row>
    <row r="739" spans="1:9" x14ac:dyDescent="0.35">
      <c r="A739" t="s">
        <v>111</v>
      </c>
      <c r="B739" t="s">
        <v>15</v>
      </c>
      <c r="C739" t="s">
        <v>85</v>
      </c>
      <c r="D739" t="str">
        <f>VLOOKUP(Table7[[#This Row],[QuestionID]], FinalQuestions!$A:$C, 3, FALSE)</f>
        <v>Role Modelling</v>
      </c>
      <c r="E739">
        <f>IF(Table7[[#This Row],[Response]]="","",CHOOSE(MATCH(Table7[[#This Row],[Response]],{"Strongly Agree","Agree","Neutral","Disagree","Strongly Disagree","Not Applicable"},0),5,4,3,2,1,""))</f>
        <v>5</v>
      </c>
      <c r="F739">
        <f>Table7[[#This Row],[Scores]] * 20</f>
        <v>100</v>
      </c>
      <c r="G739">
        <f>IF(OR(Table7[[#This Row],[Response]]="Strongly Agree",Table7[[#This Row],[Response]]="Agree"),1,0)</f>
        <v>1</v>
      </c>
      <c r="H739" t="str">
        <f>_xlfn.XLOOKUP(Table7[[#This Row],[QuestionID]], FinalQuestions!$A:$A, FinalQuestions!$D:$D,"")</f>
        <v>Executive Commitment to Risk Culture</v>
      </c>
      <c r="I739" t="s">
        <v>268</v>
      </c>
    </row>
    <row r="740" spans="1:9" x14ac:dyDescent="0.35">
      <c r="A740" t="s">
        <v>111</v>
      </c>
      <c r="B740" t="s">
        <v>17</v>
      </c>
      <c r="C740" t="s">
        <v>85</v>
      </c>
      <c r="D740" t="str">
        <f>VLOOKUP(Table7[[#This Row],[QuestionID]], FinalQuestions!$A:$C, 3, FALSE)</f>
        <v>Role Modelling</v>
      </c>
      <c r="E740">
        <f>IF(Table7[[#This Row],[Response]]="","",CHOOSE(MATCH(Table7[[#This Row],[Response]],{"Strongly Agree","Agree","Neutral","Disagree","Strongly Disagree","Not Applicable"},0),5,4,3,2,1,""))</f>
        <v>5</v>
      </c>
      <c r="F740">
        <f>Table7[[#This Row],[Scores]] * 20</f>
        <v>100</v>
      </c>
      <c r="G740">
        <f>IF(OR(Table7[[#This Row],[Response]]="Strongly Agree",Table7[[#This Row],[Response]]="Agree"),1,0)</f>
        <v>1</v>
      </c>
      <c r="H740" t="str">
        <f>_xlfn.XLOOKUP(Table7[[#This Row],[QuestionID]], FinalQuestions!$A:$A, FinalQuestions!$D:$D,"")</f>
        <v>Leadership Encouragement to Escalate Risks</v>
      </c>
      <c r="I740" t="s">
        <v>268</v>
      </c>
    </row>
    <row r="741" spans="1:9" x14ac:dyDescent="0.35">
      <c r="A741" t="s">
        <v>111</v>
      </c>
      <c r="B741" t="s">
        <v>19</v>
      </c>
      <c r="C741" t="s">
        <v>2</v>
      </c>
      <c r="D741" t="str">
        <f>VLOOKUP(Table7[[#This Row],[QuestionID]], FinalQuestions!$A:$C, 3, FALSE)</f>
        <v>Role Modelling</v>
      </c>
      <c r="E741">
        <f>IF(Table7[[#This Row],[Response]]="","",CHOOSE(MATCH(Table7[[#This Row],[Response]],{"Strongly Agree","Agree","Neutral","Disagree","Strongly Disagree","Not Applicable"},0),5,4,3,2,1,""))</f>
        <v>4</v>
      </c>
      <c r="F741">
        <f>Table7[[#This Row],[Scores]] * 20</f>
        <v>80</v>
      </c>
      <c r="G741">
        <f>IF(OR(Table7[[#This Row],[Response]]="Strongly Agree",Table7[[#This Row],[Response]]="Agree"),1,0)</f>
        <v>1</v>
      </c>
      <c r="H741" t="str">
        <f>_xlfn.XLOOKUP(Table7[[#This Row],[QuestionID]], FinalQuestions!$A:$A, FinalQuestions!$D:$D,"")</f>
        <v>Long-Term Decision Awareness</v>
      </c>
      <c r="I741" t="s">
        <v>268</v>
      </c>
    </row>
    <row r="742" spans="1:9" x14ac:dyDescent="0.35">
      <c r="A742" t="s">
        <v>111</v>
      </c>
      <c r="B742" t="s">
        <v>21</v>
      </c>
      <c r="C742" t="s">
        <v>2</v>
      </c>
      <c r="D742" t="str">
        <f>VLOOKUP(Table7[[#This Row],[QuestionID]], FinalQuestions!$A:$C, 3, FALSE)</f>
        <v>Discussability</v>
      </c>
      <c r="E742">
        <f>IF(Table7[[#This Row],[Response]]="","",CHOOSE(MATCH(Table7[[#This Row],[Response]],{"Strongly Agree","Agree","Neutral","Disagree","Strongly Disagree","Not Applicable"},0),5,4,3,2,1,""))</f>
        <v>4</v>
      </c>
      <c r="F742">
        <f>Table7[[#This Row],[Scores]] * 20</f>
        <v>80</v>
      </c>
      <c r="G742">
        <f>IF(OR(Table7[[#This Row],[Response]]="Strongly Agree",Table7[[#This Row],[Response]]="Agree"),1,0)</f>
        <v>1</v>
      </c>
      <c r="H742" t="str">
        <f>_xlfn.XLOOKUP(Table7[[#This Row],[QuestionID]], FinalQuestions!$A:$A, FinalQuestions!$D:$D,"")</f>
        <v>Openness to Discussions</v>
      </c>
      <c r="I742" t="s">
        <v>268</v>
      </c>
    </row>
    <row r="743" spans="1:9" x14ac:dyDescent="0.35">
      <c r="A743" t="s">
        <v>111</v>
      </c>
      <c r="B743" t="s">
        <v>23</v>
      </c>
      <c r="C743" t="s">
        <v>85</v>
      </c>
      <c r="D743" t="str">
        <f>VLOOKUP(Table7[[#This Row],[QuestionID]], FinalQuestions!$A:$C, 3, FALSE)</f>
        <v>Discussability</v>
      </c>
      <c r="E743">
        <f>IF(Table7[[#This Row],[Response]]="","",CHOOSE(MATCH(Table7[[#This Row],[Response]],{"Strongly Agree","Agree","Neutral","Disagree","Strongly Disagree","Not Applicable"},0),5,4,3,2,1,""))</f>
        <v>5</v>
      </c>
      <c r="F743">
        <f>Table7[[#This Row],[Scores]] * 20</f>
        <v>100</v>
      </c>
      <c r="G743">
        <f>IF(OR(Table7[[#This Row],[Response]]="Strongly Agree",Table7[[#This Row],[Response]]="Agree"),1,0)</f>
        <v>1</v>
      </c>
      <c r="H743" t="str">
        <f>_xlfn.XLOOKUP(Table7[[#This Row],[QuestionID]], FinalQuestions!$A:$A, FinalQuestions!$D:$D,"")</f>
        <v>Access to Guidance</v>
      </c>
      <c r="I743" t="s">
        <v>268</v>
      </c>
    </row>
    <row r="744" spans="1:9" x14ac:dyDescent="0.35">
      <c r="A744" t="s">
        <v>111</v>
      </c>
      <c r="B744" t="s">
        <v>25</v>
      </c>
      <c r="C744" t="s">
        <v>85</v>
      </c>
      <c r="D744" t="str">
        <f>VLOOKUP(Table7[[#This Row],[QuestionID]], FinalQuestions!$A:$C, 3, FALSE)</f>
        <v>Discussability</v>
      </c>
      <c r="E744">
        <f>IF(Table7[[#This Row],[Response]]="","",CHOOSE(MATCH(Table7[[#This Row],[Response]],{"Strongly Agree","Agree","Neutral","Disagree","Strongly Disagree","Not Applicable"},0),5,4,3,2,1,""))</f>
        <v>5</v>
      </c>
      <c r="F744">
        <f>Table7[[#This Row],[Scores]] * 20</f>
        <v>100</v>
      </c>
      <c r="G744">
        <f>IF(OR(Table7[[#This Row],[Response]]="Strongly Agree",Table7[[#This Row],[Response]]="Agree"),1,0)</f>
        <v>1</v>
      </c>
      <c r="H744" t="str">
        <f>_xlfn.XLOOKUP(Table7[[#This Row],[QuestionID]], FinalQuestions!$A:$A, FinalQuestions!$D:$D,"")</f>
        <v>Openness to Sharing Opinions</v>
      </c>
      <c r="I744" t="s">
        <v>268</v>
      </c>
    </row>
    <row r="745" spans="1:9" x14ac:dyDescent="0.35">
      <c r="A745" t="s">
        <v>111</v>
      </c>
      <c r="B745" t="s">
        <v>27</v>
      </c>
      <c r="C745" t="s">
        <v>85</v>
      </c>
      <c r="D745" t="str">
        <f>VLOOKUP(Table7[[#This Row],[QuestionID]], FinalQuestions!$A:$C, 3, FALSE)</f>
        <v>Discussability</v>
      </c>
      <c r="E745">
        <f>IF(Table7[[#This Row],[Response]]="","",CHOOSE(MATCH(Table7[[#This Row],[Response]],{"Strongly Agree","Agree","Neutral","Disagree","Strongly Disagree","Not Applicable"},0),5,4,3,2,1,""))</f>
        <v>5</v>
      </c>
      <c r="F745">
        <f>Table7[[#This Row],[Scores]] * 20</f>
        <v>100</v>
      </c>
      <c r="G745">
        <f>IF(OR(Table7[[#This Row],[Response]]="Strongly Agree",Table7[[#This Row],[Response]]="Agree"),1,0)</f>
        <v>1</v>
      </c>
      <c r="H745" t="str">
        <f>_xlfn.XLOOKUP(Table7[[#This Row],[QuestionID]], FinalQuestions!$A:$A, FinalQuestions!$D:$D,"")</f>
        <v>Comfort in Reporting Risk Dilemmas</v>
      </c>
      <c r="I745" t="s">
        <v>268</v>
      </c>
    </row>
    <row r="746" spans="1:9" x14ac:dyDescent="0.35">
      <c r="A746" t="s">
        <v>111</v>
      </c>
      <c r="B746" t="s">
        <v>29</v>
      </c>
      <c r="C746" t="s">
        <v>85</v>
      </c>
      <c r="D746" t="str">
        <f>VLOOKUP(Table7[[#This Row],[QuestionID]], FinalQuestions!$A:$C, 3, FALSE)</f>
        <v>Achievability</v>
      </c>
      <c r="E746">
        <f>IF(Table7[[#This Row],[Response]]="","",CHOOSE(MATCH(Table7[[#This Row],[Response]],{"Strongly Agree","Agree","Neutral","Disagree","Strongly Disagree","Not Applicable"},0),5,4,3,2,1,""))</f>
        <v>5</v>
      </c>
      <c r="F746">
        <f>Table7[[#This Row],[Scores]] * 20</f>
        <v>100</v>
      </c>
      <c r="G746">
        <f>IF(OR(Table7[[#This Row],[Response]]="Strongly Agree",Table7[[#This Row],[Response]]="Agree"),1,0)</f>
        <v>1</v>
      </c>
      <c r="H746" t="str">
        <f>_xlfn.XLOOKUP(Table7[[#This Row],[QuestionID]], FinalQuestions!$A:$A, FinalQuestions!$D:$D,"")</f>
        <v>Adequacy of Risk Management Training</v>
      </c>
      <c r="I746" t="s">
        <v>268</v>
      </c>
    </row>
    <row r="747" spans="1:9" x14ac:dyDescent="0.35">
      <c r="A747" t="s">
        <v>111</v>
      </c>
      <c r="B747" t="s">
        <v>31</v>
      </c>
      <c r="C747" t="s">
        <v>85</v>
      </c>
      <c r="D747" t="str">
        <f>VLOOKUP(Table7[[#This Row],[QuestionID]], FinalQuestions!$A:$C, 3, FALSE)</f>
        <v>Achievability</v>
      </c>
      <c r="E747">
        <f>IF(Table7[[#This Row],[Response]]="","",CHOOSE(MATCH(Table7[[#This Row],[Response]],{"Strongly Agree","Agree","Neutral","Disagree","Strongly Disagree","Not Applicable"},0),5,4,3,2,1,""))</f>
        <v>5</v>
      </c>
      <c r="F747">
        <f>Table7[[#This Row],[Scores]] * 20</f>
        <v>100</v>
      </c>
      <c r="G747">
        <f>IF(OR(Table7[[#This Row],[Response]]="Strongly Agree",Table7[[#This Row],[Response]]="Agree"),1,0)</f>
        <v>1</v>
      </c>
      <c r="H747" t="str">
        <f>_xlfn.XLOOKUP(Table7[[#This Row],[QuestionID]], FinalQuestions!$A:$A, FinalQuestions!$D:$D,"")</f>
        <v>Workload Balance &amp; Resource Sufficiency</v>
      </c>
      <c r="I747" t="s">
        <v>268</v>
      </c>
    </row>
    <row r="748" spans="1:9" x14ac:dyDescent="0.35">
      <c r="A748" t="s">
        <v>111</v>
      </c>
      <c r="B748" t="s">
        <v>33</v>
      </c>
      <c r="C748" t="s">
        <v>2</v>
      </c>
      <c r="D748" t="str">
        <f>VLOOKUP(Table7[[#This Row],[QuestionID]], FinalQuestions!$A:$C, 3, FALSE)</f>
        <v>Achievability</v>
      </c>
      <c r="E748">
        <f>IF(Table7[[#This Row],[Response]]="","",CHOOSE(MATCH(Table7[[#This Row],[Response]],{"Strongly Agree","Agree","Neutral","Disagree","Strongly Disagree","Not Applicable"},0),5,4,3,2,1,""))</f>
        <v>4</v>
      </c>
      <c r="F748">
        <f>Table7[[#This Row],[Scores]] * 20</f>
        <v>80</v>
      </c>
      <c r="G748">
        <f>IF(OR(Table7[[#This Row],[Response]]="Strongly Agree",Table7[[#This Row],[Response]]="Agree"),1,0)</f>
        <v>1</v>
      </c>
      <c r="H748" t="str">
        <f>_xlfn.XLOOKUP(Table7[[#This Row],[QuestionID]], FinalQuestions!$A:$A, FinalQuestions!$D:$D,"")</f>
        <v>Realistic Target Setting</v>
      </c>
      <c r="I748" t="s">
        <v>268</v>
      </c>
    </row>
    <row r="749" spans="1:9" x14ac:dyDescent="0.35">
      <c r="A749" t="s">
        <v>111</v>
      </c>
      <c r="B749" t="s">
        <v>35</v>
      </c>
      <c r="C749" t="s">
        <v>6</v>
      </c>
      <c r="D749" t="str">
        <f>VLOOKUP(Table7[[#This Row],[QuestionID]], FinalQuestions!$A:$C, 3, FALSE)</f>
        <v>Achievability</v>
      </c>
      <c r="E749">
        <f>IF(Table7[[#This Row],[Response]]="","",CHOOSE(MATCH(Table7[[#This Row],[Response]],{"Strongly Agree","Agree","Neutral","Disagree","Strongly Disagree","Not Applicable"},0),5,4,3,2,1,""))</f>
        <v>2</v>
      </c>
      <c r="F749">
        <f>Table7[[#This Row],[Scores]] * 20</f>
        <v>40</v>
      </c>
      <c r="G749">
        <f>IF(OR(Table7[[#This Row],[Response]]="Strongly Agree",Table7[[#This Row],[Response]]="Agree"),1,0)</f>
        <v>0</v>
      </c>
      <c r="H749" t="str">
        <f>_xlfn.XLOOKUP(Table7[[#This Row],[QuestionID]], FinalQuestions!$A:$A, FinalQuestions!$D:$D,"")</f>
        <v>Risk Insight in Decision Making</v>
      </c>
      <c r="I749" t="s">
        <v>268</v>
      </c>
    </row>
    <row r="750" spans="1:9" x14ac:dyDescent="0.35">
      <c r="A750" t="s">
        <v>111</v>
      </c>
      <c r="B750" t="s">
        <v>37</v>
      </c>
      <c r="C750" t="s">
        <v>4</v>
      </c>
      <c r="D750" t="str">
        <f>VLOOKUP(Table7[[#This Row],[QuestionID]], FinalQuestions!$A:$C, 3, FALSE)</f>
        <v>Enforcement</v>
      </c>
      <c r="E750">
        <f>IF(Table7[[#This Row],[Response]]="","",CHOOSE(MATCH(Table7[[#This Row],[Response]],{"Strongly Agree","Agree","Neutral","Disagree","Strongly Disagree","Not Applicable"},0),5,4,3,2,1,""))</f>
        <v>3</v>
      </c>
      <c r="F750">
        <f>Table7[[#This Row],[Scores]] * 20</f>
        <v>60</v>
      </c>
      <c r="G750">
        <f>IF(OR(Table7[[#This Row],[Response]]="Strongly Agree",Table7[[#This Row],[Response]]="Agree"),1,0)</f>
        <v>0</v>
      </c>
      <c r="H750" t="str">
        <f>_xlfn.XLOOKUP(Table7[[#This Row],[QuestionID]], FinalQuestions!$A:$A, FinalQuestions!$D:$D,"")</f>
        <v>Learning Culture from Non‑Compliance Cases</v>
      </c>
      <c r="I750" t="s">
        <v>268</v>
      </c>
    </row>
    <row r="751" spans="1:9" x14ac:dyDescent="0.35">
      <c r="A751" t="s">
        <v>111</v>
      </c>
      <c r="B751" t="s">
        <v>39</v>
      </c>
      <c r="C751" t="s">
        <v>85</v>
      </c>
      <c r="D751" t="str">
        <f>VLOOKUP(Table7[[#This Row],[QuestionID]], FinalQuestions!$A:$C, 3, FALSE)</f>
        <v>Enforcement</v>
      </c>
      <c r="E751">
        <f>IF(Table7[[#This Row],[Response]]="","",CHOOSE(MATCH(Table7[[#This Row],[Response]],{"Strongly Agree","Agree","Neutral","Disagree","Strongly Disagree","Not Applicable"},0),5,4,3,2,1,""))</f>
        <v>5</v>
      </c>
      <c r="F751">
        <f>Table7[[#This Row],[Scores]] * 20</f>
        <v>100</v>
      </c>
      <c r="G751">
        <f>IF(OR(Table7[[#This Row],[Response]]="Strongly Agree",Table7[[#This Row],[Response]]="Agree"),1,0)</f>
        <v>1</v>
      </c>
      <c r="H751" t="str">
        <f>_xlfn.XLOOKUP(Table7[[#This Row],[QuestionID]], FinalQuestions!$A:$A, FinalQuestions!$D:$D,"")</f>
        <v>Organizational View on Risk Culture</v>
      </c>
      <c r="I751" t="s">
        <v>268</v>
      </c>
    </row>
    <row r="752" spans="1:9" x14ac:dyDescent="0.35">
      <c r="A752" t="s">
        <v>111</v>
      </c>
      <c r="B752" t="s">
        <v>41</v>
      </c>
      <c r="C752" t="s">
        <v>2</v>
      </c>
      <c r="D752" t="str">
        <f>VLOOKUP(Table7[[#This Row],[QuestionID]], FinalQuestions!$A:$C, 3, FALSE)</f>
        <v>Enforcement</v>
      </c>
      <c r="E752">
        <f>IF(Table7[[#This Row],[Response]]="","",CHOOSE(MATCH(Table7[[#This Row],[Response]],{"Strongly Agree","Agree","Neutral","Disagree","Strongly Disagree","Not Applicable"},0),5,4,3,2,1,""))</f>
        <v>4</v>
      </c>
      <c r="F752">
        <f>Table7[[#This Row],[Scores]] * 20</f>
        <v>80</v>
      </c>
      <c r="G752">
        <f>IF(OR(Table7[[#This Row],[Response]]="Strongly Agree",Table7[[#This Row],[Response]]="Agree"),1,0)</f>
        <v>1</v>
      </c>
      <c r="H752" t="str">
        <f>_xlfn.XLOOKUP(Table7[[#This Row],[QuestionID]], FinalQuestions!$A:$A, FinalQuestions!$D:$D,"")</f>
        <v>Compliance Recognition &amp; enforcement</v>
      </c>
      <c r="I752" t="s">
        <v>268</v>
      </c>
    </row>
    <row r="753" spans="1:9" x14ac:dyDescent="0.35">
      <c r="A753" t="s">
        <v>111</v>
      </c>
      <c r="B753" t="s">
        <v>43</v>
      </c>
      <c r="C753" t="s">
        <v>6</v>
      </c>
      <c r="D753" t="str">
        <f>VLOOKUP(Table7[[#This Row],[QuestionID]], FinalQuestions!$A:$C, 3, FALSE)</f>
        <v>Enforcement</v>
      </c>
      <c r="E753">
        <f>IF(Table7[[#This Row],[Response]]="","",CHOOSE(MATCH(Table7[[#This Row],[Response]],{"Strongly Agree","Agree","Neutral","Disagree","Strongly Disagree","Not Applicable"},0),5,4,3,2,1,""))</f>
        <v>2</v>
      </c>
      <c r="F753">
        <f>Table7[[#This Row],[Scores]] * 20</f>
        <v>40</v>
      </c>
      <c r="G753">
        <f>IF(OR(Table7[[#This Row],[Response]]="Strongly Agree",Table7[[#This Row],[Response]]="Agree"),1,0)</f>
        <v>0</v>
      </c>
      <c r="H753" t="str">
        <f>_xlfn.XLOOKUP(Table7[[#This Row],[QuestionID]], FinalQuestions!$A:$A, FinalQuestions!$D:$D,"")</f>
        <v>Sense of Ownership</v>
      </c>
      <c r="I753" t="s">
        <v>268</v>
      </c>
    </row>
    <row r="754" spans="1:9" x14ac:dyDescent="0.35">
      <c r="A754" t="s">
        <v>111</v>
      </c>
      <c r="B754" t="s">
        <v>45</v>
      </c>
      <c r="C754" t="s">
        <v>4</v>
      </c>
      <c r="D754" t="str">
        <f>VLOOKUP(Table7[[#This Row],[QuestionID]], FinalQuestions!$A:$C, 3, FALSE)</f>
        <v>Clarity</v>
      </c>
      <c r="E754">
        <f>IF(Table7[[#This Row],[Response]]="","",CHOOSE(MATCH(Table7[[#This Row],[Response]],{"Strongly Agree","Agree","Neutral","Disagree","Strongly Disagree","Not Applicable"},0),5,4,3,2,1,""))</f>
        <v>3</v>
      </c>
      <c r="F754">
        <f>Table7[[#This Row],[Scores]] * 20</f>
        <v>60</v>
      </c>
      <c r="G754">
        <f>IF(OR(Table7[[#This Row],[Response]]="Strongly Agree",Table7[[#This Row],[Response]]="Agree"),1,0)</f>
        <v>0</v>
      </c>
      <c r="H754" t="str">
        <f>_xlfn.XLOOKUP(Table7[[#This Row],[QuestionID]], FinalQuestions!$A:$A, FinalQuestions!$D:$D,"")</f>
        <v>Clarity of Role and Responsibilities</v>
      </c>
      <c r="I754" t="s">
        <v>268</v>
      </c>
    </row>
    <row r="755" spans="1:9" x14ac:dyDescent="0.35">
      <c r="A755" t="s">
        <v>111</v>
      </c>
      <c r="B755" t="s">
        <v>47</v>
      </c>
      <c r="C755" t="s">
        <v>85</v>
      </c>
      <c r="D755" t="str">
        <f>VLOOKUP(Table7[[#This Row],[QuestionID]], FinalQuestions!$A:$C, 3, FALSE)</f>
        <v>Clarity</v>
      </c>
      <c r="E755">
        <f>IF(Table7[[#This Row],[Response]]="","",CHOOSE(MATCH(Table7[[#This Row],[Response]],{"Strongly Agree","Agree","Neutral","Disagree","Strongly Disagree","Not Applicable"},0),5,4,3,2,1,""))</f>
        <v>5</v>
      </c>
      <c r="F755">
        <f>Table7[[#This Row],[Scores]] * 20</f>
        <v>100</v>
      </c>
      <c r="G755">
        <f>IF(OR(Table7[[#This Row],[Response]]="Strongly Agree",Table7[[#This Row],[Response]]="Agree"),1,0)</f>
        <v>1</v>
      </c>
      <c r="H755" t="str">
        <f>_xlfn.XLOOKUP(Table7[[#This Row],[QuestionID]], FinalQuestions!$A:$A, FinalQuestions!$D:$D,"")</f>
        <v>Understanding of Risk Policies &amp; Procedures</v>
      </c>
      <c r="I755" t="s">
        <v>268</v>
      </c>
    </row>
    <row r="756" spans="1:9" x14ac:dyDescent="0.35">
      <c r="A756" t="s">
        <v>111</v>
      </c>
      <c r="B756" t="s">
        <v>49</v>
      </c>
      <c r="C756" t="s">
        <v>85</v>
      </c>
      <c r="D756" t="str">
        <f>VLOOKUP(Table7[[#This Row],[QuestionID]], FinalQuestions!$A:$C, 3, FALSE)</f>
        <v>Clarity</v>
      </c>
      <c r="E756">
        <f>IF(Table7[[#This Row],[Response]]="","",CHOOSE(MATCH(Table7[[#This Row],[Response]],{"Strongly Agree","Agree","Neutral","Disagree","Strongly Disagree","Not Applicable"},0),5,4,3,2,1,""))</f>
        <v>5</v>
      </c>
      <c r="F756">
        <f>Table7[[#This Row],[Scores]] * 20</f>
        <v>100</v>
      </c>
      <c r="G756">
        <f>IF(OR(Table7[[#This Row],[Response]]="Strongly Agree",Table7[[#This Row],[Response]]="Agree"),1,0)</f>
        <v>1</v>
      </c>
      <c r="H756" t="str">
        <f>_xlfn.XLOOKUP(Table7[[#This Row],[QuestionID]], FinalQuestions!$A:$A, FinalQuestions!$D:$D,"")</f>
        <v>Clarity of Personal Risk Boundaries</v>
      </c>
      <c r="I756" t="s">
        <v>268</v>
      </c>
    </row>
    <row r="757" spans="1:9" x14ac:dyDescent="0.35">
      <c r="A757" t="s">
        <v>111</v>
      </c>
      <c r="B757" t="s">
        <v>51</v>
      </c>
      <c r="C757" t="s">
        <v>2</v>
      </c>
      <c r="D757" t="str">
        <f>VLOOKUP(Table7[[#This Row],[QuestionID]], FinalQuestions!$A:$C, 3, FALSE)</f>
        <v>Clarity</v>
      </c>
      <c r="E757">
        <f>IF(Table7[[#This Row],[Response]]="","",CHOOSE(MATCH(Table7[[#This Row],[Response]],{"Strongly Agree","Agree","Neutral","Disagree","Strongly Disagree","Not Applicable"},0),5,4,3,2,1,""))</f>
        <v>4</v>
      </c>
      <c r="F757">
        <f>Table7[[#This Row],[Scores]] * 20</f>
        <v>80</v>
      </c>
      <c r="G757">
        <f>IF(OR(Table7[[#This Row],[Response]]="Strongly Agree",Table7[[#This Row],[Response]]="Agree"),1,0)</f>
        <v>1</v>
      </c>
      <c r="H757" t="str">
        <f>_xlfn.XLOOKUP(Table7[[#This Row],[QuestionID]], FinalQuestions!$A:$A, FinalQuestions!$D:$D,"")</f>
        <v>Effectiveness of Risk Communication &amp; Training</v>
      </c>
      <c r="I757" t="s">
        <v>268</v>
      </c>
    </row>
    <row r="758" spans="1:9" x14ac:dyDescent="0.35">
      <c r="A758" t="s">
        <v>111</v>
      </c>
      <c r="B758" t="s">
        <v>53</v>
      </c>
      <c r="C758" t="s">
        <v>2</v>
      </c>
      <c r="D758" t="str">
        <f>VLOOKUP(Table7[[#This Row],[QuestionID]], FinalQuestions!$A:$C, 3, FALSE)</f>
        <v>Transparency</v>
      </c>
      <c r="E758">
        <f>IF(Table7[[#This Row],[Response]]="","",CHOOSE(MATCH(Table7[[#This Row],[Response]],{"Strongly Agree","Agree","Neutral","Disagree","Strongly Disagree","Not Applicable"},0),5,4,3,2,1,""))</f>
        <v>4</v>
      </c>
      <c r="F758">
        <f>Table7[[#This Row],[Scores]] * 20</f>
        <v>80</v>
      </c>
      <c r="G758">
        <f>IF(OR(Table7[[#This Row],[Response]]="Strongly Agree",Table7[[#This Row],[Response]]="Agree"),1,0)</f>
        <v>1</v>
      </c>
      <c r="H758" t="str">
        <f>_xlfn.XLOOKUP(Table7[[#This Row],[QuestionID]], FinalQuestions!$A:$A, FinalQuestions!$D:$D,"")</f>
        <v>Compliance Confidence in team</v>
      </c>
      <c r="I758" t="s">
        <v>268</v>
      </c>
    </row>
    <row r="759" spans="1:9" x14ac:dyDescent="0.35">
      <c r="A759" t="s">
        <v>111</v>
      </c>
      <c r="B759" t="s">
        <v>55</v>
      </c>
      <c r="C759" t="s">
        <v>2</v>
      </c>
      <c r="D759" t="str">
        <f>VLOOKUP(Table7[[#This Row],[QuestionID]], FinalQuestions!$A:$C, 3, FALSE)</f>
        <v>Transparency</v>
      </c>
      <c r="E759">
        <f>IF(Table7[[#This Row],[Response]]="","",CHOOSE(MATCH(Table7[[#This Row],[Response]],{"Strongly Agree","Agree","Neutral","Disagree","Strongly Disagree","Not Applicable"},0),5,4,3,2,1,""))</f>
        <v>4</v>
      </c>
      <c r="F759">
        <f>Table7[[#This Row],[Scores]] * 20</f>
        <v>80</v>
      </c>
      <c r="G759">
        <f>IF(OR(Table7[[#This Row],[Response]]="Strongly Agree",Table7[[#This Row],[Response]]="Agree"),1,0)</f>
        <v>1</v>
      </c>
      <c r="H759" t="str">
        <f>_xlfn.XLOOKUP(Table7[[#This Row],[QuestionID]], FinalQuestions!$A:$A, FinalQuestions!$D:$D,"")</f>
        <v>Transparency in Decision‑Making</v>
      </c>
      <c r="I759" t="s">
        <v>268</v>
      </c>
    </row>
    <row r="760" spans="1:9" x14ac:dyDescent="0.35">
      <c r="A760" t="s">
        <v>111</v>
      </c>
      <c r="B760" t="s">
        <v>57</v>
      </c>
      <c r="C760" t="s">
        <v>4</v>
      </c>
      <c r="D760" t="str">
        <f>VLOOKUP(Table7[[#This Row],[QuestionID]], FinalQuestions!$A:$C, 3, FALSE)</f>
        <v>Transparency</v>
      </c>
      <c r="E760">
        <f>IF(Table7[[#This Row],[Response]]="","",CHOOSE(MATCH(Table7[[#This Row],[Response]],{"Strongly Agree","Agree","Neutral","Disagree","Strongly Disagree","Not Applicable"},0),5,4,3,2,1,""))</f>
        <v>3</v>
      </c>
      <c r="F760">
        <f>Table7[[#This Row],[Scores]] * 20</f>
        <v>60</v>
      </c>
      <c r="G760">
        <f>IF(OR(Table7[[#This Row],[Response]]="Strongly Agree",Table7[[#This Row],[Response]]="Agree"),1,0)</f>
        <v>0</v>
      </c>
      <c r="H760" t="str">
        <f>_xlfn.XLOOKUP(Table7[[#This Row],[QuestionID]], FinalQuestions!$A:$A, FinalQuestions!$D:$D,"")</f>
        <v>Fairness &amp; Equity of Expectations</v>
      </c>
      <c r="I760" t="s">
        <v>268</v>
      </c>
    </row>
    <row r="761" spans="1:9" x14ac:dyDescent="0.35">
      <c r="A761" t="s">
        <v>111</v>
      </c>
      <c r="B761" t="s">
        <v>59</v>
      </c>
      <c r="C761" t="s">
        <v>85</v>
      </c>
      <c r="D761" t="str">
        <f>VLOOKUP(Table7[[#This Row],[QuestionID]], FinalQuestions!$A:$C, 3, FALSE)</f>
        <v>Transparency</v>
      </c>
      <c r="E761">
        <f>IF(Table7[[#This Row],[Response]]="","",CHOOSE(MATCH(Table7[[#This Row],[Response]],{"Strongly Agree","Agree","Neutral","Disagree","Strongly Disagree","Not Applicable"},0),5,4,3,2,1,""))</f>
        <v>5</v>
      </c>
      <c r="F761">
        <f>Table7[[#This Row],[Scores]] * 20</f>
        <v>100</v>
      </c>
      <c r="G761">
        <f>IF(OR(Table7[[#This Row],[Response]]="Strongly Agree",Table7[[#This Row],[Response]]="Agree"),1,0)</f>
        <v>1</v>
      </c>
      <c r="H761" t="str">
        <f>_xlfn.XLOOKUP(Table7[[#This Row],[QuestionID]], FinalQuestions!$A:$A, FinalQuestions!$D:$D,"")</f>
        <v>Leadership Awareness in the team</v>
      </c>
      <c r="I761" t="s">
        <v>268</v>
      </c>
    </row>
    <row r="762" spans="1:9" x14ac:dyDescent="0.35">
      <c r="A762" t="s">
        <v>111</v>
      </c>
      <c r="B762" t="s">
        <v>61</v>
      </c>
      <c r="C762" t="s">
        <v>85</v>
      </c>
      <c r="D762" t="str">
        <f>VLOOKUP(Table7[[#This Row],[QuestionID]], FinalQuestions!$A:$C, 3, FALSE)</f>
        <v>Commitment</v>
      </c>
      <c r="E762">
        <f>IF(Table7[[#This Row],[Response]]="","",CHOOSE(MATCH(Table7[[#This Row],[Response]],{"Strongly Agree","Agree","Neutral","Disagree","Strongly Disagree","Not Applicable"},0),5,4,3,2,1,""))</f>
        <v>5</v>
      </c>
      <c r="F762">
        <f>Table7[[#This Row],[Scores]] * 20</f>
        <v>100</v>
      </c>
      <c r="G762">
        <f>IF(OR(Table7[[#This Row],[Response]]="Strongly Agree",Table7[[#This Row],[Response]]="Agree"),1,0)</f>
        <v>1</v>
      </c>
      <c r="H762" t="str">
        <f>_xlfn.XLOOKUP(Table7[[#This Row],[QuestionID]], FinalQuestions!$A:$A, FinalQuestions!$D:$D,"")</f>
        <v>Motivation for Risk Ownership</v>
      </c>
      <c r="I762" t="s">
        <v>268</v>
      </c>
    </row>
    <row r="763" spans="1:9" x14ac:dyDescent="0.35">
      <c r="A763" t="s">
        <v>111</v>
      </c>
      <c r="B763" t="s">
        <v>63</v>
      </c>
      <c r="C763" t="s">
        <v>2</v>
      </c>
      <c r="D763" t="str">
        <f>VLOOKUP(Table7[[#This Row],[QuestionID]], FinalQuestions!$A:$C, 3, FALSE)</f>
        <v>Commitment</v>
      </c>
      <c r="E763">
        <f>IF(Table7[[#This Row],[Response]]="","",CHOOSE(MATCH(Table7[[#This Row],[Response]],{"Strongly Agree","Agree","Neutral","Disagree","Strongly Disagree","Not Applicable"},0),5,4,3,2,1,""))</f>
        <v>4</v>
      </c>
      <c r="F763">
        <f>Table7[[#This Row],[Scores]] * 20</f>
        <v>80</v>
      </c>
      <c r="G763">
        <f>IF(OR(Table7[[#This Row],[Response]]="Strongly Agree",Table7[[#This Row],[Response]]="Agree"),1,0)</f>
        <v>1</v>
      </c>
      <c r="H763" t="str">
        <f>_xlfn.XLOOKUP(Table7[[#This Row],[QuestionID]], FinalQuestions!$A:$A, FinalQuestions!$D:$D,"")</f>
        <v>Sense of Belonging to the Organization</v>
      </c>
      <c r="I763" t="s">
        <v>268</v>
      </c>
    </row>
    <row r="764" spans="1:9" x14ac:dyDescent="0.35">
      <c r="A764" t="s">
        <v>111</v>
      </c>
      <c r="B764" t="s">
        <v>65</v>
      </c>
      <c r="C764" t="s">
        <v>2</v>
      </c>
      <c r="D764" t="str">
        <f>VLOOKUP(Table7[[#This Row],[QuestionID]], FinalQuestions!$A:$C, 3, FALSE)</f>
        <v>Commitment</v>
      </c>
      <c r="E764">
        <f>IF(Table7[[#This Row],[Response]]="","",CHOOSE(MATCH(Table7[[#This Row],[Response]],{"Strongly Agree","Agree","Neutral","Disagree","Strongly Disagree","Not Applicable"},0),5,4,3,2,1,""))</f>
        <v>4</v>
      </c>
      <c r="F764">
        <f>Table7[[#This Row],[Scores]] * 20</f>
        <v>80</v>
      </c>
      <c r="G764">
        <f>IF(OR(Table7[[#This Row],[Response]]="Strongly Agree",Table7[[#This Row],[Response]]="Agree"),1,0)</f>
        <v>1</v>
      </c>
      <c r="H764" t="str">
        <f>_xlfn.XLOOKUP(Table7[[#This Row],[QuestionID]], FinalQuestions!$A:$A, FinalQuestions!$D:$D,"")</f>
        <v>Consideration of Impact on Others</v>
      </c>
      <c r="I764" t="s">
        <v>268</v>
      </c>
    </row>
    <row r="765" spans="1:9" x14ac:dyDescent="0.35">
      <c r="A765" t="s">
        <v>111</v>
      </c>
      <c r="B765" t="s">
        <v>67</v>
      </c>
      <c r="C765" t="s">
        <v>2</v>
      </c>
      <c r="D765" t="str">
        <f>VLOOKUP(Table7[[#This Row],[QuestionID]], FinalQuestions!$A:$C, 3, FALSE)</f>
        <v>Commitment</v>
      </c>
      <c r="E765">
        <f>IF(Table7[[#This Row],[Response]]="","",CHOOSE(MATCH(Table7[[#This Row],[Response]],{"Strongly Agree","Agree","Neutral","Disagree","Strongly Disagree","Not Applicable"},0),5,4,3,2,1,""))</f>
        <v>4</v>
      </c>
      <c r="F765">
        <f>Table7[[#This Row],[Scores]] * 20</f>
        <v>80</v>
      </c>
      <c r="G765">
        <f>IF(OR(Table7[[#This Row],[Response]]="Strongly Agree",Table7[[#This Row],[Response]]="Agree"),1,0)</f>
        <v>1</v>
      </c>
      <c r="H765" t="str">
        <f>_xlfn.XLOOKUP(Table7[[#This Row],[QuestionID]], FinalQuestions!$A:$A, FinalQuestions!$D:$D,"")</f>
        <v>Accountability for Risk Actions</v>
      </c>
      <c r="I765" t="s">
        <v>268</v>
      </c>
    </row>
    <row r="766" spans="1:9" x14ac:dyDescent="0.35">
      <c r="A766" t="s">
        <v>111</v>
      </c>
      <c r="B766" t="s">
        <v>69</v>
      </c>
      <c r="C766" t="s">
        <v>6</v>
      </c>
      <c r="D766" t="str">
        <f>VLOOKUP(Table7[[#This Row],[QuestionID]], FinalQuestions!$A:$C, 3, FALSE)</f>
        <v>Call someone to account</v>
      </c>
      <c r="E766">
        <f>IF(Table7[[#This Row],[Response]]="","",CHOOSE(MATCH(Table7[[#This Row],[Response]],{"Strongly Agree","Agree","Neutral","Disagree","Strongly Disagree","Not Applicable"},0),5,4,3,2,1,""))</f>
        <v>2</v>
      </c>
      <c r="F766">
        <f>Table7[[#This Row],[Scores]] * 20</f>
        <v>40</v>
      </c>
      <c r="G766">
        <f>IF(OR(Table7[[#This Row],[Response]]="Strongly Agree",Table7[[#This Row],[Response]]="Agree"),1,0)</f>
        <v>0</v>
      </c>
      <c r="H766" t="str">
        <f>_xlfn.XLOOKUP(Table7[[#This Row],[QuestionID]], FinalQuestions!$A:$A, FinalQuestions!$D:$D,"")</f>
        <v xml:space="preserve">Peer to peer Accountability </v>
      </c>
      <c r="I766" t="s">
        <v>268</v>
      </c>
    </row>
    <row r="767" spans="1:9" x14ac:dyDescent="0.35">
      <c r="A767" t="s">
        <v>111</v>
      </c>
      <c r="B767" t="s">
        <v>71</v>
      </c>
      <c r="C767" t="s">
        <v>4</v>
      </c>
      <c r="D767" t="str">
        <f>VLOOKUP(Table7[[#This Row],[QuestionID]], FinalQuestions!$A:$C, 3, FALSE)</f>
        <v>Call someone to account</v>
      </c>
      <c r="E767">
        <f>IF(Table7[[#This Row],[Response]]="","",CHOOSE(MATCH(Table7[[#This Row],[Response]],{"Strongly Agree","Agree","Neutral","Disagree","Strongly Disagree","Not Applicable"},0),5,4,3,2,1,""))</f>
        <v>3</v>
      </c>
      <c r="F767">
        <f>Table7[[#This Row],[Scores]] * 20</f>
        <v>60</v>
      </c>
      <c r="G767">
        <f>IF(OR(Table7[[#This Row],[Response]]="Strongly Agree",Table7[[#This Row],[Response]]="Agree"),1,0)</f>
        <v>0</v>
      </c>
      <c r="H767" t="str">
        <f>_xlfn.XLOOKUP(Table7[[#This Row],[QuestionID]], FinalQuestions!$A:$A, FinalQuestions!$D:$D,"")</f>
        <v>Timely Resolution of Accountability Issues</v>
      </c>
      <c r="I767" t="s">
        <v>268</v>
      </c>
    </row>
    <row r="768" spans="1:9" x14ac:dyDescent="0.35">
      <c r="A768" t="s">
        <v>111</v>
      </c>
      <c r="B768" t="s">
        <v>73</v>
      </c>
      <c r="C768" t="s">
        <v>85</v>
      </c>
      <c r="D768" t="str">
        <f>VLOOKUP(Table7[[#This Row],[QuestionID]], FinalQuestions!$A:$C, 3, FALSE)</f>
        <v>Call someone to account</v>
      </c>
      <c r="E768">
        <f>IF(Table7[[#This Row],[Response]]="","",CHOOSE(MATCH(Table7[[#This Row],[Response]],{"Strongly Agree","Agree","Neutral","Disagree","Strongly Disagree","Not Applicable"},0),5,4,3,2,1,""))</f>
        <v>5</v>
      </c>
      <c r="F768">
        <f>Table7[[#This Row],[Scores]] * 20</f>
        <v>100</v>
      </c>
      <c r="G768">
        <f>IF(OR(Table7[[#This Row],[Response]]="Strongly Agree",Table7[[#This Row],[Response]]="Agree"),1,0)</f>
        <v>1</v>
      </c>
      <c r="H768" t="str">
        <f>_xlfn.XLOOKUP(Table7[[#This Row],[QuestionID]], FinalQuestions!$A:$A, FinalQuestions!$D:$D,"")</f>
        <v>Comfort for Reporting Non‑Compliance.</v>
      </c>
      <c r="I768" t="s">
        <v>268</v>
      </c>
    </row>
    <row r="769" spans="1:9" x14ac:dyDescent="0.35">
      <c r="A769" t="s">
        <v>111</v>
      </c>
      <c r="B769" t="s">
        <v>75</v>
      </c>
      <c r="C769" t="s">
        <v>2</v>
      </c>
      <c r="D769" t="str">
        <f>VLOOKUP(Table7[[#This Row],[QuestionID]], FinalQuestions!$A:$C, 3, FALSE)</f>
        <v>Call someone to account</v>
      </c>
      <c r="E769">
        <f>IF(Table7[[#This Row],[Response]]="","",CHOOSE(MATCH(Table7[[#This Row],[Response]],{"Strongly Agree","Agree","Neutral","Disagree","Strongly Disagree","Not Applicable"},0),5,4,3,2,1,""))</f>
        <v>4</v>
      </c>
      <c r="F769">
        <f>Table7[[#This Row],[Scores]] * 20</f>
        <v>80</v>
      </c>
      <c r="G769">
        <f>IF(OR(Table7[[#This Row],[Response]]="Strongly Agree",Table7[[#This Row],[Response]]="Agree"),1,0)</f>
        <v>1</v>
      </c>
      <c r="H769" t="str">
        <f>_xlfn.XLOOKUP(Table7[[#This Row],[QuestionID]], FinalQuestions!$A:$A, FinalQuestions!$D:$D,"")</f>
        <v>Consistency of Conduct Enforcement</v>
      </c>
      <c r="I769" t="s">
        <v>268</v>
      </c>
    </row>
    <row r="770" spans="1:9" x14ac:dyDescent="0.35">
      <c r="A770" t="s">
        <v>112</v>
      </c>
      <c r="B770" t="s">
        <v>13</v>
      </c>
      <c r="C770" t="s">
        <v>6</v>
      </c>
      <c r="D770" t="str">
        <f>VLOOKUP(Table7[[#This Row],[QuestionID]], FinalQuestions!$A:$C, 3, FALSE)</f>
        <v>Role Modelling</v>
      </c>
      <c r="E770">
        <f>IF(Table7[[#This Row],[Response]]="","",CHOOSE(MATCH(Table7[[#This Row],[Response]],{"Strongly Agree","Agree","Neutral","Disagree","Strongly Disagree","Not Applicable"},0),5,4,3,2,1,""))</f>
        <v>2</v>
      </c>
      <c r="F770">
        <f>Table7[[#This Row],[Scores]] * 20</f>
        <v>40</v>
      </c>
      <c r="G770">
        <f>IF(OR(Table7[[#This Row],[Response]]="Strongly Agree",Table7[[#This Row],[Response]]="Agree"),1,0)</f>
        <v>0</v>
      </c>
      <c r="H770" t="str">
        <f>_xlfn.XLOOKUP(Table7[[#This Row],[QuestionID]], FinalQuestions!$A:$A, FinalQuestions!$D:$D,"")</f>
        <v xml:space="preserve">Leadership Example‑Setting in Risk Management </v>
      </c>
      <c r="I770" t="s">
        <v>268</v>
      </c>
    </row>
    <row r="771" spans="1:9" x14ac:dyDescent="0.35">
      <c r="A771" t="s">
        <v>112</v>
      </c>
      <c r="B771" t="s">
        <v>15</v>
      </c>
      <c r="C771" t="s">
        <v>4</v>
      </c>
      <c r="D771" t="str">
        <f>VLOOKUP(Table7[[#This Row],[QuestionID]], FinalQuestions!$A:$C, 3, FALSE)</f>
        <v>Role Modelling</v>
      </c>
      <c r="E771">
        <f>IF(Table7[[#This Row],[Response]]="","",CHOOSE(MATCH(Table7[[#This Row],[Response]],{"Strongly Agree","Agree","Neutral","Disagree","Strongly Disagree","Not Applicable"},0),5,4,3,2,1,""))</f>
        <v>3</v>
      </c>
      <c r="F771">
        <f>Table7[[#This Row],[Scores]] * 20</f>
        <v>60</v>
      </c>
      <c r="G771">
        <f>IF(OR(Table7[[#This Row],[Response]]="Strongly Agree",Table7[[#This Row],[Response]]="Agree"),1,0)</f>
        <v>0</v>
      </c>
      <c r="H771" t="str">
        <f>_xlfn.XLOOKUP(Table7[[#This Row],[QuestionID]], FinalQuestions!$A:$A, FinalQuestions!$D:$D,"")</f>
        <v>Executive Commitment to Risk Culture</v>
      </c>
      <c r="I771" t="s">
        <v>268</v>
      </c>
    </row>
    <row r="772" spans="1:9" x14ac:dyDescent="0.35">
      <c r="A772" t="s">
        <v>112</v>
      </c>
      <c r="B772" t="s">
        <v>17</v>
      </c>
      <c r="C772" t="s">
        <v>85</v>
      </c>
      <c r="D772" t="str">
        <f>VLOOKUP(Table7[[#This Row],[QuestionID]], FinalQuestions!$A:$C, 3, FALSE)</f>
        <v>Role Modelling</v>
      </c>
      <c r="E772">
        <f>IF(Table7[[#This Row],[Response]]="","",CHOOSE(MATCH(Table7[[#This Row],[Response]],{"Strongly Agree","Agree","Neutral","Disagree","Strongly Disagree","Not Applicable"},0),5,4,3,2,1,""))</f>
        <v>5</v>
      </c>
      <c r="F772">
        <f>Table7[[#This Row],[Scores]] * 20</f>
        <v>100</v>
      </c>
      <c r="G772">
        <f>IF(OR(Table7[[#This Row],[Response]]="Strongly Agree",Table7[[#This Row],[Response]]="Agree"),1,0)</f>
        <v>1</v>
      </c>
      <c r="H772" t="str">
        <f>_xlfn.XLOOKUP(Table7[[#This Row],[QuestionID]], FinalQuestions!$A:$A, FinalQuestions!$D:$D,"")</f>
        <v>Leadership Encouragement to Escalate Risks</v>
      </c>
      <c r="I772" t="s">
        <v>268</v>
      </c>
    </row>
    <row r="773" spans="1:9" x14ac:dyDescent="0.35">
      <c r="A773" t="s">
        <v>112</v>
      </c>
      <c r="B773" t="s">
        <v>19</v>
      </c>
      <c r="C773" t="s">
        <v>85</v>
      </c>
      <c r="D773" t="str">
        <f>VLOOKUP(Table7[[#This Row],[QuestionID]], FinalQuestions!$A:$C, 3, FALSE)</f>
        <v>Role Modelling</v>
      </c>
      <c r="E773">
        <f>IF(Table7[[#This Row],[Response]]="","",CHOOSE(MATCH(Table7[[#This Row],[Response]],{"Strongly Agree","Agree","Neutral","Disagree","Strongly Disagree","Not Applicable"},0),5,4,3,2,1,""))</f>
        <v>5</v>
      </c>
      <c r="F773">
        <f>Table7[[#This Row],[Scores]] * 20</f>
        <v>100</v>
      </c>
      <c r="G773">
        <f>IF(OR(Table7[[#This Row],[Response]]="Strongly Agree",Table7[[#This Row],[Response]]="Agree"),1,0)</f>
        <v>1</v>
      </c>
      <c r="H773" t="str">
        <f>_xlfn.XLOOKUP(Table7[[#This Row],[QuestionID]], FinalQuestions!$A:$A, FinalQuestions!$D:$D,"")</f>
        <v>Long-Term Decision Awareness</v>
      </c>
      <c r="I773" t="s">
        <v>268</v>
      </c>
    </row>
    <row r="774" spans="1:9" x14ac:dyDescent="0.35">
      <c r="A774" t="s">
        <v>112</v>
      </c>
      <c r="B774" t="s">
        <v>21</v>
      </c>
      <c r="C774" t="s">
        <v>2</v>
      </c>
      <c r="D774" t="str">
        <f>VLOOKUP(Table7[[#This Row],[QuestionID]], FinalQuestions!$A:$C, 3, FALSE)</f>
        <v>Discussability</v>
      </c>
      <c r="E774">
        <f>IF(Table7[[#This Row],[Response]]="","",CHOOSE(MATCH(Table7[[#This Row],[Response]],{"Strongly Agree","Agree","Neutral","Disagree","Strongly Disagree","Not Applicable"},0),5,4,3,2,1,""))</f>
        <v>4</v>
      </c>
      <c r="F774">
        <f>Table7[[#This Row],[Scores]] * 20</f>
        <v>80</v>
      </c>
      <c r="G774">
        <f>IF(OR(Table7[[#This Row],[Response]]="Strongly Agree",Table7[[#This Row],[Response]]="Agree"),1,0)</f>
        <v>1</v>
      </c>
      <c r="H774" t="str">
        <f>_xlfn.XLOOKUP(Table7[[#This Row],[QuestionID]], FinalQuestions!$A:$A, FinalQuestions!$D:$D,"")</f>
        <v>Openness to Discussions</v>
      </c>
      <c r="I774" t="s">
        <v>268</v>
      </c>
    </row>
    <row r="775" spans="1:9" x14ac:dyDescent="0.35">
      <c r="A775" t="s">
        <v>112</v>
      </c>
      <c r="B775" t="s">
        <v>23</v>
      </c>
      <c r="C775" t="s">
        <v>85</v>
      </c>
      <c r="D775" t="str">
        <f>VLOOKUP(Table7[[#This Row],[QuestionID]], FinalQuestions!$A:$C, 3, FALSE)</f>
        <v>Discussability</v>
      </c>
      <c r="E775">
        <f>IF(Table7[[#This Row],[Response]]="","",CHOOSE(MATCH(Table7[[#This Row],[Response]],{"Strongly Agree","Agree","Neutral","Disagree","Strongly Disagree","Not Applicable"},0),5,4,3,2,1,""))</f>
        <v>5</v>
      </c>
      <c r="F775">
        <f>Table7[[#This Row],[Scores]] * 20</f>
        <v>100</v>
      </c>
      <c r="G775">
        <f>IF(OR(Table7[[#This Row],[Response]]="Strongly Agree",Table7[[#This Row],[Response]]="Agree"),1,0)</f>
        <v>1</v>
      </c>
      <c r="H775" t="str">
        <f>_xlfn.XLOOKUP(Table7[[#This Row],[QuestionID]], FinalQuestions!$A:$A, FinalQuestions!$D:$D,"")</f>
        <v>Access to Guidance</v>
      </c>
      <c r="I775" t="s">
        <v>268</v>
      </c>
    </row>
    <row r="776" spans="1:9" x14ac:dyDescent="0.35">
      <c r="A776" t="s">
        <v>112</v>
      </c>
      <c r="B776" t="s">
        <v>25</v>
      </c>
      <c r="C776" t="s">
        <v>2</v>
      </c>
      <c r="D776" t="str">
        <f>VLOOKUP(Table7[[#This Row],[QuestionID]], FinalQuestions!$A:$C, 3, FALSE)</f>
        <v>Discussability</v>
      </c>
      <c r="E776">
        <f>IF(Table7[[#This Row],[Response]]="","",CHOOSE(MATCH(Table7[[#This Row],[Response]],{"Strongly Agree","Agree","Neutral","Disagree","Strongly Disagree","Not Applicable"},0),5,4,3,2,1,""))</f>
        <v>4</v>
      </c>
      <c r="F776">
        <f>Table7[[#This Row],[Scores]] * 20</f>
        <v>80</v>
      </c>
      <c r="G776">
        <f>IF(OR(Table7[[#This Row],[Response]]="Strongly Agree",Table7[[#This Row],[Response]]="Agree"),1,0)</f>
        <v>1</v>
      </c>
      <c r="H776" t="str">
        <f>_xlfn.XLOOKUP(Table7[[#This Row],[QuestionID]], FinalQuestions!$A:$A, FinalQuestions!$D:$D,"")</f>
        <v>Openness to Sharing Opinions</v>
      </c>
      <c r="I776" t="s">
        <v>268</v>
      </c>
    </row>
    <row r="777" spans="1:9" x14ac:dyDescent="0.35">
      <c r="A777" t="s">
        <v>112</v>
      </c>
      <c r="B777" t="s">
        <v>27</v>
      </c>
      <c r="C777" t="s">
        <v>2</v>
      </c>
      <c r="D777" t="str">
        <f>VLOOKUP(Table7[[#This Row],[QuestionID]], FinalQuestions!$A:$C, 3, FALSE)</f>
        <v>Discussability</v>
      </c>
      <c r="E777">
        <f>IF(Table7[[#This Row],[Response]]="","",CHOOSE(MATCH(Table7[[#This Row],[Response]],{"Strongly Agree","Agree","Neutral","Disagree","Strongly Disagree","Not Applicable"},0),5,4,3,2,1,""))</f>
        <v>4</v>
      </c>
      <c r="F777">
        <f>Table7[[#This Row],[Scores]] * 20</f>
        <v>80</v>
      </c>
      <c r="G777">
        <f>IF(OR(Table7[[#This Row],[Response]]="Strongly Agree",Table7[[#This Row],[Response]]="Agree"),1,0)</f>
        <v>1</v>
      </c>
      <c r="H777" t="str">
        <f>_xlfn.XLOOKUP(Table7[[#This Row],[QuestionID]], FinalQuestions!$A:$A, FinalQuestions!$D:$D,"")</f>
        <v>Comfort in Reporting Risk Dilemmas</v>
      </c>
      <c r="I777" t="s">
        <v>268</v>
      </c>
    </row>
    <row r="778" spans="1:9" x14ac:dyDescent="0.35">
      <c r="A778" t="s">
        <v>112</v>
      </c>
      <c r="B778" t="s">
        <v>29</v>
      </c>
      <c r="C778" t="s">
        <v>2</v>
      </c>
      <c r="D778" t="str">
        <f>VLOOKUP(Table7[[#This Row],[QuestionID]], FinalQuestions!$A:$C, 3, FALSE)</f>
        <v>Achievability</v>
      </c>
      <c r="E778">
        <f>IF(Table7[[#This Row],[Response]]="","",CHOOSE(MATCH(Table7[[#This Row],[Response]],{"Strongly Agree","Agree","Neutral","Disagree","Strongly Disagree","Not Applicable"},0),5,4,3,2,1,""))</f>
        <v>4</v>
      </c>
      <c r="F778">
        <f>Table7[[#This Row],[Scores]] * 20</f>
        <v>80</v>
      </c>
      <c r="G778">
        <f>IF(OR(Table7[[#This Row],[Response]]="Strongly Agree",Table7[[#This Row],[Response]]="Agree"),1,0)</f>
        <v>1</v>
      </c>
      <c r="H778" t="str">
        <f>_xlfn.XLOOKUP(Table7[[#This Row],[QuestionID]], FinalQuestions!$A:$A, FinalQuestions!$D:$D,"")</f>
        <v>Adequacy of Risk Management Training</v>
      </c>
      <c r="I778" t="s">
        <v>268</v>
      </c>
    </row>
    <row r="779" spans="1:9" x14ac:dyDescent="0.35">
      <c r="A779" t="s">
        <v>112</v>
      </c>
      <c r="B779" t="s">
        <v>31</v>
      </c>
      <c r="C779" t="s">
        <v>2</v>
      </c>
      <c r="D779" t="str">
        <f>VLOOKUP(Table7[[#This Row],[QuestionID]], FinalQuestions!$A:$C, 3, FALSE)</f>
        <v>Achievability</v>
      </c>
      <c r="E779">
        <f>IF(Table7[[#This Row],[Response]]="","",CHOOSE(MATCH(Table7[[#This Row],[Response]],{"Strongly Agree","Agree","Neutral","Disagree","Strongly Disagree","Not Applicable"},0),5,4,3,2,1,""))</f>
        <v>4</v>
      </c>
      <c r="F779">
        <f>Table7[[#This Row],[Scores]] * 20</f>
        <v>80</v>
      </c>
      <c r="G779">
        <f>IF(OR(Table7[[#This Row],[Response]]="Strongly Agree",Table7[[#This Row],[Response]]="Agree"),1,0)</f>
        <v>1</v>
      </c>
      <c r="H779" t="str">
        <f>_xlfn.XLOOKUP(Table7[[#This Row],[QuestionID]], FinalQuestions!$A:$A, FinalQuestions!$D:$D,"")</f>
        <v>Workload Balance &amp; Resource Sufficiency</v>
      </c>
      <c r="I779" t="s">
        <v>268</v>
      </c>
    </row>
    <row r="780" spans="1:9" x14ac:dyDescent="0.35">
      <c r="A780" t="s">
        <v>112</v>
      </c>
      <c r="B780" t="s">
        <v>33</v>
      </c>
      <c r="C780" t="s">
        <v>2</v>
      </c>
      <c r="D780" t="str">
        <f>VLOOKUP(Table7[[#This Row],[QuestionID]], FinalQuestions!$A:$C, 3, FALSE)</f>
        <v>Achievability</v>
      </c>
      <c r="E780">
        <f>IF(Table7[[#This Row],[Response]]="","",CHOOSE(MATCH(Table7[[#This Row],[Response]],{"Strongly Agree","Agree","Neutral","Disagree","Strongly Disagree","Not Applicable"},0),5,4,3,2,1,""))</f>
        <v>4</v>
      </c>
      <c r="F780">
        <f>Table7[[#This Row],[Scores]] * 20</f>
        <v>80</v>
      </c>
      <c r="G780">
        <f>IF(OR(Table7[[#This Row],[Response]]="Strongly Agree",Table7[[#This Row],[Response]]="Agree"),1,0)</f>
        <v>1</v>
      </c>
      <c r="H780" t="str">
        <f>_xlfn.XLOOKUP(Table7[[#This Row],[QuestionID]], FinalQuestions!$A:$A, FinalQuestions!$D:$D,"")</f>
        <v>Realistic Target Setting</v>
      </c>
      <c r="I780" t="s">
        <v>268</v>
      </c>
    </row>
    <row r="781" spans="1:9" x14ac:dyDescent="0.35">
      <c r="A781" t="s">
        <v>112</v>
      </c>
      <c r="B781" t="s">
        <v>35</v>
      </c>
      <c r="C781" t="s">
        <v>2</v>
      </c>
      <c r="D781" t="str">
        <f>VLOOKUP(Table7[[#This Row],[QuestionID]], FinalQuestions!$A:$C, 3, FALSE)</f>
        <v>Achievability</v>
      </c>
      <c r="E781">
        <f>IF(Table7[[#This Row],[Response]]="","",CHOOSE(MATCH(Table7[[#This Row],[Response]],{"Strongly Agree","Agree","Neutral","Disagree","Strongly Disagree","Not Applicable"},0),5,4,3,2,1,""))</f>
        <v>4</v>
      </c>
      <c r="F781">
        <f>Table7[[#This Row],[Scores]] * 20</f>
        <v>80</v>
      </c>
      <c r="G781">
        <f>IF(OR(Table7[[#This Row],[Response]]="Strongly Agree",Table7[[#This Row],[Response]]="Agree"),1,0)</f>
        <v>1</v>
      </c>
      <c r="H781" t="str">
        <f>_xlfn.XLOOKUP(Table7[[#This Row],[QuestionID]], FinalQuestions!$A:$A, FinalQuestions!$D:$D,"")</f>
        <v>Risk Insight in Decision Making</v>
      </c>
      <c r="I781" t="s">
        <v>268</v>
      </c>
    </row>
    <row r="782" spans="1:9" x14ac:dyDescent="0.35">
      <c r="A782" t="s">
        <v>112</v>
      </c>
      <c r="B782" t="s">
        <v>37</v>
      </c>
      <c r="C782" t="s">
        <v>2</v>
      </c>
      <c r="D782" t="str">
        <f>VLOOKUP(Table7[[#This Row],[QuestionID]], FinalQuestions!$A:$C, 3, FALSE)</f>
        <v>Enforcement</v>
      </c>
      <c r="E782">
        <f>IF(Table7[[#This Row],[Response]]="","",CHOOSE(MATCH(Table7[[#This Row],[Response]],{"Strongly Agree","Agree","Neutral","Disagree","Strongly Disagree","Not Applicable"},0),5,4,3,2,1,""))</f>
        <v>4</v>
      </c>
      <c r="F782">
        <f>Table7[[#This Row],[Scores]] * 20</f>
        <v>80</v>
      </c>
      <c r="G782">
        <f>IF(OR(Table7[[#This Row],[Response]]="Strongly Agree",Table7[[#This Row],[Response]]="Agree"),1,0)</f>
        <v>1</v>
      </c>
      <c r="H782" t="str">
        <f>_xlfn.XLOOKUP(Table7[[#This Row],[QuestionID]], FinalQuestions!$A:$A, FinalQuestions!$D:$D,"")</f>
        <v>Learning Culture from Non‑Compliance Cases</v>
      </c>
      <c r="I782" t="s">
        <v>268</v>
      </c>
    </row>
    <row r="783" spans="1:9" x14ac:dyDescent="0.35">
      <c r="A783" t="s">
        <v>112</v>
      </c>
      <c r="B783" t="s">
        <v>39</v>
      </c>
      <c r="C783" t="s">
        <v>2</v>
      </c>
      <c r="D783" t="str">
        <f>VLOOKUP(Table7[[#This Row],[QuestionID]], FinalQuestions!$A:$C, 3, FALSE)</f>
        <v>Enforcement</v>
      </c>
      <c r="E783">
        <f>IF(Table7[[#This Row],[Response]]="","",CHOOSE(MATCH(Table7[[#This Row],[Response]],{"Strongly Agree","Agree","Neutral","Disagree","Strongly Disagree","Not Applicable"},0),5,4,3,2,1,""))</f>
        <v>4</v>
      </c>
      <c r="F783">
        <f>Table7[[#This Row],[Scores]] * 20</f>
        <v>80</v>
      </c>
      <c r="G783">
        <f>IF(OR(Table7[[#This Row],[Response]]="Strongly Agree",Table7[[#This Row],[Response]]="Agree"),1,0)</f>
        <v>1</v>
      </c>
      <c r="H783" t="str">
        <f>_xlfn.XLOOKUP(Table7[[#This Row],[QuestionID]], FinalQuestions!$A:$A, FinalQuestions!$D:$D,"")</f>
        <v>Organizational View on Risk Culture</v>
      </c>
      <c r="I783" t="s">
        <v>268</v>
      </c>
    </row>
    <row r="784" spans="1:9" x14ac:dyDescent="0.35">
      <c r="A784" t="s">
        <v>112</v>
      </c>
      <c r="B784" t="s">
        <v>41</v>
      </c>
      <c r="C784" t="s">
        <v>4</v>
      </c>
      <c r="D784" t="str">
        <f>VLOOKUP(Table7[[#This Row],[QuestionID]], FinalQuestions!$A:$C, 3, FALSE)</f>
        <v>Enforcement</v>
      </c>
      <c r="E784">
        <f>IF(Table7[[#This Row],[Response]]="","",CHOOSE(MATCH(Table7[[#This Row],[Response]],{"Strongly Agree","Agree","Neutral","Disagree","Strongly Disagree","Not Applicable"},0),5,4,3,2,1,""))</f>
        <v>3</v>
      </c>
      <c r="F784">
        <f>Table7[[#This Row],[Scores]] * 20</f>
        <v>60</v>
      </c>
      <c r="G784">
        <f>IF(OR(Table7[[#This Row],[Response]]="Strongly Agree",Table7[[#This Row],[Response]]="Agree"),1,0)</f>
        <v>0</v>
      </c>
      <c r="H784" t="str">
        <f>_xlfn.XLOOKUP(Table7[[#This Row],[QuestionID]], FinalQuestions!$A:$A, FinalQuestions!$D:$D,"")</f>
        <v>Compliance Recognition &amp; enforcement</v>
      </c>
      <c r="I784" t="s">
        <v>268</v>
      </c>
    </row>
    <row r="785" spans="1:9" x14ac:dyDescent="0.35">
      <c r="A785" t="s">
        <v>112</v>
      </c>
      <c r="B785" t="s">
        <v>43</v>
      </c>
      <c r="C785" t="s">
        <v>85</v>
      </c>
      <c r="D785" t="str">
        <f>VLOOKUP(Table7[[#This Row],[QuestionID]], FinalQuestions!$A:$C, 3, FALSE)</f>
        <v>Enforcement</v>
      </c>
      <c r="E785">
        <f>IF(Table7[[#This Row],[Response]]="","",CHOOSE(MATCH(Table7[[#This Row],[Response]],{"Strongly Agree","Agree","Neutral","Disagree","Strongly Disagree","Not Applicable"},0),5,4,3,2,1,""))</f>
        <v>5</v>
      </c>
      <c r="F785">
        <f>Table7[[#This Row],[Scores]] * 20</f>
        <v>100</v>
      </c>
      <c r="G785">
        <f>IF(OR(Table7[[#This Row],[Response]]="Strongly Agree",Table7[[#This Row],[Response]]="Agree"),1,0)</f>
        <v>1</v>
      </c>
      <c r="H785" t="str">
        <f>_xlfn.XLOOKUP(Table7[[#This Row],[QuestionID]], FinalQuestions!$A:$A, FinalQuestions!$D:$D,"")</f>
        <v>Sense of Ownership</v>
      </c>
      <c r="I785" t="s">
        <v>268</v>
      </c>
    </row>
    <row r="786" spans="1:9" x14ac:dyDescent="0.35">
      <c r="A786" t="s">
        <v>112</v>
      </c>
      <c r="B786" t="s">
        <v>45</v>
      </c>
      <c r="C786" t="s">
        <v>85</v>
      </c>
      <c r="D786" t="str">
        <f>VLOOKUP(Table7[[#This Row],[QuestionID]], FinalQuestions!$A:$C, 3, FALSE)</f>
        <v>Clarity</v>
      </c>
      <c r="E786">
        <f>IF(Table7[[#This Row],[Response]]="","",CHOOSE(MATCH(Table7[[#This Row],[Response]],{"Strongly Agree","Agree","Neutral","Disagree","Strongly Disagree","Not Applicable"},0),5,4,3,2,1,""))</f>
        <v>5</v>
      </c>
      <c r="F786">
        <f>Table7[[#This Row],[Scores]] * 20</f>
        <v>100</v>
      </c>
      <c r="G786">
        <f>IF(OR(Table7[[#This Row],[Response]]="Strongly Agree",Table7[[#This Row],[Response]]="Agree"),1,0)</f>
        <v>1</v>
      </c>
      <c r="H786" t="str">
        <f>_xlfn.XLOOKUP(Table7[[#This Row],[QuestionID]], FinalQuestions!$A:$A, FinalQuestions!$D:$D,"")</f>
        <v>Clarity of Role and Responsibilities</v>
      </c>
      <c r="I786" t="s">
        <v>268</v>
      </c>
    </row>
    <row r="787" spans="1:9" x14ac:dyDescent="0.35">
      <c r="A787" t="s">
        <v>112</v>
      </c>
      <c r="B787" t="s">
        <v>47</v>
      </c>
      <c r="C787" t="s">
        <v>2</v>
      </c>
      <c r="D787" t="str">
        <f>VLOOKUP(Table7[[#This Row],[QuestionID]], FinalQuestions!$A:$C, 3, FALSE)</f>
        <v>Clarity</v>
      </c>
      <c r="E787">
        <f>IF(Table7[[#This Row],[Response]]="","",CHOOSE(MATCH(Table7[[#This Row],[Response]],{"Strongly Agree","Agree","Neutral","Disagree","Strongly Disagree","Not Applicable"},0),5,4,3,2,1,""))</f>
        <v>4</v>
      </c>
      <c r="F787">
        <f>Table7[[#This Row],[Scores]] * 20</f>
        <v>80</v>
      </c>
      <c r="G787">
        <f>IF(OR(Table7[[#This Row],[Response]]="Strongly Agree",Table7[[#This Row],[Response]]="Agree"),1,0)</f>
        <v>1</v>
      </c>
      <c r="H787" t="str">
        <f>_xlfn.XLOOKUP(Table7[[#This Row],[QuestionID]], FinalQuestions!$A:$A, FinalQuestions!$D:$D,"")</f>
        <v>Understanding of Risk Policies &amp; Procedures</v>
      </c>
      <c r="I787" t="s">
        <v>268</v>
      </c>
    </row>
    <row r="788" spans="1:9" x14ac:dyDescent="0.35">
      <c r="A788" t="s">
        <v>112</v>
      </c>
      <c r="B788" t="s">
        <v>49</v>
      </c>
      <c r="C788" t="s">
        <v>2</v>
      </c>
      <c r="D788" t="str">
        <f>VLOOKUP(Table7[[#This Row],[QuestionID]], FinalQuestions!$A:$C, 3, FALSE)</f>
        <v>Clarity</v>
      </c>
      <c r="E788">
        <f>IF(Table7[[#This Row],[Response]]="","",CHOOSE(MATCH(Table7[[#This Row],[Response]],{"Strongly Agree","Agree","Neutral","Disagree","Strongly Disagree","Not Applicable"},0),5,4,3,2,1,""))</f>
        <v>4</v>
      </c>
      <c r="F788">
        <f>Table7[[#This Row],[Scores]] * 20</f>
        <v>80</v>
      </c>
      <c r="G788">
        <f>IF(OR(Table7[[#This Row],[Response]]="Strongly Agree",Table7[[#This Row],[Response]]="Agree"),1,0)</f>
        <v>1</v>
      </c>
      <c r="H788" t="str">
        <f>_xlfn.XLOOKUP(Table7[[#This Row],[QuestionID]], FinalQuestions!$A:$A, FinalQuestions!$D:$D,"")</f>
        <v>Clarity of Personal Risk Boundaries</v>
      </c>
      <c r="I788" t="s">
        <v>268</v>
      </c>
    </row>
    <row r="789" spans="1:9" x14ac:dyDescent="0.35">
      <c r="A789" t="s">
        <v>112</v>
      </c>
      <c r="B789" t="s">
        <v>51</v>
      </c>
      <c r="C789" t="s">
        <v>85</v>
      </c>
      <c r="D789" t="str">
        <f>VLOOKUP(Table7[[#This Row],[QuestionID]], FinalQuestions!$A:$C, 3, FALSE)</f>
        <v>Clarity</v>
      </c>
      <c r="E789">
        <f>IF(Table7[[#This Row],[Response]]="","",CHOOSE(MATCH(Table7[[#This Row],[Response]],{"Strongly Agree","Agree","Neutral","Disagree","Strongly Disagree","Not Applicable"},0),5,4,3,2,1,""))</f>
        <v>5</v>
      </c>
      <c r="F789">
        <f>Table7[[#This Row],[Scores]] * 20</f>
        <v>100</v>
      </c>
      <c r="G789">
        <f>IF(OR(Table7[[#This Row],[Response]]="Strongly Agree",Table7[[#This Row],[Response]]="Agree"),1,0)</f>
        <v>1</v>
      </c>
      <c r="H789" t="str">
        <f>_xlfn.XLOOKUP(Table7[[#This Row],[QuestionID]], FinalQuestions!$A:$A, FinalQuestions!$D:$D,"")</f>
        <v>Effectiveness of Risk Communication &amp; Training</v>
      </c>
      <c r="I789" t="s">
        <v>268</v>
      </c>
    </row>
    <row r="790" spans="1:9" x14ac:dyDescent="0.35">
      <c r="A790" t="s">
        <v>112</v>
      </c>
      <c r="B790" t="s">
        <v>53</v>
      </c>
      <c r="C790" t="s">
        <v>85</v>
      </c>
      <c r="D790" t="str">
        <f>VLOOKUP(Table7[[#This Row],[QuestionID]], FinalQuestions!$A:$C, 3, FALSE)</f>
        <v>Transparency</v>
      </c>
      <c r="E790">
        <f>IF(Table7[[#This Row],[Response]]="","",CHOOSE(MATCH(Table7[[#This Row],[Response]],{"Strongly Agree","Agree","Neutral","Disagree","Strongly Disagree","Not Applicable"},0),5,4,3,2,1,""))</f>
        <v>5</v>
      </c>
      <c r="F790">
        <f>Table7[[#This Row],[Scores]] * 20</f>
        <v>100</v>
      </c>
      <c r="G790">
        <f>IF(OR(Table7[[#This Row],[Response]]="Strongly Agree",Table7[[#This Row],[Response]]="Agree"),1,0)</f>
        <v>1</v>
      </c>
      <c r="H790" t="str">
        <f>_xlfn.XLOOKUP(Table7[[#This Row],[QuestionID]], FinalQuestions!$A:$A, FinalQuestions!$D:$D,"")</f>
        <v>Compliance Confidence in team</v>
      </c>
      <c r="I790" t="s">
        <v>268</v>
      </c>
    </row>
    <row r="791" spans="1:9" x14ac:dyDescent="0.35">
      <c r="A791" t="s">
        <v>112</v>
      </c>
      <c r="B791" t="s">
        <v>55</v>
      </c>
      <c r="C791" t="s">
        <v>85</v>
      </c>
      <c r="D791" t="str">
        <f>VLOOKUP(Table7[[#This Row],[QuestionID]], FinalQuestions!$A:$C, 3, FALSE)</f>
        <v>Transparency</v>
      </c>
      <c r="E791">
        <f>IF(Table7[[#This Row],[Response]]="","",CHOOSE(MATCH(Table7[[#This Row],[Response]],{"Strongly Agree","Agree","Neutral","Disagree","Strongly Disagree","Not Applicable"},0),5,4,3,2,1,""))</f>
        <v>5</v>
      </c>
      <c r="F791">
        <f>Table7[[#This Row],[Scores]] * 20</f>
        <v>100</v>
      </c>
      <c r="G791">
        <f>IF(OR(Table7[[#This Row],[Response]]="Strongly Agree",Table7[[#This Row],[Response]]="Agree"),1,0)</f>
        <v>1</v>
      </c>
      <c r="H791" t="str">
        <f>_xlfn.XLOOKUP(Table7[[#This Row],[QuestionID]], FinalQuestions!$A:$A, FinalQuestions!$D:$D,"")</f>
        <v>Transparency in Decision‑Making</v>
      </c>
      <c r="I791" t="s">
        <v>268</v>
      </c>
    </row>
    <row r="792" spans="1:9" x14ac:dyDescent="0.35">
      <c r="A792" t="s">
        <v>112</v>
      </c>
      <c r="B792" t="s">
        <v>57</v>
      </c>
      <c r="C792" t="s">
        <v>2</v>
      </c>
      <c r="D792" t="str">
        <f>VLOOKUP(Table7[[#This Row],[QuestionID]], FinalQuestions!$A:$C, 3, FALSE)</f>
        <v>Transparency</v>
      </c>
      <c r="E792">
        <f>IF(Table7[[#This Row],[Response]]="","",CHOOSE(MATCH(Table7[[#This Row],[Response]],{"Strongly Agree","Agree","Neutral","Disagree","Strongly Disagree","Not Applicable"},0),5,4,3,2,1,""))</f>
        <v>4</v>
      </c>
      <c r="F792">
        <f>Table7[[#This Row],[Scores]] * 20</f>
        <v>80</v>
      </c>
      <c r="G792">
        <f>IF(OR(Table7[[#This Row],[Response]]="Strongly Agree",Table7[[#This Row],[Response]]="Agree"),1,0)</f>
        <v>1</v>
      </c>
      <c r="H792" t="str">
        <f>_xlfn.XLOOKUP(Table7[[#This Row],[QuestionID]], FinalQuestions!$A:$A, FinalQuestions!$D:$D,"")</f>
        <v>Fairness &amp; Equity of Expectations</v>
      </c>
      <c r="I792" t="s">
        <v>268</v>
      </c>
    </row>
    <row r="793" spans="1:9" x14ac:dyDescent="0.35">
      <c r="A793" t="s">
        <v>112</v>
      </c>
      <c r="B793" t="s">
        <v>59</v>
      </c>
      <c r="C793" t="s">
        <v>6</v>
      </c>
      <c r="D793" t="str">
        <f>VLOOKUP(Table7[[#This Row],[QuestionID]], FinalQuestions!$A:$C, 3, FALSE)</f>
        <v>Transparency</v>
      </c>
      <c r="E793">
        <f>IF(Table7[[#This Row],[Response]]="","",CHOOSE(MATCH(Table7[[#This Row],[Response]],{"Strongly Agree","Agree","Neutral","Disagree","Strongly Disagree","Not Applicable"},0),5,4,3,2,1,""))</f>
        <v>2</v>
      </c>
      <c r="F793">
        <f>Table7[[#This Row],[Scores]] * 20</f>
        <v>40</v>
      </c>
      <c r="G793">
        <f>IF(OR(Table7[[#This Row],[Response]]="Strongly Agree",Table7[[#This Row],[Response]]="Agree"),1,0)</f>
        <v>0</v>
      </c>
      <c r="H793" t="str">
        <f>_xlfn.XLOOKUP(Table7[[#This Row],[QuestionID]], FinalQuestions!$A:$A, FinalQuestions!$D:$D,"")</f>
        <v>Leadership Awareness in the team</v>
      </c>
      <c r="I793" t="s">
        <v>268</v>
      </c>
    </row>
    <row r="794" spans="1:9" x14ac:dyDescent="0.35">
      <c r="A794" t="s">
        <v>112</v>
      </c>
      <c r="B794" t="s">
        <v>61</v>
      </c>
      <c r="C794" t="s">
        <v>4</v>
      </c>
      <c r="D794" t="str">
        <f>VLOOKUP(Table7[[#This Row],[QuestionID]], FinalQuestions!$A:$C, 3, FALSE)</f>
        <v>Commitment</v>
      </c>
      <c r="E794">
        <f>IF(Table7[[#This Row],[Response]]="","",CHOOSE(MATCH(Table7[[#This Row],[Response]],{"Strongly Agree","Agree","Neutral","Disagree","Strongly Disagree","Not Applicable"},0),5,4,3,2,1,""))</f>
        <v>3</v>
      </c>
      <c r="F794">
        <f>Table7[[#This Row],[Scores]] * 20</f>
        <v>60</v>
      </c>
      <c r="G794">
        <f>IF(OR(Table7[[#This Row],[Response]]="Strongly Agree",Table7[[#This Row],[Response]]="Agree"),1,0)</f>
        <v>0</v>
      </c>
      <c r="H794" t="str">
        <f>_xlfn.XLOOKUP(Table7[[#This Row],[QuestionID]], FinalQuestions!$A:$A, FinalQuestions!$D:$D,"")</f>
        <v>Motivation for Risk Ownership</v>
      </c>
      <c r="I794" t="s">
        <v>268</v>
      </c>
    </row>
    <row r="795" spans="1:9" x14ac:dyDescent="0.35">
      <c r="A795" t="s">
        <v>112</v>
      </c>
      <c r="B795" t="s">
        <v>63</v>
      </c>
      <c r="C795" t="s">
        <v>85</v>
      </c>
      <c r="D795" t="str">
        <f>VLOOKUP(Table7[[#This Row],[QuestionID]], FinalQuestions!$A:$C, 3, FALSE)</f>
        <v>Commitment</v>
      </c>
      <c r="E795">
        <f>IF(Table7[[#This Row],[Response]]="","",CHOOSE(MATCH(Table7[[#This Row],[Response]],{"Strongly Agree","Agree","Neutral","Disagree","Strongly Disagree","Not Applicable"},0),5,4,3,2,1,""))</f>
        <v>5</v>
      </c>
      <c r="F795">
        <f>Table7[[#This Row],[Scores]] * 20</f>
        <v>100</v>
      </c>
      <c r="G795">
        <f>IF(OR(Table7[[#This Row],[Response]]="Strongly Agree",Table7[[#This Row],[Response]]="Agree"),1,0)</f>
        <v>1</v>
      </c>
      <c r="H795" t="str">
        <f>_xlfn.XLOOKUP(Table7[[#This Row],[QuestionID]], FinalQuestions!$A:$A, FinalQuestions!$D:$D,"")</f>
        <v>Sense of Belonging to the Organization</v>
      </c>
      <c r="I795" t="s">
        <v>268</v>
      </c>
    </row>
    <row r="796" spans="1:9" x14ac:dyDescent="0.35">
      <c r="A796" t="s">
        <v>112</v>
      </c>
      <c r="B796" t="s">
        <v>65</v>
      </c>
      <c r="C796" t="s">
        <v>2</v>
      </c>
      <c r="D796" t="str">
        <f>VLOOKUP(Table7[[#This Row],[QuestionID]], FinalQuestions!$A:$C, 3, FALSE)</f>
        <v>Commitment</v>
      </c>
      <c r="E796">
        <f>IF(Table7[[#This Row],[Response]]="","",CHOOSE(MATCH(Table7[[#This Row],[Response]],{"Strongly Agree","Agree","Neutral","Disagree","Strongly Disagree","Not Applicable"},0),5,4,3,2,1,""))</f>
        <v>4</v>
      </c>
      <c r="F796">
        <f>Table7[[#This Row],[Scores]] * 20</f>
        <v>80</v>
      </c>
      <c r="G796">
        <f>IF(OR(Table7[[#This Row],[Response]]="Strongly Agree",Table7[[#This Row],[Response]]="Agree"),1,0)</f>
        <v>1</v>
      </c>
      <c r="H796" t="str">
        <f>_xlfn.XLOOKUP(Table7[[#This Row],[QuestionID]], FinalQuestions!$A:$A, FinalQuestions!$D:$D,"")</f>
        <v>Consideration of Impact on Others</v>
      </c>
      <c r="I796" t="s">
        <v>268</v>
      </c>
    </row>
    <row r="797" spans="1:9" x14ac:dyDescent="0.35">
      <c r="A797" t="s">
        <v>112</v>
      </c>
      <c r="B797" t="s">
        <v>67</v>
      </c>
      <c r="C797" t="s">
        <v>6</v>
      </c>
      <c r="D797" t="str">
        <f>VLOOKUP(Table7[[#This Row],[QuestionID]], FinalQuestions!$A:$C, 3, FALSE)</f>
        <v>Commitment</v>
      </c>
      <c r="E797">
        <f>IF(Table7[[#This Row],[Response]]="","",CHOOSE(MATCH(Table7[[#This Row],[Response]],{"Strongly Agree","Agree","Neutral","Disagree","Strongly Disagree","Not Applicable"},0),5,4,3,2,1,""))</f>
        <v>2</v>
      </c>
      <c r="F797">
        <f>Table7[[#This Row],[Scores]] * 20</f>
        <v>40</v>
      </c>
      <c r="G797">
        <f>IF(OR(Table7[[#This Row],[Response]]="Strongly Agree",Table7[[#This Row],[Response]]="Agree"),1,0)</f>
        <v>0</v>
      </c>
      <c r="H797" t="str">
        <f>_xlfn.XLOOKUP(Table7[[#This Row],[QuestionID]], FinalQuestions!$A:$A, FinalQuestions!$D:$D,"")</f>
        <v>Accountability for Risk Actions</v>
      </c>
      <c r="I797" t="s">
        <v>268</v>
      </c>
    </row>
    <row r="798" spans="1:9" x14ac:dyDescent="0.35">
      <c r="A798" t="s">
        <v>112</v>
      </c>
      <c r="B798" t="s">
        <v>69</v>
      </c>
      <c r="C798" t="s">
        <v>4</v>
      </c>
      <c r="D798" t="str">
        <f>VLOOKUP(Table7[[#This Row],[QuestionID]], FinalQuestions!$A:$C, 3, FALSE)</f>
        <v>Call someone to account</v>
      </c>
      <c r="E798">
        <f>IF(Table7[[#This Row],[Response]]="","",CHOOSE(MATCH(Table7[[#This Row],[Response]],{"Strongly Agree","Agree","Neutral","Disagree","Strongly Disagree","Not Applicable"},0),5,4,3,2,1,""))</f>
        <v>3</v>
      </c>
      <c r="F798">
        <f>Table7[[#This Row],[Scores]] * 20</f>
        <v>60</v>
      </c>
      <c r="G798">
        <f>IF(OR(Table7[[#This Row],[Response]]="Strongly Agree",Table7[[#This Row],[Response]]="Agree"),1,0)</f>
        <v>0</v>
      </c>
      <c r="H798" t="str">
        <f>_xlfn.XLOOKUP(Table7[[#This Row],[QuestionID]], FinalQuestions!$A:$A, FinalQuestions!$D:$D,"")</f>
        <v xml:space="preserve">Peer to peer Accountability </v>
      </c>
      <c r="I798" t="s">
        <v>268</v>
      </c>
    </row>
    <row r="799" spans="1:9" x14ac:dyDescent="0.35">
      <c r="A799" t="s">
        <v>112</v>
      </c>
      <c r="B799" t="s">
        <v>71</v>
      </c>
      <c r="C799" t="s">
        <v>85</v>
      </c>
      <c r="D799" t="str">
        <f>VLOOKUP(Table7[[#This Row],[QuestionID]], FinalQuestions!$A:$C, 3, FALSE)</f>
        <v>Call someone to account</v>
      </c>
      <c r="E799">
        <f>IF(Table7[[#This Row],[Response]]="","",CHOOSE(MATCH(Table7[[#This Row],[Response]],{"Strongly Agree","Agree","Neutral","Disagree","Strongly Disagree","Not Applicable"},0),5,4,3,2,1,""))</f>
        <v>5</v>
      </c>
      <c r="F799">
        <f>Table7[[#This Row],[Scores]] * 20</f>
        <v>100</v>
      </c>
      <c r="G799">
        <f>IF(OR(Table7[[#This Row],[Response]]="Strongly Agree",Table7[[#This Row],[Response]]="Agree"),1,0)</f>
        <v>1</v>
      </c>
      <c r="H799" t="str">
        <f>_xlfn.XLOOKUP(Table7[[#This Row],[QuestionID]], FinalQuestions!$A:$A, FinalQuestions!$D:$D,"")</f>
        <v>Timely Resolution of Accountability Issues</v>
      </c>
      <c r="I799" t="s">
        <v>268</v>
      </c>
    </row>
    <row r="800" spans="1:9" x14ac:dyDescent="0.35">
      <c r="A800" t="s">
        <v>112</v>
      </c>
      <c r="B800" t="s">
        <v>73</v>
      </c>
      <c r="C800" t="s">
        <v>85</v>
      </c>
      <c r="D800" t="str">
        <f>VLOOKUP(Table7[[#This Row],[QuestionID]], FinalQuestions!$A:$C, 3, FALSE)</f>
        <v>Call someone to account</v>
      </c>
      <c r="E800">
        <f>IF(Table7[[#This Row],[Response]]="","",CHOOSE(MATCH(Table7[[#This Row],[Response]],{"Strongly Agree","Agree","Neutral","Disagree","Strongly Disagree","Not Applicable"},0),5,4,3,2,1,""))</f>
        <v>5</v>
      </c>
      <c r="F800">
        <f>Table7[[#This Row],[Scores]] * 20</f>
        <v>100</v>
      </c>
      <c r="G800">
        <f>IF(OR(Table7[[#This Row],[Response]]="Strongly Agree",Table7[[#This Row],[Response]]="Agree"),1,0)</f>
        <v>1</v>
      </c>
      <c r="H800" t="str">
        <f>_xlfn.XLOOKUP(Table7[[#This Row],[QuestionID]], FinalQuestions!$A:$A, FinalQuestions!$D:$D,"")</f>
        <v>Comfort for Reporting Non‑Compliance.</v>
      </c>
      <c r="I800" t="s">
        <v>268</v>
      </c>
    </row>
    <row r="801" spans="1:9" x14ac:dyDescent="0.35">
      <c r="A801" t="s">
        <v>112</v>
      </c>
      <c r="B801" t="s">
        <v>75</v>
      </c>
      <c r="C801" t="s">
        <v>2</v>
      </c>
      <c r="D801" t="str">
        <f>VLOOKUP(Table7[[#This Row],[QuestionID]], FinalQuestions!$A:$C, 3, FALSE)</f>
        <v>Call someone to account</v>
      </c>
      <c r="E801">
        <f>IF(Table7[[#This Row],[Response]]="","",CHOOSE(MATCH(Table7[[#This Row],[Response]],{"Strongly Agree","Agree","Neutral","Disagree","Strongly Disagree","Not Applicable"},0),5,4,3,2,1,""))</f>
        <v>4</v>
      </c>
      <c r="F801">
        <f>Table7[[#This Row],[Scores]] * 20</f>
        <v>80</v>
      </c>
      <c r="G801">
        <f>IF(OR(Table7[[#This Row],[Response]]="Strongly Agree",Table7[[#This Row],[Response]]="Agree"),1,0)</f>
        <v>1</v>
      </c>
      <c r="H801" t="str">
        <f>_xlfn.XLOOKUP(Table7[[#This Row],[QuestionID]], FinalQuestions!$A:$A, FinalQuestions!$D:$D,"")</f>
        <v>Consistency of Conduct Enforcement</v>
      </c>
      <c r="I801" t="s">
        <v>268</v>
      </c>
    </row>
    <row r="802" spans="1:9" x14ac:dyDescent="0.35">
      <c r="A802" t="s">
        <v>123</v>
      </c>
      <c r="B802" t="s">
        <v>13</v>
      </c>
      <c r="C802" t="s">
        <v>2</v>
      </c>
      <c r="D802" t="str">
        <f>VLOOKUP(Table7[[#This Row],[QuestionID]], FinalQuestions!$A:$C, 3, FALSE)</f>
        <v>Role Modelling</v>
      </c>
      <c r="E802">
        <f>IF(Table7[[#This Row],[Response]]="","",CHOOSE(MATCH(Table7[[#This Row],[Response]],{"Strongly Agree","Agree","Neutral","Disagree","Strongly Disagree","Not Applicable"},0),5,4,3,2,1,""))</f>
        <v>4</v>
      </c>
      <c r="F802">
        <f>Table7[[#This Row],[Scores]] * 20</f>
        <v>80</v>
      </c>
      <c r="G802">
        <f>IF(OR(Table7[[#This Row],[Response]]="Strongly Agree",Table7[[#This Row],[Response]]="Agree"),1,0)</f>
        <v>1</v>
      </c>
      <c r="H802" t="str">
        <f>_xlfn.XLOOKUP(Table7[[#This Row],[QuestionID]], FinalQuestions!$A:$A, FinalQuestions!$D:$D,"")</f>
        <v xml:space="preserve">Leadership Example‑Setting in Risk Management </v>
      </c>
      <c r="I802" t="s">
        <v>266</v>
      </c>
    </row>
    <row r="803" spans="1:9" x14ac:dyDescent="0.35">
      <c r="A803" t="s">
        <v>123</v>
      </c>
      <c r="B803" t="s">
        <v>15</v>
      </c>
      <c r="C803" t="s">
        <v>2</v>
      </c>
      <c r="D803" t="str">
        <f>VLOOKUP(Table7[[#This Row],[QuestionID]], FinalQuestions!$A:$C, 3, FALSE)</f>
        <v>Role Modelling</v>
      </c>
      <c r="E803">
        <f>IF(Table7[[#This Row],[Response]]="","",CHOOSE(MATCH(Table7[[#This Row],[Response]],{"Strongly Agree","Agree","Neutral","Disagree","Strongly Disagree","Not Applicable"},0),5,4,3,2,1,""))</f>
        <v>4</v>
      </c>
      <c r="F803">
        <f>Table7[[#This Row],[Scores]] * 20</f>
        <v>80</v>
      </c>
      <c r="G803">
        <f>IF(OR(Table7[[#This Row],[Response]]="Strongly Agree",Table7[[#This Row],[Response]]="Agree"),1,0)</f>
        <v>1</v>
      </c>
      <c r="H803" t="str">
        <f>_xlfn.XLOOKUP(Table7[[#This Row],[QuestionID]], FinalQuestions!$A:$A, FinalQuestions!$D:$D,"")</f>
        <v>Executive Commitment to Risk Culture</v>
      </c>
      <c r="I803" t="s">
        <v>266</v>
      </c>
    </row>
    <row r="804" spans="1:9" x14ac:dyDescent="0.35">
      <c r="A804" t="s">
        <v>123</v>
      </c>
      <c r="B804" t="s">
        <v>17</v>
      </c>
      <c r="C804" t="s">
        <v>4</v>
      </c>
      <c r="D804" t="str">
        <f>VLOOKUP(Table7[[#This Row],[QuestionID]], FinalQuestions!$A:$C, 3, FALSE)</f>
        <v>Role Modelling</v>
      </c>
      <c r="E804">
        <f>IF(Table7[[#This Row],[Response]]="","",CHOOSE(MATCH(Table7[[#This Row],[Response]],{"Strongly Agree","Agree","Neutral","Disagree","Strongly Disagree","Not Applicable"},0),5,4,3,2,1,""))</f>
        <v>3</v>
      </c>
      <c r="F804">
        <f>Table7[[#This Row],[Scores]] * 20</f>
        <v>60</v>
      </c>
      <c r="G804">
        <f>IF(OR(Table7[[#This Row],[Response]]="Strongly Agree",Table7[[#This Row],[Response]]="Agree"),1,0)</f>
        <v>0</v>
      </c>
      <c r="H804" t="str">
        <f>_xlfn.XLOOKUP(Table7[[#This Row],[QuestionID]], FinalQuestions!$A:$A, FinalQuestions!$D:$D,"")</f>
        <v>Leadership Encouragement to Escalate Risks</v>
      </c>
      <c r="I804" t="s">
        <v>266</v>
      </c>
    </row>
    <row r="805" spans="1:9" x14ac:dyDescent="0.35">
      <c r="A805" t="s">
        <v>123</v>
      </c>
      <c r="B805" t="s">
        <v>19</v>
      </c>
      <c r="C805" t="s">
        <v>85</v>
      </c>
      <c r="D805" t="str">
        <f>VLOOKUP(Table7[[#This Row],[QuestionID]], FinalQuestions!$A:$C, 3, FALSE)</f>
        <v>Role Modelling</v>
      </c>
      <c r="E805">
        <f>IF(Table7[[#This Row],[Response]]="","",CHOOSE(MATCH(Table7[[#This Row],[Response]],{"Strongly Agree","Agree","Neutral","Disagree","Strongly Disagree","Not Applicable"},0),5,4,3,2,1,""))</f>
        <v>5</v>
      </c>
      <c r="F805">
        <f>Table7[[#This Row],[Scores]] * 20</f>
        <v>100</v>
      </c>
      <c r="G805">
        <f>IF(OR(Table7[[#This Row],[Response]]="Strongly Agree",Table7[[#This Row],[Response]]="Agree"),1,0)</f>
        <v>1</v>
      </c>
      <c r="H805" t="str">
        <f>_xlfn.XLOOKUP(Table7[[#This Row],[QuestionID]], FinalQuestions!$A:$A, FinalQuestions!$D:$D,"")</f>
        <v>Long-Term Decision Awareness</v>
      </c>
      <c r="I805" t="s">
        <v>266</v>
      </c>
    </row>
    <row r="806" spans="1:9" x14ac:dyDescent="0.35">
      <c r="A806" t="s">
        <v>123</v>
      </c>
      <c r="B806" t="s">
        <v>21</v>
      </c>
      <c r="C806" t="s">
        <v>85</v>
      </c>
      <c r="D806" t="str">
        <f>VLOOKUP(Table7[[#This Row],[QuestionID]], FinalQuestions!$A:$C, 3, FALSE)</f>
        <v>Discussability</v>
      </c>
      <c r="E806">
        <f>IF(Table7[[#This Row],[Response]]="","",CHOOSE(MATCH(Table7[[#This Row],[Response]],{"Strongly Agree","Agree","Neutral","Disagree","Strongly Disagree","Not Applicable"},0),5,4,3,2,1,""))</f>
        <v>5</v>
      </c>
      <c r="F806">
        <f>Table7[[#This Row],[Scores]] * 20</f>
        <v>100</v>
      </c>
      <c r="G806">
        <f>IF(OR(Table7[[#This Row],[Response]]="Strongly Agree",Table7[[#This Row],[Response]]="Agree"),1,0)</f>
        <v>1</v>
      </c>
      <c r="H806" t="str">
        <f>_xlfn.XLOOKUP(Table7[[#This Row],[QuestionID]], FinalQuestions!$A:$A, FinalQuestions!$D:$D,"")</f>
        <v>Openness to Discussions</v>
      </c>
      <c r="I806" t="s">
        <v>266</v>
      </c>
    </row>
    <row r="807" spans="1:9" x14ac:dyDescent="0.35">
      <c r="A807" t="s">
        <v>123</v>
      </c>
      <c r="B807" t="s">
        <v>23</v>
      </c>
      <c r="C807" t="s">
        <v>2</v>
      </c>
      <c r="D807" t="str">
        <f>VLOOKUP(Table7[[#This Row],[QuestionID]], FinalQuestions!$A:$C, 3, FALSE)</f>
        <v>Discussability</v>
      </c>
      <c r="E807">
        <f>IF(Table7[[#This Row],[Response]]="","",CHOOSE(MATCH(Table7[[#This Row],[Response]],{"Strongly Agree","Agree","Neutral","Disagree","Strongly Disagree","Not Applicable"},0),5,4,3,2,1,""))</f>
        <v>4</v>
      </c>
      <c r="F807">
        <f>Table7[[#This Row],[Scores]] * 20</f>
        <v>80</v>
      </c>
      <c r="G807">
        <f>IF(OR(Table7[[#This Row],[Response]]="Strongly Agree",Table7[[#This Row],[Response]]="Agree"),1,0)</f>
        <v>1</v>
      </c>
      <c r="H807" t="str">
        <f>_xlfn.XLOOKUP(Table7[[#This Row],[QuestionID]], FinalQuestions!$A:$A, FinalQuestions!$D:$D,"")</f>
        <v>Access to Guidance</v>
      </c>
      <c r="I807" t="s">
        <v>266</v>
      </c>
    </row>
    <row r="808" spans="1:9" x14ac:dyDescent="0.35">
      <c r="A808" t="s">
        <v>123</v>
      </c>
      <c r="B808" t="s">
        <v>25</v>
      </c>
      <c r="C808" t="s">
        <v>2</v>
      </c>
      <c r="D808" t="str">
        <f>VLOOKUP(Table7[[#This Row],[QuestionID]], FinalQuestions!$A:$C, 3, FALSE)</f>
        <v>Discussability</v>
      </c>
      <c r="E808">
        <f>IF(Table7[[#This Row],[Response]]="","",CHOOSE(MATCH(Table7[[#This Row],[Response]],{"Strongly Agree","Agree","Neutral","Disagree","Strongly Disagree","Not Applicable"},0),5,4,3,2,1,""))</f>
        <v>4</v>
      </c>
      <c r="F808">
        <f>Table7[[#This Row],[Scores]] * 20</f>
        <v>80</v>
      </c>
      <c r="G808">
        <f>IF(OR(Table7[[#This Row],[Response]]="Strongly Agree",Table7[[#This Row],[Response]]="Agree"),1,0)</f>
        <v>1</v>
      </c>
      <c r="H808" t="str">
        <f>_xlfn.XLOOKUP(Table7[[#This Row],[QuestionID]], FinalQuestions!$A:$A, FinalQuestions!$D:$D,"")</f>
        <v>Openness to Sharing Opinions</v>
      </c>
      <c r="I808" t="s">
        <v>266</v>
      </c>
    </row>
    <row r="809" spans="1:9" x14ac:dyDescent="0.35">
      <c r="A809" t="s">
        <v>123</v>
      </c>
      <c r="B809" t="s">
        <v>27</v>
      </c>
      <c r="C809" t="s">
        <v>85</v>
      </c>
      <c r="D809" t="str">
        <f>VLOOKUP(Table7[[#This Row],[QuestionID]], FinalQuestions!$A:$C, 3, FALSE)</f>
        <v>Discussability</v>
      </c>
      <c r="E809">
        <f>IF(Table7[[#This Row],[Response]]="","",CHOOSE(MATCH(Table7[[#This Row],[Response]],{"Strongly Agree","Agree","Neutral","Disagree","Strongly Disagree","Not Applicable"},0),5,4,3,2,1,""))</f>
        <v>5</v>
      </c>
      <c r="F809">
        <f>Table7[[#This Row],[Scores]] * 20</f>
        <v>100</v>
      </c>
      <c r="G809">
        <f>IF(OR(Table7[[#This Row],[Response]]="Strongly Agree",Table7[[#This Row],[Response]]="Agree"),1,0)</f>
        <v>1</v>
      </c>
      <c r="H809" t="str">
        <f>_xlfn.XLOOKUP(Table7[[#This Row],[QuestionID]], FinalQuestions!$A:$A, FinalQuestions!$D:$D,"")</f>
        <v>Comfort in Reporting Risk Dilemmas</v>
      </c>
      <c r="I809" t="s">
        <v>266</v>
      </c>
    </row>
    <row r="810" spans="1:9" x14ac:dyDescent="0.35">
      <c r="A810" t="s">
        <v>123</v>
      </c>
      <c r="B810" t="s">
        <v>29</v>
      </c>
      <c r="C810" t="s">
        <v>85</v>
      </c>
      <c r="D810" t="str">
        <f>VLOOKUP(Table7[[#This Row],[QuestionID]], FinalQuestions!$A:$C, 3, FALSE)</f>
        <v>Achievability</v>
      </c>
      <c r="E810">
        <f>IF(Table7[[#This Row],[Response]]="","",CHOOSE(MATCH(Table7[[#This Row],[Response]],{"Strongly Agree","Agree","Neutral","Disagree","Strongly Disagree","Not Applicable"},0),5,4,3,2,1,""))</f>
        <v>5</v>
      </c>
      <c r="F810">
        <f>Table7[[#This Row],[Scores]] * 20</f>
        <v>100</v>
      </c>
      <c r="G810">
        <f>IF(OR(Table7[[#This Row],[Response]]="Strongly Agree",Table7[[#This Row],[Response]]="Agree"),1,0)</f>
        <v>1</v>
      </c>
      <c r="H810" t="str">
        <f>_xlfn.XLOOKUP(Table7[[#This Row],[QuestionID]], FinalQuestions!$A:$A, FinalQuestions!$D:$D,"")</f>
        <v>Adequacy of Risk Management Training</v>
      </c>
      <c r="I810" t="s">
        <v>266</v>
      </c>
    </row>
    <row r="811" spans="1:9" x14ac:dyDescent="0.35">
      <c r="A811" t="s">
        <v>123</v>
      </c>
      <c r="B811" t="s">
        <v>31</v>
      </c>
      <c r="C811" t="s">
        <v>85</v>
      </c>
      <c r="D811" t="str">
        <f>VLOOKUP(Table7[[#This Row],[QuestionID]], FinalQuestions!$A:$C, 3, FALSE)</f>
        <v>Achievability</v>
      </c>
      <c r="E811">
        <f>IF(Table7[[#This Row],[Response]]="","",CHOOSE(MATCH(Table7[[#This Row],[Response]],{"Strongly Agree","Agree","Neutral","Disagree","Strongly Disagree","Not Applicable"},0),5,4,3,2,1,""))</f>
        <v>5</v>
      </c>
      <c r="F811">
        <f>Table7[[#This Row],[Scores]] * 20</f>
        <v>100</v>
      </c>
      <c r="G811">
        <f>IF(OR(Table7[[#This Row],[Response]]="Strongly Agree",Table7[[#This Row],[Response]]="Agree"),1,0)</f>
        <v>1</v>
      </c>
      <c r="H811" t="str">
        <f>_xlfn.XLOOKUP(Table7[[#This Row],[QuestionID]], FinalQuestions!$A:$A, FinalQuestions!$D:$D,"")</f>
        <v>Workload Balance &amp; Resource Sufficiency</v>
      </c>
      <c r="I811" t="s">
        <v>266</v>
      </c>
    </row>
    <row r="812" spans="1:9" x14ac:dyDescent="0.35">
      <c r="A812" t="s">
        <v>123</v>
      </c>
      <c r="B812" t="s">
        <v>33</v>
      </c>
      <c r="C812" t="s">
        <v>2</v>
      </c>
      <c r="D812" t="str">
        <f>VLOOKUP(Table7[[#This Row],[QuestionID]], FinalQuestions!$A:$C, 3, FALSE)</f>
        <v>Achievability</v>
      </c>
      <c r="E812">
        <f>IF(Table7[[#This Row],[Response]]="","",CHOOSE(MATCH(Table7[[#This Row],[Response]],{"Strongly Agree","Agree","Neutral","Disagree","Strongly Disagree","Not Applicable"},0),5,4,3,2,1,""))</f>
        <v>4</v>
      </c>
      <c r="F812">
        <f>Table7[[#This Row],[Scores]] * 20</f>
        <v>80</v>
      </c>
      <c r="G812">
        <f>IF(OR(Table7[[#This Row],[Response]]="Strongly Agree",Table7[[#This Row],[Response]]="Agree"),1,0)</f>
        <v>1</v>
      </c>
      <c r="H812" t="str">
        <f>_xlfn.XLOOKUP(Table7[[#This Row],[QuestionID]], FinalQuestions!$A:$A, FinalQuestions!$D:$D,"")</f>
        <v>Realistic Target Setting</v>
      </c>
      <c r="I812" t="s">
        <v>266</v>
      </c>
    </row>
    <row r="813" spans="1:9" x14ac:dyDescent="0.35">
      <c r="A813" t="s">
        <v>123</v>
      </c>
      <c r="B813" t="s">
        <v>35</v>
      </c>
      <c r="C813" t="s">
        <v>6</v>
      </c>
      <c r="D813" t="str">
        <f>VLOOKUP(Table7[[#This Row],[QuestionID]], FinalQuestions!$A:$C, 3, FALSE)</f>
        <v>Achievability</v>
      </c>
      <c r="E813">
        <f>IF(Table7[[#This Row],[Response]]="","",CHOOSE(MATCH(Table7[[#This Row],[Response]],{"Strongly Agree","Agree","Neutral","Disagree","Strongly Disagree","Not Applicable"},0),5,4,3,2,1,""))</f>
        <v>2</v>
      </c>
      <c r="F813">
        <f>Table7[[#This Row],[Scores]] * 20</f>
        <v>40</v>
      </c>
      <c r="G813">
        <f>IF(OR(Table7[[#This Row],[Response]]="Strongly Agree",Table7[[#This Row],[Response]]="Agree"),1,0)</f>
        <v>0</v>
      </c>
      <c r="H813" t="str">
        <f>_xlfn.XLOOKUP(Table7[[#This Row],[QuestionID]], FinalQuestions!$A:$A, FinalQuestions!$D:$D,"")</f>
        <v>Risk Insight in Decision Making</v>
      </c>
      <c r="I813" t="s">
        <v>266</v>
      </c>
    </row>
    <row r="814" spans="1:9" x14ac:dyDescent="0.35">
      <c r="A814" t="s">
        <v>123</v>
      </c>
      <c r="B814" t="s">
        <v>37</v>
      </c>
      <c r="C814" t="s">
        <v>4</v>
      </c>
      <c r="D814" t="str">
        <f>VLOOKUP(Table7[[#This Row],[QuestionID]], FinalQuestions!$A:$C, 3, FALSE)</f>
        <v>Enforcement</v>
      </c>
      <c r="E814">
        <f>IF(Table7[[#This Row],[Response]]="","",CHOOSE(MATCH(Table7[[#This Row],[Response]],{"Strongly Agree","Agree","Neutral","Disagree","Strongly Disagree","Not Applicable"},0),5,4,3,2,1,""))</f>
        <v>3</v>
      </c>
      <c r="F814">
        <f>Table7[[#This Row],[Scores]] * 20</f>
        <v>60</v>
      </c>
      <c r="G814">
        <f>IF(OR(Table7[[#This Row],[Response]]="Strongly Agree",Table7[[#This Row],[Response]]="Agree"),1,0)</f>
        <v>0</v>
      </c>
      <c r="H814" t="str">
        <f>_xlfn.XLOOKUP(Table7[[#This Row],[QuestionID]], FinalQuestions!$A:$A, FinalQuestions!$D:$D,"")</f>
        <v>Learning Culture from Non‑Compliance Cases</v>
      </c>
      <c r="I814" t="s">
        <v>266</v>
      </c>
    </row>
    <row r="815" spans="1:9" x14ac:dyDescent="0.35">
      <c r="A815" t="s">
        <v>123</v>
      </c>
      <c r="B815" t="s">
        <v>39</v>
      </c>
      <c r="C815" t="s">
        <v>85</v>
      </c>
      <c r="D815" t="str">
        <f>VLOOKUP(Table7[[#This Row],[QuestionID]], FinalQuestions!$A:$C, 3, FALSE)</f>
        <v>Enforcement</v>
      </c>
      <c r="E815">
        <f>IF(Table7[[#This Row],[Response]]="","",CHOOSE(MATCH(Table7[[#This Row],[Response]],{"Strongly Agree","Agree","Neutral","Disagree","Strongly Disagree","Not Applicable"},0),5,4,3,2,1,""))</f>
        <v>5</v>
      </c>
      <c r="F815">
        <f>Table7[[#This Row],[Scores]] * 20</f>
        <v>100</v>
      </c>
      <c r="G815">
        <f>IF(OR(Table7[[#This Row],[Response]]="Strongly Agree",Table7[[#This Row],[Response]]="Agree"),1,0)</f>
        <v>1</v>
      </c>
      <c r="H815" t="str">
        <f>_xlfn.XLOOKUP(Table7[[#This Row],[QuestionID]], FinalQuestions!$A:$A, FinalQuestions!$D:$D,"")</f>
        <v>Organizational View on Risk Culture</v>
      </c>
      <c r="I815" t="s">
        <v>266</v>
      </c>
    </row>
    <row r="816" spans="1:9" x14ac:dyDescent="0.35">
      <c r="A816" t="s">
        <v>123</v>
      </c>
      <c r="B816" t="s">
        <v>41</v>
      </c>
      <c r="C816" t="s">
        <v>2</v>
      </c>
      <c r="D816" t="str">
        <f>VLOOKUP(Table7[[#This Row],[QuestionID]], FinalQuestions!$A:$C, 3, FALSE)</f>
        <v>Enforcement</v>
      </c>
      <c r="E816">
        <f>IF(Table7[[#This Row],[Response]]="","",CHOOSE(MATCH(Table7[[#This Row],[Response]],{"Strongly Agree","Agree","Neutral","Disagree","Strongly Disagree","Not Applicable"},0),5,4,3,2,1,""))</f>
        <v>4</v>
      </c>
      <c r="F816">
        <f>Table7[[#This Row],[Scores]] * 20</f>
        <v>80</v>
      </c>
      <c r="G816">
        <f>IF(OR(Table7[[#This Row],[Response]]="Strongly Agree",Table7[[#This Row],[Response]]="Agree"),1,0)</f>
        <v>1</v>
      </c>
      <c r="H816" t="str">
        <f>_xlfn.XLOOKUP(Table7[[#This Row],[QuestionID]], FinalQuestions!$A:$A, FinalQuestions!$D:$D,"")</f>
        <v>Compliance Recognition &amp; enforcement</v>
      </c>
      <c r="I816" t="s">
        <v>266</v>
      </c>
    </row>
    <row r="817" spans="1:9" x14ac:dyDescent="0.35">
      <c r="A817" t="s">
        <v>123</v>
      </c>
      <c r="B817" t="s">
        <v>43</v>
      </c>
      <c r="C817" t="s">
        <v>6</v>
      </c>
      <c r="D817" t="str">
        <f>VLOOKUP(Table7[[#This Row],[QuestionID]], FinalQuestions!$A:$C, 3, FALSE)</f>
        <v>Enforcement</v>
      </c>
      <c r="E817">
        <f>IF(Table7[[#This Row],[Response]]="","",CHOOSE(MATCH(Table7[[#This Row],[Response]],{"Strongly Agree","Agree","Neutral","Disagree","Strongly Disagree","Not Applicable"},0),5,4,3,2,1,""))</f>
        <v>2</v>
      </c>
      <c r="F817">
        <f>Table7[[#This Row],[Scores]] * 20</f>
        <v>40</v>
      </c>
      <c r="G817">
        <f>IF(OR(Table7[[#This Row],[Response]]="Strongly Agree",Table7[[#This Row],[Response]]="Agree"),1,0)</f>
        <v>0</v>
      </c>
      <c r="H817" t="str">
        <f>_xlfn.XLOOKUP(Table7[[#This Row],[QuestionID]], FinalQuestions!$A:$A, FinalQuestions!$D:$D,"")</f>
        <v>Sense of Ownership</v>
      </c>
      <c r="I817" t="s">
        <v>266</v>
      </c>
    </row>
    <row r="818" spans="1:9" x14ac:dyDescent="0.35">
      <c r="A818" t="s">
        <v>123</v>
      </c>
      <c r="B818" t="s">
        <v>45</v>
      </c>
      <c r="C818" t="s">
        <v>4</v>
      </c>
      <c r="D818" t="str">
        <f>VLOOKUP(Table7[[#This Row],[QuestionID]], FinalQuestions!$A:$C, 3, FALSE)</f>
        <v>Clarity</v>
      </c>
      <c r="E818">
        <f>IF(Table7[[#This Row],[Response]]="","",CHOOSE(MATCH(Table7[[#This Row],[Response]],{"Strongly Agree","Agree","Neutral","Disagree","Strongly Disagree","Not Applicable"},0),5,4,3,2,1,""))</f>
        <v>3</v>
      </c>
      <c r="F818">
        <f>Table7[[#This Row],[Scores]] * 20</f>
        <v>60</v>
      </c>
      <c r="G818">
        <f>IF(OR(Table7[[#This Row],[Response]]="Strongly Agree",Table7[[#This Row],[Response]]="Agree"),1,0)</f>
        <v>0</v>
      </c>
      <c r="H818" t="str">
        <f>_xlfn.XLOOKUP(Table7[[#This Row],[QuestionID]], FinalQuestions!$A:$A, FinalQuestions!$D:$D,"")</f>
        <v>Clarity of Role and Responsibilities</v>
      </c>
      <c r="I818" t="s">
        <v>266</v>
      </c>
    </row>
    <row r="819" spans="1:9" x14ac:dyDescent="0.35">
      <c r="A819" t="s">
        <v>123</v>
      </c>
      <c r="B819" t="s">
        <v>47</v>
      </c>
      <c r="C819" t="s">
        <v>2</v>
      </c>
      <c r="D819" t="str">
        <f>VLOOKUP(Table7[[#This Row],[QuestionID]], FinalQuestions!$A:$C, 3, FALSE)</f>
        <v>Clarity</v>
      </c>
      <c r="E819">
        <f>IF(Table7[[#This Row],[Response]]="","",CHOOSE(MATCH(Table7[[#This Row],[Response]],{"Strongly Agree","Agree","Neutral","Disagree","Strongly Disagree","Not Applicable"},0),5,4,3,2,1,""))</f>
        <v>4</v>
      </c>
      <c r="F819">
        <f>Table7[[#This Row],[Scores]] * 20</f>
        <v>80</v>
      </c>
      <c r="G819">
        <f>IF(OR(Table7[[#This Row],[Response]]="Strongly Agree",Table7[[#This Row],[Response]]="Agree"),1,0)</f>
        <v>1</v>
      </c>
      <c r="H819" t="str">
        <f>_xlfn.XLOOKUP(Table7[[#This Row],[QuestionID]], FinalQuestions!$A:$A, FinalQuestions!$D:$D,"")</f>
        <v>Understanding of Risk Policies &amp; Procedures</v>
      </c>
      <c r="I819" t="s">
        <v>266</v>
      </c>
    </row>
    <row r="820" spans="1:9" x14ac:dyDescent="0.35">
      <c r="A820" t="s">
        <v>123</v>
      </c>
      <c r="B820" t="s">
        <v>49</v>
      </c>
      <c r="C820" t="s">
        <v>2</v>
      </c>
      <c r="D820" t="str">
        <f>VLOOKUP(Table7[[#This Row],[QuestionID]], FinalQuestions!$A:$C, 3, FALSE)</f>
        <v>Clarity</v>
      </c>
      <c r="E820">
        <f>IF(Table7[[#This Row],[Response]]="","",CHOOSE(MATCH(Table7[[#This Row],[Response]],{"Strongly Agree","Agree","Neutral","Disagree","Strongly Disagree","Not Applicable"},0),5,4,3,2,1,""))</f>
        <v>4</v>
      </c>
      <c r="F820">
        <f>Table7[[#This Row],[Scores]] * 20</f>
        <v>80</v>
      </c>
      <c r="G820">
        <f>IF(OR(Table7[[#This Row],[Response]]="Strongly Agree",Table7[[#This Row],[Response]]="Agree"),1,0)</f>
        <v>1</v>
      </c>
      <c r="H820" t="str">
        <f>_xlfn.XLOOKUP(Table7[[#This Row],[QuestionID]], FinalQuestions!$A:$A, FinalQuestions!$D:$D,"")</f>
        <v>Clarity of Personal Risk Boundaries</v>
      </c>
      <c r="I820" t="s">
        <v>266</v>
      </c>
    </row>
    <row r="821" spans="1:9" x14ac:dyDescent="0.35">
      <c r="A821" t="s">
        <v>123</v>
      </c>
      <c r="B821" t="s">
        <v>51</v>
      </c>
      <c r="C821" t="s">
        <v>4</v>
      </c>
      <c r="D821" t="str">
        <f>VLOOKUP(Table7[[#This Row],[QuestionID]], FinalQuestions!$A:$C, 3, FALSE)</f>
        <v>Clarity</v>
      </c>
      <c r="E821">
        <f>IF(Table7[[#This Row],[Response]]="","",CHOOSE(MATCH(Table7[[#This Row],[Response]],{"Strongly Agree","Agree","Neutral","Disagree","Strongly Disagree","Not Applicable"},0),5,4,3,2,1,""))</f>
        <v>3</v>
      </c>
      <c r="F821">
        <f>Table7[[#This Row],[Scores]] * 20</f>
        <v>60</v>
      </c>
      <c r="G821">
        <f>IF(OR(Table7[[#This Row],[Response]]="Strongly Agree",Table7[[#This Row],[Response]]="Agree"),1,0)</f>
        <v>0</v>
      </c>
      <c r="H821" t="str">
        <f>_xlfn.XLOOKUP(Table7[[#This Row],[QuestionID]], FinalQuestions!$A:$A, FinalQuestions!$D:$D,"")</f>
        <v>Effectiveness of Risk Communication &amp; Training</v>
      </c>
      <c r="I821" t="s">
        <v>266</v>
      </c>
    </row>
    <row r="822" spans="1:9" x14ac:dyDescent="0.35">
      <c r="A822" t="s">
        <v>123</v>
      </c>
      <c r="B822" t="s">
        <v>53</v>
      </c>
      <c r="C822" t="s">
        <v>85</v>
      </c>
      <c r="D822" t="str">
        <f>VLOOKUP(Table7[[#This Row],[QuestionID]], FinalQuestions!$A:$C, 3, FALSE)</f>
        <v>Transparency</v>
      </c>
      <c r="E822">
        <f>IF(Table7[[#This Row],[Response]]="","",CHOOSE(MATCH(Table7[[#This Row],[Response]],{"Strongly Agree","Agree","Neutral","Disagree","Strongly Disagree","Not Applicable"},0),5,4,3,2,1,""))</f>
        <v>5</v>
      </c>
      <c r="F822">
        <f>Table7[[#This Row],[Scores]] * 20</f>
        <v>100</v>
      </c>
      <c r="G822">
        <f>IF(OR(Table7[[#This Row],[Response]]="Strongly Agree",Table7[[#This Row],[Response]]="Agree"),1,0)</f>
        <v>1</v>
      </c>
      <c r="H822" t="str">
        <f>_xlfn.XLOOKUP(Table7[[#This Row],[QuestionID]], FinalQuestions!$A:$A, FinalQuestions!$D:$D,"")</f>
        <v>Compliance Confidence in team</v>
      </c>
      <c r="I822" t="s">
        <v>266</v>
      </c>
    </row>
    <row r="823" spans="1:9" x14ac:dyDescent="0.35">
      <c r="A823" t="s">
        <v>123</v>
      </c>
      <c r="B823" t="s">
        <v>55</v>
      </c>
      <c r="C823" t="s">
        <v>85</v>
      </c>
      <c r="D823" t="str">
        <f>VLOOKUP(Table7[[#This Row],[QuestionID]], FinalQuestions!$A:$C, 3, FALSE)</f>
        <v>Transparency</v>
      </c>
      <c r="E823">
        <f>IF(Table7[[#This Row],[Response]]="","",CHOOSE(MATCH(Table7[[#This Row],[Response]],{"Strongly Agree","Agree","Neutral","Disagree","Strongly Disagree","Not Applicable"},0),5,4,3,2,1,""))</f>
        <v>5</v>
      </c>
      <c r="F823">
        <f>Table7[[#This Row],[Scores]] * 20</f>
        <v>100</v>
      </c>
      <c r="G823">
        <f>IF(OR(Table7[[#This Row],[Response]]="Strongly Agree",Table7[[#This Row],[Response]]="Agree"),1,0)</f>
        <v>1</v>
      </c>
      <c r="H823" t="str">
        <f>_xlfn.XLOOKUP(Table7[[#This Row],[QuestionID]], FinalQuestions!$A:$A, FinalQuestions!$D:$D,"")</f>
        <v>Transparency in Decision‑Making</v>
      </c>
      <c r="I823" t="s">
        <v>266</v>
      </c>
    </row>
    <row r="824" spans="1:9" x14ac:dyDescent="0.35">
      <c r="A824" t="s">
        <v>123</v>
      </c>
      <c r="B824" t="s">
        <v>57</v>
      </c>
      <c r="C824" t="s">
        <v>2</v>
      </c>
      <c r="D824" t="str">
        <f>VLOOKUP(Table7[[#This Row],[QuestionID]], FinalQuestions!$A:$C, 3, FALSE)</f>
        <v>Transparency</v>
      </c>
      <c r="E824">
        <f>IF(Table7[[#This Row],[Response]]="","",CHOOSE(MATCH(Table7[[#This Row],[Response]],{"Strongly Agree","Agree","Neutral","Disagree","Strongly Disagree","Not Applicable"},0),5,4,3,2,1,""))</f>
        <v>4</v>
      </c>
      <c r="F824">
        <f>Table7[[#This Row],[Scores]] * 20</f>
        <v>80</v>
      </c>
      <c r="G824">
        <f>IF(OR(Table7[[#This Row],[Response]]="Strongly Agree",Table7[[#This Row],[Response]]="Agree"),1,0)</f>
        <v>1</v>
      </c>
      <c r="H824" t="str">
        <f>_xlfn.XLOOKUP(Table7[[#This Row],[QuestionID]], FinalQuestions!$A:$A, FinalQuestions!$D:$D,"")</f>
        <v>Fairness &amp; Equity of Expectations</v>
      </c>
      <c r="I824" t="s">
        <v>266</v>
      </c>
    </row>
    <row r="825" spans="1:9" x14ac:dyDescent="0.35">
      <c r="A825" t="s">
        <v>123</v>
      </c>
      <c r="B825" t="s">
        <v>59</v>
      </c>
      <c r="C825" t="s">
        <v>2</v>
      </c>
      <c r="D825" t="str">
        <f>VLOOKUP(Table7[[#This Row],[QuestionID]], FinalQuestions!$A:$C, 3, FALSE)</f>
        <v>Transparency</v>
      </c>
      <c r="E825">
        <f>IF(Table7[[#This Row],[Response]]="","",CHOOSE(MATCH(Table7[[#This Row],[Response]],{"Strongly Agree","Agree","Neutral","Disagree","Strongly Disagree","Not Applicable"},0),5,4,3,2,1,""))</f>
        <v>4</v>
      </c>
      <c r="F825">
        <f>Table7[[#This Row],[Scores]] * 20</f>
        <v>80</v>
      </c>
      <c r="G825">
        <f>IF(OR(Table7[[#This Row],[Response]]="Strongly Agree",Table7[[#This Row],[Response]]="Agree"),1,0)</f>
        <v>1</v>
      </c>
      <c r="H825" t="str">
        <f>_xlfn.XLOOKUP(Table7[[#This Row],[QuestionID]], FinalQuestions!$A:$A, FinalQuestions!$D:$D,"")</f>
        <v>Leadership Awareness in the team</v>
      </c>
      <c r="I825" t="s">
        <v>266</v>
      </c>
    </row>
    <row r="826" spans="1:9" x14ac:dyDescent="0.35">
      <c r="A826" t="s">
        <v>123</v>
      </c>
      <c r="B826" t="s">
        <v>61</v>
      </c>
      <c r="C826" t="s">
        <v>85</v>
      </c>
      <c r="D826" t="str">
        <f>VLOOKUP(Table7[[#This Row],[QuestionID]], FinalQuestions!$A:$C, 3, FALSE)</f>
        <v>Commitment</v>
      </c>
      <c r="E826">
        <f>IF(Table7[[#This Row],[Response]]="","",CHOOSE(MATCH(Table7[[#This Row],[Response]],{"Strongly Agree","Agree","Neutral","Disagree","Strongly Disagree","Not Applicable"},0),5,4,3,2,1,""))</f>
        <v>5</v>
      </c>
      <c r="F826">
        <f>Table7[[#This Row],[Scores]] * 20</f>
        <v>100</v>
      </c>
      <c r="G826">
        <f>IF(OR(Table7[[#This Row],[Response]]="Strongly Agree",Table7[[#This Row],[Response]]="Agree"),1,0)</f>
        <v>1</v>
      </c>
      <c r="H826" t="str">
        <f>_xlfn.XLOOKUP(Table7[[#This Row],[QuestionID]], FinalQuestions!$A:$A, FinalQuestions!$D:$D,"")</f>
        <v>Motivation for Risk Ownership</v>
      </c>
      <c r="I826" t="s">
        <v>266</v>
      </c>
    </row>
    <row r="827" spans="1:9" x14ac:dyDescent="0.35">
      <c r="A827" t="s">
        <v>123</v>
      </c>
      <c r="B827" t="s">
        <v>63</v>
      </c>
      <c r="C827" t="s">
        <v>85</v>
      </c>
      <c r="D827" t="str">
        <f>VLOOKUP(Table7[[#This Row],[QuestionID]], FinalQuestions!$A:$C, 3, FALSE)</f>
        <v>Commitment</v>
      </c>
      <c r="E827">
        <f>IF(Table7[[#This Row],[Response]]="","",CHOOSE(MATCH(Table7[[#This Row],[Response]],{"Strongly Agree","Agree","Neutral","Disagree","Strongly Disagree","Not Applicable"},0),5,4,3,2,1,""))</f>
        <v>5</v>
      </c>
      <c r="F827">
        <f>Table7[[#This Row],[Scores]] * 20</f>
        <v>100</v>
      </c>
      <c r="G827">
        <f>IF(OR(Table7[[#This Row],[Response]]="Strongly Agree",Table7[[#This Row],[Response]]="Agree"),1,0)</f>
        <v>1</v>
      </c>
      <c r="H827" t="str">
        <f>_xlfn.XLOOKUP(Table7[[#This Row],[QuestionID]], FinalQuestions!$A:$A, FinalQuestions!$D:$D,"")</f>
        <v>Sense of Belonging to the Organization</v>
      </c>
      <c r="I827" t="s">
        <v>266</v>
      </c>
    </row>
    <row r="828" spans="1:9" x14ac:dyDescent="0.35">
      <c r="A828" t="s">
        <v>123</v>
      </c>
      <c r="B828" t="s">
        <v>65</v>
      </c>
      <c r="C828" t="s">
        <v>85</v>
      </c>
      <c r="D828" t="str">
        <f>VLOOKUP(Table7[[#This Row],[QuestionID]], FinalQuestions!$A:$C, 3, FALSE)</f>
        <v>Commitment</v>
      </c>
      <c r="E828">
        <f>IF(Table7[[#This Row],[Response]]="","",CHOOSE(MATCH(Table7[[#This Row],[Response]],{"Strongly Agree","Agree","Neutral","Disagree","Strongly Disagree","Not Applicable"},0),5,4,3,2,1,""))</f>
        <v>5</v>
      </c>
      <c r="F828">
        <f>Table7[[#This Row],[Scores]] * 20</f>
        <v>100</v>
      </c>
      <c r="G828">
        <f>IF(OR(Table7[[#This Row],[Response]]="Strongly Agree",Table7[[#This Row],[Response]]="Agree"),1,0)</f>
        <v>1</v>
      </c>
      <c r="H828" t="str">
        <f>_xlfn.XLOOKUP(Table7[[#This Row],[QuestionID]], FinalQuestions!$A:$A, FinalQuestions!$D:$D,"")</f>
        <v>Consideration of Impact on Others</v>
      </c>
      <c r="I828" t="s">
        <v>266</v>
      </c>
    </row>
    <row r="829" spans="1:9" x14ac:dyDescent="0.35">
      <c r="A829" t="s">
        <v>123</v>
      </c>
      <c r="B829" t="s">
        <v>67</v>
      </c>
      <c r="C829" t="s">
        <v>2</v>
      </c>
      <c r="D829" t="str">
        <f>VLOOKUP(Table7[[#This Row],[QuestionID]], FinalQuestions!$A:$C, 3, FALSE)</f>
        <v>Commitment</v>
      </c>
      <c r="E829">
        <f>IF(Table7[[#This Row],[Response]]="","",CHOOSE(MATCH(Table7[[#This Row],[Response]],{"Strongly Agree","Agree","Neutral","Disagree","Strongly Disagree","Not Applicable"},0),5,4,3,2,1,""))</f>
        <v>4</v>
      </c>
      <c r="F829">
        <f>Table7[[#This Row],[Scores]] * 20</f>
        <v>80</v>
      </c>
      <c r="G829">
        <f>IF(OR(Table7[[#This Row],[Response]]="Strongly Agree",Table7[[#This Row],[Response]]="Agree"),1,0)</f>
        <v>1</v>
      </c>
      <c r="H829" t="str">
        <f>_xlfn.XLOOKUP(Table7[[#This Row],[QuestionID]], FinalQuestions!$A:$A, FinalQuestions!$D:$D,"")</f>
        <v>Accountability for Risk Actions</v>
      </c>
      <c r="I829" t="s">
        <v>266</v>
      </c>
    </row>
    <row r="830" spans="1:9" x14ac:dyDescent="0.35">
      <c r="A830" t="s">
        <v>123</v>
      </c>
      <c r="B830" t="s">
        <v>69</v>
      </c>
      <c r="C830" t="s">
        <v>6</v>
      </c>
      <c r="D830" t="str">
        <f>VLOOKUP(Table7[[#This Row],[QuestionID]], FinalQuestions!$A:$C, 3, FALSE)</f>
        <v>Call someone to account</v>
      </c>
      <c r="E830">
        <f>IF(Table7[[#This Row],[Response]]="","",CHOOSE(MATCH(Table7[[#This Row],[Response]],{"Strongly Agree","Agree","Neutral","Disagree","Strongly Disagree","Not Applicable"},0),5,4,3,2,1,""))</f>
        <v>2</v>
      </c>
      <c r="F830">
        <f>Table7[[#This Row],[Scores]] * 20</f>
        <v>40</v>
      </c>
      <c r="G830">
        <f>IF(OR(Table7[[#This Row],[Response]]="Strongly Agree",Table7[[#This Row],[Response]]="Agree"),1,0)</f>
        <v>0</v>
      </c>
      <c r="H830" t="str">
        <f>_xlfn.XLOOKUP(Table7[[#This Row],[QuestionID]], FinalQuestions!$A:$A, FinalQuestions!$D:$D,"")</f>
        <v xml:space="preserve">Peer to peer Accountability </v>
      </c>
      <c r="I830" t="s">
        <v>266</v>
      </c>
    </row>
    <row r="831" spans="1:9" x14ac:dyDescent="0.35">
      <c r="A831" t="s">
        <v>123</v>
      </c>
      <c r="B831" t="s">
        <v>71</v>
      </c>
      <c r="C831" t="s">
        <v>4</v>
      </c>
      <c r="D831" t="str">
        <f>VLOOKUP(Table7[[#This Row],[QuestionID]], FinalQuestions!$A:$C, 3, FALSE)</f>
        <v>Call someone to account</v>
      </c>
      <c r="E831">
        <f>IF(Table7[[#This Row],[Response]]="","",CHOOSE(MATCH(Table7[[#This Row],[Response]],{"Strongly Agree","Agree","Neutral","Disagree","Strongly Disagree","Not Applicable"},0),5,4,3,2,1,""))</f>
        <v>3</v>
      </c>
      <c r="F831">
        <f>Table7[[#This Row],[Scores]] * 20</f>
        <v>60</v>
      </c>
      <c r="G831">
        <f>IF(OR(Table7[[#This Row],[Response]]="Strongly Agree",Table7[[#This Row],[Response]]="Agree"),1,0)</f>
        <v>0</v>
      </c>
      <c r="H831" t="str">
        <f>_xlfn.XLOOKUP(Table7[[#This Row],[QuestionID]], FinalQuestions!$A:$A, FinalQuestions!$D:$D,"")</f>
        <v>Timely Resolution of Accountability Issues</v>
      </c>
      <c r="I831" t="s">
        <v>266</v>
      </c>
    </row>
    <row r="832" spans="1:9" x14ac:dyDescent="0.35">
      <c r="A832" t="s">
        <v>123</v>
      </c>
      <c r="B832" t="s">
        <v>73</v>
      </c>
      <c r="C832" t="s">
        <v>85</v>
      </c>
      <c r="D832" t="str">
        <f>VLOOKUP(Table7[[#This Row],[QuestionID]], FinalQuestions!$A:$C, 3, FALSE)</f>
        <v>Call someone to account</v>
      </c>
      <c r="E832">
        <f>IF(Table7[[#This Row],[Response]]="","",CHOOSE(MATCH(Table7[[#This Row],[Response]],{"Strongly Agree","Agree","Neutral","Disagree","Strongly Disagree","Not Applicable"},0),5,4,3,2,1,""))</f>
        <v>5</v>
      </c>
      <c r="F832">
        <f>Table7[[#This Row],[Scores]] * 20</f>
        <v>100</v>
      </c>
      <c r="G832">
        <f>IF(OR(Table7[[#This Row],[Response]]="Strongly Agree",Table7[[#This Row],[Response]]="Agree"),1,0)</f>
        <v>1</v>
      </c>
      <c r="H832" t="str">
        <f>_xlfn.XLOOKUP(Table7[[#This Row],[QuestionID]], FinalQuestions!$A:$A, FinalQuestions!$D:$D,"")</f>
        <v>Comfort for Reporting Non‑Compliance.</v>
      </c>
      <c r="I832" t="s">
        <v>266</v>
      </c>
    </row>
    <row r="833" spans="1:9" x14ac:dyDescent="0.35">
      <c r="A833" t="s">
        <v>123</v>
      </c>
      <c r="B833" t="s">
        <v>75</v>
      </c>
      <c r="C833" t="s">
        <v>2</v>
      </c>
      <c r="D833" t="str">
        <f>VLOOKUP(Table7[[#This Row],[QuestionID]], FinalQuestions!$A:$C, 3, FALSE)</f>
        <v>Call someone to account</v>
      </c>
      <c r="E833">
        <f>IF(Table7[[#This Row],[Response]]="","",CHOOSE(MATCH(Table7[[#This Row],[Response]],{"Strongly Agree","Agree","Neutral","Disagree","Strongly Disagree","Not Applicable"},0),5,4,3,2,1,""))</f>
        <v>4</v>
      </c>
      <c r="F833">
        <f>Table7[[#This Row],[Scores]] * 20</f>
        <v>80</v>
      </c>
      <c r="G833">
        <f>IF(OR(Table7[[#This Row],[Response]]="Strongly Agree",Table7[[#This Row],[Response]]="Agree"),1,0)</f>
        <v>1</v>
      </c>
      <c r="H833" t="str">
        <f>_xlfn.XLOOKUP(Table7[[#This Row],[QuestionID]], FinalQuestions!$A:$A, FinalQuestions!$D:$D,"")</f>
        <v>Consistency of Conduct Enforcement</v>
      </c>
      <c r="I833" t="s">
        <v>266</v>
      </c>
    </row>
  </sheetData>
  <phoneticPr fontId="5" type="noConversion"/>
  <dataValidations count="1">
    <dataValidation type="list" allowBlank="1" sqref="C664:C682 C743:C763 C329:C578 C789:C807 C809:C824 C684:C741 C765:C787 C644:C662 C265:C281 C283:C293 C295:C315 C317:C327 C826:C833 C580:C602 C604:C622 C624:C642 C2:C263" xr:uid="{F05608E7-A123-449A-936F-EC83D600E67F}">
      <formula1>"Strongly Agree,Agree,Neutral,Disagree,Strongly Disagree"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49F-4CDB-44C3-A3CF-357915074C41}">
  <dimension ref="A1:I28"/>
  <sheetViews>
    <sheetView zoomScale="104" workbookViewId="0">
      <selection activeCell="B7" sqref="B7"/>
    </sheetView>
  </sheetViews>
  <sheetFormatPr defaultRowHeight="14.5" x14ac:dyDescent="0.35"/>
  <cols>
    <col min="1" max="1" width="38.7265625" customWidth="1"/>
    <col min="2" max="2" width="28.54296875" customWidth="1"/>
    <col min="3" max="3" width="22.36328125" customWidth="1"/>
    <col min="4" max="4" width="11.453125" customWidth="1"/>
    <col min="5" max="5" width="17.54296875" customWidth="1"/>
    <col min="6" max="6" width="15.90625" customWidth="1"/>
    <col min="7" max="7" width="14.90625" customWidth="1"/>
    <col min="8" max="8" width="16.36328125" customWidth="1"/>
    <col min="9" max="9" width="12.453125" customWidth="1"/>
    <col min="10" max="10" width="13.81640625" customWidth="1"/>
  </cols>
  <sheetData>
    <row r="1" spans="1:9" x14ac:dyDescent="0.35">
      <c r="A1" t="s">
        <v>273</v>
      </c>
      <c r="B1" s="29" t="str" cm="1">
        <f t="array" ref="B1:I1">TRANSPOSE(_xlfn._xlws.SORT(_xlfn.UNIQUE(_xlfn._xlws.FILTER(Responses!$D:$D,(Responses!$D:$D&lt;&gt;"")*(Responses!$D:$D&lt;&gt;"SoftControl")))))</f>
        <v>Achievability</v>
      </c>
      <c r="C1" t="str">
        <v>Call someone to account</v>
      </c>
      <c r="D1" t="str">
        <v>Clarity</v>
      </c>
      <c r="E1" t="str">
        <v>Commitment</v>
      </c>
      <c r="F1" t="str">
        <v>Discussability</v>
      </c>
      <c r="G1" t="str">
        <v>Enforcement</v>
      </c>
      <c r="H1" t="str">
        <v>Role Modelling</v>
      </c>
      <c r="I1" t="str">
        <v>Transparency</v>
      </c>
    </row>
    <row r="2" spans="1:9" x14ac:dyDescent="0.35">
      <c r="A2" t="str" cm="1">
        <f t="array" ref="A2:A7">_xlfn._xlws.SORT(_xlfn.UNIQUE(_xlfn._xlws.FILTER(Responses!$I:$I,(Responses!$I:$I&lt;&gt;"")*(Responses!$I:$I&lt;&gt;"Function"))))</f>
        <v>Audit</v>
      </c>
      <c r="B2">
        <f>_xlfn.LET(_xlpm.func,$A2,_xlpm.sc,B$1,AVERAGEIFS(Responses!$F:$F,Responses!$I:$I,_xlpm.func,Responses!$D:$D,_xlpm.sc))</f>
        <v>72.5</v>
      </c>
      <c r="C2">
        <f>_xlfn.LET(_xlpm.func,$A2,_xlpm.sc,C$1,AVERAGEIFS(Responses!$F:$F,Responses!$I:$I,_xlpm.func,Responses!$D:$D,_xlpm.sc))</f>
        <v>71.25</v>
      </c>
      <c r="D2">
        <f>_xlfn.LET(_xlpm.func,$A2,_xlpm.sc,D$1,AVERAGEIFS(Responses!$F:$F,Responses!$I:$I,_xlpm.func,Responses!$D:$D,_xlpm.sc))</f>
        <v>66.25</v>
      </c>
      <c r="E2">
        <f>_xlfn.LET(_xlpm.func,$A2,_xlpm.sc,E$1,AVERAGEIFS(Responses!$F:$F,Responses!$I:$I,_xlpm.func,Responses!$D:$D,_xlpm.sc))</f>
        <v>81.25</v>
      </c>
      <c r="F2">
        <f>_xlfn.LET(_xlpm.func,$A2,_xlpm.sc,F$1,AVERAGEIFS(Responses!$F:$F,Responses!$I:$I,_xlpm.func,Responses!$D:$D,_xlpm.sc))</f>
        <v>92.5</v>
      </c>
      <c r="G2">
        <f>_xlfn.LET(_xlpm.func,$A2,_xlpm.sc,G$1,AVERAGEIFS(Responses!$F:$F,Responses!$I:$I,_xlpm.func,Responses!$D:$D,_xlpm.sc))</f>
        <v>75</v>
      </c>
      <c r="H2">
        <f>_xlfn.LET(_xlpm.func,$A2,_xlpm.sc,H$1,AVERAGEIFS(Responses!$F:$F,Responses!$I:$I,_xlpm.func,Responses!$D:$D,_xlpm.sc))</f>
        <v>81.25</v>
      </c>
      <c r="I2">
        <f>_xlfn.LET(_xlpm.func,$A2,_xlpm.sc,I$1,AVERAGEIFS(Responses!$F:$F,Responses!$I:$I,_xlpm.func,Responses!$D:$D,_xlpm.sc))</f>
        <v>76.25</v>
      </c>
    </row>
    <row r="3" spans="1:9" x14ac:dyDescent="0.35">
      <c r="A3" t="str">
        <v>Finance</v>
      </c>
      <c r="B3">
        <f>_xlfn.LET(_xlpm.func,$A3,_xlpm.sc,B$1,AVERAGEIFS(Responses!$F:$F,Responses!$I:$I,_xlpm.func,Responses!$D:$D,_xlpm.sc))</f>
        <v>73.75</v>
      </c>
      <c r="C3">
        <f>_xlfn.LET(_xlpm.func,$A3,_xlpm.sc,C$1,AVERAGEIFS(Responses!$F:$F,Responses!$I:$I,_xlpm.func,Responses!$D:$D,_xlpm.sc))</f>
        <v>55</v>
      </c>
      <c r="D3">
        <f>_xlfn.LET(_xlpm.func,$A3,_xlpm.sc,D$1,AVERAGEIFS(Responses!$F:$F,Responses!$I:$I,_xlpm.func,Responses!$D:$D,_xlpm.sc))</f>
        <v>81.25</v>
      </c>
      <c r="E3">
        <f>_xlfn.LET(_xlpm.func,$A3,_xlpm.sc,E$1,AVERAGEIFS(Responses!$F:$F,Responses!$I:$I,_xlpm.func,Responses!$D:$D,_xlpm.sc))</f>
        <v>73.75</v>
      </c>
      <c r="F3">
        <f>_xlfn.LET(_xlpm.func,$A3,_xlpm.sc,F$1,AVERAGEIFS(Responses!$F:$F,Responses!$I:$I,_xlpm.func,Responses!$D:$D,_xlpm.sc))</f>
        <v>80</v>
      </c>
      <c r="G3">
        <f>_xlfn.LET(_xlpm.func,$A3,_xlpm.sc,G$1,AVERAGEIFS(Responses!$F:$F,Responses!$I:$I,_xlpm.func,Responses!$D:$D,_xlpm.sc))</f>
        <v>80</v>
      </c>
      <c r="H3">
        <f>_xlfn.LET(_xlpm.func,$A3,_xlpm.sc,H$1,AVERAGEIFS(Responses!$F:$F,Responses!$I:$I,_xlpm.func,Responses!$D:$D,_xlpm.sc))</f>
        <v>80</v>
      </c>
      <c r="I3">
        <f>_xlfn.LET(_xlpm.func,$A3,_xlpm.sc,I$1,AVERAGEIFS(Responses!$F:$F,Responses!$I:$I,_xlpm.func,Responses!$D:$D,_xlpm.sc))</f>
        <v>82.5</v>
      </c>
    </row>
    <row r="4" spans="1:9" x14ac:dyDescent="0.35">
      <c r="A4" t="str">
        <v>HR</v>
      </c>
      <c r="B4">
        <f>_xlfn.LET(_xlpm.func,$A4,_xlpm.sc,B$1,AVERAGEIFS(Responses!$F:$F,Responses!$I:$I,_xlpm.func,Responses!$D:$D,_xlpm.sc))</f>
        <v>76.25</v>
      </c>
      <c r="C4">
        <f>_xlfn.LET(_xlpm.func,$A4,_xlpm.sc,C$1,AVERAGEIFS(Responses!$F:$F,Responses!$I:$I,_xlpm.func,Responses!$D:$D,_xlpm.sc))</f>
        <v>76.25</v>
      </c>
      <c r="D4">
        <f>_xlfn.LET(_xlpm.func,$A4,_xlpm.sc,D$1,AVERAGEIFS(Responses!$F:$F,Responses!$I:$I,_xlpm.func,Responses!$D:$D,_xlpm.sc))</f>
        <v>80</v>
      </c>
      <c r="E4">
        <f>_xlfn.LET(_xlpm.func,$A4,_xlpm.sc,E$1,AVERAGEIFS(Responses!$F:$F,Responses!$I:$I,_xlpm.func,Responses!$D:$D,_xlpm.sc))</f>
        <v>75</v>
      </c>
      <c r="F4">
        <f>_xlfn.LET(_xlpm.func,$A4,_xlpm.sc,F$1,AVERAGEIFS(Responses!$F:$F,Responses!$I:$I,_xlpm.func,Responses!$D:$D,_xlpm.sc))</f>
        <v>76.25</v>
      </c>
      <c r="G4">
        <f>_xlfn.LET(_xlpm.func,$A4,_xlpm.sc,G$1,AVERAGEIFS(Responses!$F:$F,Responses!$I:$I,_xlpm.func,Responses!$D:$D,_xlpm.sc))</f>
        <v>76.25</v>
      </c>
      <c r="H4">
        <f>_xlfn.LET(_xlpm.func,$A4,_xlpm.sc,H$1,AVERAGEIFS(Responses!$F:$F,Responses!$I:$I,_xlpm.func,Responses!$D:$D,_xlpm.sc))</f>
        <v>75</v>
      </c>
      <c r="I4">
        <f>_xlfn.LET(_xlpm.func,$A4,_xlpm.sc,I$1,AVERAGEIFS(Responses!$F:$F,Responses!$I:$I,_xlpm.func,Responses!$D:$D,_xlpm.sc))</f>
        <v>77.5</v>
      </c>
    </row>
    <row r="5" spans="1:9" x14ac:dyDescent="0.35">
      <c r="A5" t="str">
        <v>IT</v>
      </c>
      <c r="B5">
        <f>_xlfn.LET(_xlpm.func,$A5,_xlpm.sc,B$1,AVERAGEIFS(Responses!$F:$F,Responses!$I:$I,_xlpm.func,Responses!$D:$D,_xlpm.sc))</f>
        <v>71</v>
      </c>
      <c r="C5">
        <f>_xlfn.LET(_xlpm.func,$A5,_xlpm.sc,C$1,AVERAGEIFS(Responses!$F:$F,Responses!$I:$I,_xlpm.func,Responses!$D:$D,_xlpm.sc))</f>
        <v>80</v>
      </c>
      <c r="D5">
        <f>_xlfn.LET(_xlpm.func,$A5,_xlpm.sc,D$1,AVERAGEIFS(Responses!$F:$F,Responses!$I:$I,_xlpm.func,Responses!$D:$D,_xlpm.sc))</f>
        <v>83</v>
      </c>
      <c r="E5">
        <f>_xlfn.LET(_xlpm.func,$A5,_xlpm.sc,E$1,AVERAGEIFS(Responses!$F:$F,Responses!$I:$I,_xlpm.func,Responses!$D:$D,_xlpm.sc))</f>
        <v>72</v>
      </c>
      <c r="F5">
        <f>_xlfn.LET(_xlpm.func,$A5,_xlpm.sc,F$1,AVERAGEIFS(Responses!$F:$F,Responses!$I:$I,_xlpm.func,Responses!$D:$D,_xlpm.sc))</f>
        <v>78</v>
      </c>
      <c r="G5">
        <f>_xlfn.LET(_xlpm.func,$A5,_xlpm.sc,G$1,AVERAGEIFS(Responses!$F:$F,Responses!$I:$I,_xlpm.func,Responses!$D:$D,_xlpm.sc))</f>
        <v>75</v>
      </c>
      <c r="H5">
        <f>_xlfn.LET(_xlpm.func,$A5,_xlpm.sc,H$1,AVERAGEIFS(Responses!$F:$F,Responses!$I:$I,_xlpm.func,Responses!$D:$D,_xlpm.sc))</f>
        <v>74</v>
      </c>
      <c r="I5">
        <f>_xlfn.LET(_xlpm.func,$A5,_xlpm.sc,I$1,AVERAGEIFS(Responses!$F:$F,Responses!$I:$I,_xlpm.func,Responses!$D:$D,_xlpm.sc))</f>
        <v>70</v>
      </c>
    </row>
    <row r="6" spans="1:9" x14ac:dyDescent="0.35">
      <c r="A6" t="str">
        <v>Operations</v>
      </c>
      <c r="B6">
        <f>_xlfn.LET(_xlpm.func,$A6,_xlpm.sc,B$1,AVERAGEIFS(Responses!$F:$F,Responses!$I:$I,_xlpm.func,Responses!$D:$D,_xlpm.sc))</f>
        <v>60</v>
      </c>
      <c r="C6">
        <f>_xlfn.LET(_xlpm.func,$A6,_xlpm.sc,C$1,AVERAGEIFS(Responses!$F:$F,Responses!$I:$I,_xlpm.func,Responses!$D:$D,_xlpm.sc))</f>
        <v>64</v>
      </c>
      <c r="D6">
        <f>_xlfn.LET(_xlpm.func,$A6,_xlpm.sc,D$1,AVERAGEIFS(Responses!$F:$F,Responses!$I:$I,_xlpm.func,Responses!$D:$D,_xlpm.sc))</f>
        <v>64</v>
      </c>
      <c r="E6">
        <f>_xlfn.LET(_xlpm.func,$A6,_xlpm.sc,E$1,AVERAGEIFS(Responses!$F:$F,Responses!$I:$I,_xlpm.func,Responses!$D:$D,_xlpm.sc))</f>
        <v>70</v>
      </c>
      <c r="F6">
        <f>_xlfn.LET(_xlpm.func,$A6,_xlpm.sc,F$1,AVERAGEIFS(Responses!$F:$F,Responses!$I:$I,_xlpm.func,Responses!$D:$D,_xlpm.sc))</f>
        <v>66</v>
      </c>
      <c r="G6">
        <f>_xlfn.LET(_xlpm.func,$A6,_xlpm.sc,G$1,AVERAGEIFS(Responses!$F:$F,Responses!$I:$I,_xlpm.func,Responses!$D:$D,_xlpm.sc))</f>
        <v>67</v>
      </c>
      <c r="H6">
        <f>_xlfn.LET(_xlpm.func,$A6,_xlpm.sc,H$1,AVERAGEIFS(Responses!$F:$F,Responses!$I:$I,_xlpm.func,Responses!$D:$D,_xlpm.sc))</f>
        <v>67</v>
      </c>
      <c r="I6">
        <f>_xlfn.LET(_xlpm.func,$A6,_xlpm.sc,I$1,AVERAGEIFS(Responses!$F:$F,Responses!$I:$I,_xlpm.func,Responses!$D:$D,_xlpm.sc))</f>
        <v>69</v>
      </c>
    </row>
    <row r="7" spans="1:9" x14ac:dyDescent="0.35">
      <c r="A7" t="str">
        <v>Sales</v>
      </c>
      <c r="B7">
        <f>_xlfn.LET(_xlpm.func,$A7,_xlpm.sc,B$1,AVERAGEIFS(Responses!$F:$F,Responses!$I:$I,_xlpm.func,Responses!$D:$D,_xlpm.sc))</f>
        <v>82.5</v>
      </c>
      <c r="C7">
        <f>_xlfn.LET(_xlpm.func,$A7,_xlpm.sc,C$1,AVERAGEIFS(Responses!$F:$F,Responses!$I:$I,_xlpm.func,Responses!$D:$D,_xlpm.sc))</f>
        <v>73.75</v>
      </c>
      <c r="D7">
        <f>_xlfn.LET(_xlpm.func,$A7,_xlpm.sc,D$1,AVERAGEIFS(Responses!$F:$F,Responses!$I:$I,_xlpm.func,Responses!$D:$D,_xlpm.sc))</f>
        <v>75</v>
      </c>
      <c r="E7">
        <f>_xlfn.LET(_xlpm.func,$A7,_xlpm.sc,E$1,AVERAGEIFS(Responses!$F:$F,Responses!$I:$I,_xlpm.func,Responses!$D:$D,_xlpm.sc))</f>
        <v>76.25</v>
      </c>
      <c r="F7">
        <f>_xlfn.LET(_xlpm.func,$A7,_xlpm.sc,F$1,AVERAGEIFS(Responses!$F:$F,Responses!$I:$I,_xlpm.func,Responses!$D:$D,_xlpm.sc))</f>
        <v>77.5</v>
      </c>
      <c r="G7">
        <f>_xlfn.LET(_xlpm.func,$A7,_xlpm.sc,G$1,AVERAGEIFS(Responses!$F:$F,Responses!$I:$I,_xlpm.func,Responses!$D:$D,_xlpm.sc))</f>
        <v>78.75</v>
      </c>
      <c r="H7">
        <f>_xlfn.LET(_xlpm.func,$A7,_xlpm.sc,H$1,AVERAGEIFS(Responses!$F:$F,Responses!$I:$I,_xlpm.func,Responses!$D:$D,_xlpm.sc))</f>
        <v>77.5</v>
      </c>
      <c r="I7">
        <f>_xlfn.LET(_xlpm.func,$A7,_xlpm.sc,I$1,AVERAGEIFS(Responses!$F:$F,Responses!$I:$I,_xlpm.func,Responses!$D:$D,_xlpm.sc))</f>
        <v>78.75</v>
      </c>
    </row>
    <row r="10" spans="1:9" x14ac:dyDescent="0.35">
      <c r="A10" s="41" t="s">
        <v>274</v>
      </c>
      <c r="B10" s="41" t="s">
        <v>275</v>
      </c>
    </row>
    <row r="11" spans="1:9" x14ac:dyDescent="0.35">
      <c r="A11" s="42" t="str" cm="1">
        <f t="array" ref="A11:A16">_xlfn._xlws.SORT(_xlfn.UNIQUE(_xlfn._xlws.FILTER(Responses!$I:$I,(Responses!$I:$I&lt;&gt;"")*(Responses!$I:$I&lt;&gt;"Function"))))</f>
        <v>Audit</v>
      </c>
      <c r="B11">
        <f>IFERROR(ROUND(AVERAGEIFS(Responses!$F:$F,Responses!$I:$I,$A2),0),"")</f>
        <v>77</v>
      </c>
    </row>
    <row r="12" spans="1:9" x14ac:dyDescent="0.35">
      <c r="A12" s="42" t="str">
        <v>Finance</v>
      </c>
      <c r="B12">
        <f>IFERROR(ROUND(AVERAGEIFS(Responses!$F:$F,Responses!$I:$I,$A3),0),"")</f>
        <v>76</v>
      </c>
    </row>
    <row r="13" spans="1:9" x14ac:dyDescent="0.35">
      <c r="A13" s="42" t="str">
        <v>HR</v>
      </c>
      <c r="B13">
        <f>IFERROR(ROUND(AVERAGEIFS(Responses!$F:$F,Responses!$I:$I,$A4),0),"")</f>
        <v>77</v>
      </c>
    </row>
    <row r="14" spans="1:9" x14ac:dyDescent="0.35">
      <c r="A14" s="42" t="str">
        <v>IT</v>
      </c>
      <c r="B14">
        <f>IFERROR(ROUND(AVERAGEIFS(Responses!$F:$F,Responses!$I:$I,$A5),0),"")</f>
        <v>75</v>
      </c>
    </row>
    <row r="15" spans="1:9" x14ac:dyDescent="0.35">
      <c r="A15" s="42" t="str">
        <v>Operations</v>
      </c>
      <c r="B15">
        <f>IFERROR(ROUND(AVERAGEIFS(Responses!$F:$F,Responses!$I:$I,$A6),0),"")</f>
        <v>66</v>
      </c>
    </row>
    <row r="16" spans="1:9" x14ac:dyDescent="0.35">
      <c r="A16" s="42" t="str">
        <v>Sales</v>
      </c>
      <c r="B16">
        <f>IFERROR(ROUND(AVERAGEIFS(Responses!$F:$F,Responses!$I:$I,$A7),0),"")</f>
        <v>78</v>
      </c>
    </row>
    <row r="19" spans="1:2" x14ac:dyDescent="0.35">
      <c r="A19" s="45"/>
    </row>
    <row r="26" spans="1:2" x14ac:dyDescent="0.35">
      <c r="A26" t="s">
        <v>276</v>
      </c>
      <c r="B26" t="s">
        <v>128</v>
      </c>
    </row>
    <row r="27" spans="1:2" x14ac:dyDescent="0.35">
      <c r="A27" t="s">
        <v>277</v>
      </c>
      <c r="B27" t="str">
        <f>INDEX($A$10:$A$16,MATCH(MAX($B$10:$B$16),$B$10:$B$16,0))&amp; "(" &amp; MAX($B$10:$B$16)&amp; ")"</f>
        <v>Sales(78)</v>
      </c>
    </row>
    <row r="28" spans="1:2" x14ac:dyDescent="0.35">
      <c r="A28" t="s">
        <v>278</v>
      </c>
      <c r="B28" t="str">
        <f>INDEX($A$10:$A$16, MATCH(MIN($B$10:$B$16), $B$10:$B$16, 0)) &amp; " (" &amp; MIN($B$10:$B$16) &amp; ")"</f>
        <v>Operations (66)</v>
      </c>
    </row>
  </sheetData>
  <conditionalFormatting sqref="A1:I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633B-AB57-4540-8192-42E07B0495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9304-E3EB-453F-9995-4E493DB0889A}">
  <dimension ref="A1:R80"/>
  <sheetViews>
    <sheetView topLeftCell="BL1" zoomScale="81" zoomScaleNormal="81" workbookViewId="0">
      <selection activeCell="B2" sqref="B2"/>
    </sheetView>
  </sheetViews>
  <sheetFormatPr defaultRowHeight="14.5" x14ac:dyDescent="0.35"/>
  <cols>
    <col min="1" max="1" width="30.08984375" customWidth="1"/>
    <col min="2" max="2" width="29.453125" customWidth="1"/>
    <col min="12" max="12" width="8.7265625" customWidth="1"/>
    <col min="13" max="13" width="10.08984375" customWidth="1"/>
    <col min="16" max="16" width="24.54296875" customWidth="1"/>
  </cols>
  <sheetData>
    <row r="1" spans="1:18" ht="44" customHeight="1" x14ac:dyDescent="0.35">
      <c r="A1" s="18" t="s">
        <v>127</v>
      </c>
      <c r="B1" s="18" t="s">
        <v>128</v>
      </c>
    </row>
    <row r="2" spans="1:18" ht="40" customHeight="1" x14ac:dyDescent="0.35">
      <c r="A2" s="19" t="s">
        <v>259</v>
      </c>
      <c r="B2" s="18">
        <f>IFERROR(AVERAGE(Responses!$F:$F), "")</f>
        <v>74.375</v>
      </c>
      <c r="G2" s="17"/>
    </row>
    <row r="3" spans="1:18" ht="36" customHeight="1" x14ac:dyDescent="0.35">
      <c r="A3" s="20" t="s">
        <v>129</v>
      </c>
      <c r="B3" s="18">
        <f>COUNTA(_xlfn.UNIQUE(Responses!$A:$A))</f>
        <v>27</v>
      </c>
      <c r="G3" s="17"/>
    </row>
    <row r="4" spans="1:18" ht="52.5" customHeight="1" x14ac:dyDescent="0.35">
      <c r="A4" s="19" t="s">
        <v>130</v>
      </c>
      <c r="B4" s="18">
        <f>COUNTA(FinalQuestions!$A:$A) - 1</f>
        <v>32</v>
      </c>
    </row>
    <row r="5" spans="1:18" ht="37.5" customHeight="1" x14ac:dyDescent="0.35">
      <c r="A5" s="20" t="s">
        <v>131</v>
      </c>
      <c r="B5" s="18">
        <f>SUM(Responses!$G:$G) / COUNTA(Responses!$G:$G)*100</f>
        <v>56.182472989195674</v>
      </c>
      <c r="R5" t="s">
        <v>220</v>
      </c>
    </row>
    <row r="6" spans="1:18" ht="42" customHeight="1" x14ac:dyDescent="0.35">
      <c r="A6" s="19" t="s">
        <v>132</v>
      </c>
      <c r="B6" s="18" t="str">
        <f>IF(B2&gt;=80,"Low",IF(B2&gt;=60,"Medium","High"))</f>
        <v>Medium</v>
      </c>
    </row>
    <row r="9" spans="1:18" ht="21" x14ac:dyDescent="0.5">
      <c r="L9" s="30" t="str">
        <f>"RCI Score: "&amp;TEXT(B2,"0")&amp;"%"</f>
        <v>RCI Score: 74%</v>
      </c>
      <c r="M9" s="29"/>
      <c r="P9" s="44" t="s">
        <v>259</v>
      </c>
    </row>
    <row r="10" spans="1:18" x14ac:dyDescent="0.35">
      <c r="P10">
        <f>IFERROR(AVERAGE(Responses!$F:$F), "")</f>
        <v>74.375</v>
      </c>
    </row>
    <row r="34" spans="1:2" x14ac:dyDescent="0.35">
      <c r="A34" s="17" t="s">
        <v>135</v>
      </c>
      <c r="B34">
        <v>1.8</v>
      </c>
    </row>
    <row r="35" spans="1:2" x14ac:dyDescent="0.35">
      <c r="A35" s="17" t="s">
        <v>140</v>
      </c>
      <c r="B35">
        <v>0.6</v>
      </c>
    </row>
    <row r="36" spans="1:2" x14ac:dyDescent="0.35">
      <c r="A36" s="17" t="s">
        <v>137</v>
      </c>
      <c r="B36">
        <v>0.6</v>
      </c>
    </row>
    <row r="37" spans="1:2" x14ac:dyDescent="0.35">
      <c r="A37" s="17" t="s">
        <v>138</v>
      </c>
      <c r="B37">
        <v>1</v>
      </c>
    </row>
    <row r="38" spans="1:2" x14ac:dyDescent="0.35">
      <c r="A38" s="17" t="s">
        <v>139</v>
      </c>
      <c r="B38">
        <v>1</v>
      </c>
    </row>
    <row r="39" spans="1:2" x14ac:dyDescent="0.35">
      <c r="A39" s="17" t="s">
        <v>139</v>
      </c>
      <c r="B39">
        <v>1</v>
      </c>
    </row>
    <row r="55" spans="1:2" x14ac:dyDescent="0.35">
      <c r="A55" s="17" t="s">
        <v>134</v>
      </c>
      <c r="B55" t="s">
        <v>144</v>
      </c>
    </row>
    <row r="56" spans="1:2" x14ac:dyDescent="0.35">
      <c r="A56" s="17" t="s">
        <v>141</v>
      </c>
      <c r="B56">
        <f>B2*1.8</f>
        <v>133.875</v>
      </c>
    </row>
    <row r="57" spans="1:2" x14ac:dyDescent="0.35">
      <c r="A57" t="s">
        <v>142</v>
      </c>
      <c r="B57">
        <v>1</v>
      </c>
    </row>
    <row r="58" spans="1:2" x14ac:dyDescent="0.35">
      <c r="A58" t="s">
        <v>143</v>
      </c>
      <c r="B58">
        <f xml:space="preserve"> 360 - B56 - B57</f>
        <v>225.125</v>
      </c>
    </row>
    <row r="72" spans="1:2" ht="15" thickBot="1" x14ac:dyDescent="0.4">
      <c r="A72" s="21" t="s">
        <v>1</v>
      </c>
      <c r="B72" t="s">
        <v>145</v>
      </c>
    </row>
    <row r="73" spans="1:2" ht="15" thickTop="1" x14ac:dyDescent="0.35">
      <c r="A73" s="22" t="s">
        <v>0</v>
      </c>
      <c r="B73">
        <f>IFERROR(ROUND(AVERAGEIFS(Responses!$F:$F,Responses!$D:$D,$A73),0),"")</f>
        <v>75</v>
      </c>
    </row>
    <row r="74" spans="1:2" x14ac:dyDescent="0.35">
      <c r="A74" s="23" t="s">
        <v>117</v>
      </c>
      <c r="B74">
        <f>IFERROR(ROUND(AVERAGEIFS(Responses!$F:$F,Responses!$D:$D,$A74),0),"")</f>
        <v>78</v>
      </c>
    </row>
    <row r="75" spans="1:2" x14ac:dyDescent="0.35">
      <c r="A75" s="22" t="s">
        <v>3</v>
      </c>
      <c r="B75">
        <f>IFERROR(ROUND(AVERAGEIFS(Responses!$F:$F,Responses!$D:$D,$A75),0),"")</f>
        <v>72</v>
      </c>
    </row>
    <row r="76" spans="1:2" x14ac:dyDescent="0.35">
      <c r="A76" s="23" t="s">
        <v>5</v>
      </c>
      <c r="B76">
        <f>IFERROR(ROUND(AVERAGEIFS(Responses!$F:$F,Responses!$D:$D,$A76),0),"")</f>
        <v>75</v>
      </c>
    </row>
    <row r="77" spans="1:2" x14ac:dyDescent="0.35">
      <c r="A77" s="22" t="s">
        <v>7</v>
      </c>
      <c r="B77">
        <f>IFERROR(ROUND(AVERAGEIFS(Responses!$F:$F,Responses!$D:$D,$A77),0),"")</f>
        <v>75</v>
      </c>
    </row>
    <row r="78" spans="1:2" x14ac:dyDescent="0.35">
      <c r="A78" s="23" t="s">
        <v>8</v>
      </c>
      <c r="B78">
        <f>IFERROR(ROUND(AVERAGEIFS(Responses!$F:$F,Responses!$D:$D,$A78),0),"")</f>
        <v>75</v>
      </c>
    </row>
    <row r="79" spans="1:2" x14ac:dyDescent="0.35">
      <c r="A79" s="22" t="s">
        <v>9</v>
      </c>
      <c r="B79">
        <f>IFERROR(ROUND(AVERAGEIFS(Responses!$F:$F,Responses!$D:$D,$A79),0),"")</f>
        <v>74</v>
      </c>
    </row>
    <row r="80" spans="1:2" x14ac:dyDescent="0.35">
      <c r="A80" s="23" t="s">
        <v>10</v>
      </c>
      <c r="B80">
        <f>IFERROR(ROUND(AVERAGEIFS(Responses!$F:$F,Responses!$D:$D,$A80),0),"")</f>
        <v>70</v>
      </c>
    </row>
  </sheetData>
  <conditionalFormatting sqref="B2">
    <cfRule type="cellIs" dxfId="19" priority="7" operator="lessThan">
      <formula>70</formula>
    </cfRule>
    <cfRule type="cellIs" dxfId="18" priority="8" operator="greaterThan">
      <formula>70</formula>
    </cfRule>
    <cfRule type="cellIs" dxfId="17" priority="9" operator="greaterThan">
      <formula>80</formula>
    </cfRule>
  </conditionalFormatting>
  <conditionalFormatting sqref="B5">
    <cfRule type="cellIs" dxfId="16" priority="4" operator="lessThan">
      <formula>70</formula>
    </cfRule>
    <cfRule type="cellIs" dxfId="15" priority="5" operator="greaterThan">
      <formula>80</formula>
    </cfRule>
    <cfRule type="cellIs" dxfId="14" priority="6" operator="greaterThan">
      <formula>70</formula>
    </cfRule>
  </conditionalFormatting>
  <conditionalFormatting sqref="B6">
    <cfRule type="containsText" dxfId="13" priority="1" operator="containsText" text="Low">
      <formula>NOT(ISERROR(SEARCH("Low",B6)))</formula>
    </cfRule>
    <cfRule type="containsText" dxfId="12" priority="2" operator="containsText" text="Medium">
      <formula>NOT(ISERROR(SEARCH("Medium",B6)))</formula>
    </cfRule>
    <cfRule type="containsText" dxfId="11" priority="3" operator="containsText" text="High">
      <formula>NOT(ISERROR(SEARCH("High",B6)))</formula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0603-8F6A-4896-8640-428A28196B88}">
  <dimension ref="A1:I11"/>
  <sheetViews>
    <sheetView workbookViewId="0">
      <selection activeCell="J18" sqref="J18"/>
    </sheetView>
  </sheetViews>
  <sheetFormatPr defaultRowHeight="14.5" x14ac:dyDescent="0.35"/>
  <sheetData>
    <row r="1" spans="1:9" x14ac:dyDescent="0.35">
      <c r="A1" s="31" t="s">
        <v>279</v>
      </c>
      <c r="B1" s="31" t="s">
        <v>8</v>
      </c>
      <c r="C1" s="31" t="s">
        <v>7</v>
      </c>
      <c r="D1" s="31" t="s">
        <v>3</v>
      </c>
      <c r="E1" s="31" t="s">
        <v>0</v>
      </c>
      <c r="F1" s="31" t="s">
        <v>9</v>
      </c>
      <c r="G1" s="31" t="s">
        <v>117</v>
      </c>
      <c r="H1" s="31" t="s">
        <v>280</v>
      </c>
      <c r="I1" s="31" t="s">
        <v>5</v>
      </c>
    </row>
    <row r="2" spans="1:9" x14ac:dyDescent="0.35">
      <c r="A2" t="s">
        <v>281</v>
      </c>
      <c r="B2">
        <v>78</v>
      </c>
      <c r="C2">
        <v>88</v>
      </c>
      <c r="D2">
        <v>72</v>
      </c>
      <c r="E2">
        <v>80</v>
      </c>
      <c r="F2">
        <v>82</v>
      </c>
      <c r="G2">
        <v>74</v>
      </c>
      <c r="H2">
        <v>76</v>
      </c>
      <c r="I2">
        <v>84</v>
      </c>
    </row>
    <row r="3" spans="1:9" x14ac:dyDescent="0.35">
      <c r="A3" t="s">
        <v>282</v>
      </c>
      <c r="B3">
        <v>76</v>
      </c>
      <c r="C3">
        <v>86</v>
      </c>
      <c r="D3">
        <v>74</v>
      </c>
      <c r="E3">
        <v>79</v>
      </c>
      <c r="F3">
        <v>83</v>
      </c>
      <c r="G3">
        <v>73</v>
      </c>
      <c r="H3">
        <v>75</v>
      </c>
      <c r="I3">
        <v>83</v>
      </c>
    </row>
    <row r="4" spans="1:9" x14ac:dyDescent="0.35">
      <c r="A4" t="s">
        <v>283</v>
      </c>
      <c r="B4">
        <v>72</v>
      </c>
      <c r="C4">
        <v>80</v>
      </c>
      <c r="D4">
        <v>70</v>
      </c>
      <c r="E4">
        <v>77</v>
      </c>
      <c r="F4">
        <v>85</v>
      </c>
      <c r="G4">
        <v>82</v>
      </c>
      <c r="H4">
        <v>68</v>
      </c>
      <c r="I4">
        <v>72</v>
      </c>
    </row>
    <row r="5" spans="1:9" x14ac:dyDescent="0.35">
      <c r="A5" t="s">
        <v>284</v>
      </c>
      <c r="B5">
        <v>70</v>
      </c>
      <c r="C5">
        <v>84</v>
      </c>
      <c r="D5">
        <v>68</v>
      </c>
      <c r="E5">
        <v>78</v>
      </c>
      <c r="F5">
        <v>87</v>
      </c>
      <c r="G5">
        <v>72</v>
      </c>
      <c r="H5">
        <v>70</v>
      </c>
      <c r="I5">
        <v>76</v>
      </c>
    </row>
    <row r="6" spans="1:9" x14ac:dyDescent="0.35">
      <c r="A6" t="s">
        <v>285</v>
      </c>
      <c r="B6">
        <v>68</v>
      </c>
      <c r="C6">
        <v>82</v>
      </c>
      <c r="D6">
        <v>66</v>
      </c>
      <c r="E6">
        <v>76</v>
      </c>
      <c r="F6">
        <v>80</v>
      </c>
      <c r="G6">
        <v>70</v>
      </c>
      <c r="H6">
        <v>72</v>
      </c>
      <c r="I6">
        <v>78</v>
      </c>
    </row>
    <row r="7" spans="1:9" x14ac:dyDescent="0.35">
      <c r="A7" t="s">
        <v>286</v>
      </c>
      <c r="B7">
        <v>66</v>
      </c>
      <c r="C7">
        <v>85</v>
      </c>
      <c r="D7">
        <v>60</v>
      </c>
      <c r="E7">
        <v>74</v>
      </c>
      <c r="F7">
        <v>79</v>
      </c>
      <c r="G7">
        <v>69</v>
      </c>
      <c r="H7">
        <v>65</v>
      </c>
      <c r="I7">
        <v>73</v>
      </c>
    </row>
    <row r="8" spans="1:9" x14ac:dyDescent="0.35">
      <c r="A8" t="s">
        <v>287</v>
      </c>
      <c r="B8">
        <v>72</v>
      </c>
      <c r="C8">
        <v>82</v>
      </c>
      <c r="D8">
        <v>71</v>
      </c>
      <c r="E8">
        <v>76</v>
      </c>
      <c r="F8">
        <v>81</v>
      </c>
      <c r="G8">
        <v>74</v>
      </c>
      <c r="H8">
        <v>69</v>
      </c>
      <c r="I8">
        <v>71</v>
      </c>
    </row>
    <row r="9" spans="1:9" x14ac:dyDescent="0.35">
      <c r="A9" t="s">
        <v>288</v>
      </c>
      <c r="B9">
        <v>70</v>
      </c>
      <c r="C9">
        <v>84</v>
      </c>
      <c r="D9">
        <v>72</v>
      </c>
      <c r="E9">
        <v>75</v>
      </c>
      <c r="F9">
        <v>80</v>
      </c>
      <c r="G9">
        <v>68</v>
      </c>
      <c r="H9">
        <v>73</v>
      </c>
      <c r="I9">
        <v>77</v>
      </c>
    </row>
    <row r="10" spans="1:9" x14ac:dyDescent="0.35">
      <c r="A10" t="s">
        <v>289</v>
      </c>
      <c r="B10">
        <v>69</v>
      </c>
      <c r="C10">
        <v>83</v>
      </c>
      <c r="D10">
        <v>65</v>
      </c>
      <c r="E10">
        <v>74</v>
      </c>
      <c r="F10">
        <v>78</v>
      </c>
      <c r="G10">
        <v>67</v>
      </c>
      <c r="H10">
        <v>72</v>
      </c>
      <c r="I10">
        <v>76</v>
      </c>
    </row>
    <row r="11" spans="1:9" x14ac:dyDescent="0.35">
      <c r="A11" t="s">
        <v>290</v>
      </c>
      <c r="B11">
        <v>68</v>
      </c>
      <c r="C11">
        <v>81</v>
      </c>
      <c r="D11">
        <v>64</v>
      </c>
      <c r="E11">
        <v>73</v>
      </c>
      <c r="F11">
        <v>77</v>
      </c>
      <c r="G11">
        <v>66</v>
      </c>
      <c r="H11">
        <v>70</v>
      </c>
      <c r="I11">
        <v>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E6BB-6AE0-43AC-8798-FDFC6DE26BF4}">
  <dimension ref="A1:F211"/>
  <sheetViews>
    <sheetView zoomScale="81" workbookViewId="0">
      <selection activeCell="A204" sqref="A204"/>
    </sheetView>
  </sheetViews>
  <sheetFormatPr defaultRowHeight="14.5" x14ac:dyDescent="0.35"/>
  <cols>
    <col min="1" max="1" width="27" customWidth="1"/>
    <col min="2" max="2" width="26.7265625" customWidth="1"/>
    <col min="3" max="3" width="16.90625" customWidth="1"/>
    <col min="4" max="4" width="21.26953125" customWidth="1"/>
    <col min="5" max="5" width="16.90625" customWidth="1"/>
    <col min="6" max="6" width="23.90625" customWidth="1"/>
  </cols>
  <sheetData>
    <row r="1" spans="1:6" x14ac:dyDescent="0.35">
      <c r="A1" s="7" t="s">
        <v>82</v>
      </c>
      <c r="B1" s="7" t="s">
        <v>1</v>
      </c>
      <c r="C1" s="7" t="s">
        <v>120</v>
      </c>
      <c r="D1" s="7" t="s">
        <v>121</v>
      </c>
      <c r="E1" s="7" t="s">
        <v>116</v>
      </c>
      <c r="F1" s="7" t="s">
        <v>124</v>
      </c>
    </row>
    <row r="2" spans="1:6" x14ac:dyDescent="0.35">
      <c r="A2" t="s">
        <v>89</v>
      </c>
      <c r="B2" s="7" t="s">
        <v>0</v>
      </c>
      <c r="C2">
        <f>IFERROR(AVERAGEIFS(Responses!$E:$E,Responses!$A:$A,$A2,Responses!$D:$D,$B2),"")</f>
        <v>4.25</v>
      </c>
      <c r="D2">
        <f>IFERROR(AVERAGEIFS(Responses!$F:$F,Responses!$A:$A,$A2,Responses!$D:$D,$B2),"")</f>
        <v>85</v>
      </c>
      <c r="E2">
        <f>IFERROR(SUMIFS(Responses!$G:$G,Responses!$A:$A,$A2,Responses!$D:$D,$B2)/COUNTIFS(Responses!$A:$A,$A2,Responses!$D:$D,$B2),0)*100</f>
        <v>75</v>
      </c>
      <c r="F2">
        <f>COUNTIFS(Responses!$A:$A,$A2,Responses!$D:$D,$B2)</f>
        <v>4</v>
      </c>
    </row>
    <row r="3" spans="1:6" x14ac:dyDescent="0.35">
      <c r="A3" t="s">
        <v>89</v>
      </c>
      <c r="B3" s="7" t="s">
        <v>117</v>
      </c>
      <c r="C3">
        <f>IFERROR(AVERAGEIFS(Responses!$E:$E,Responses!$A:$A,$A3,Responses!$D:$D,$B3),"")</f>
        <v>5</v>
      </c>
      <c r="D3">
        <f>IFERROR(AVERAGEIFS(Responses!$F:$F,Responses!$A:$A,$A3,Responses!$D:$D,$B3),"")</f>
        <v>100</v>
      </c>
      <c r="E3">
        <f>IFERROR(SUMIFS(Responses!$G:$G,Responses!$A:$A,$A3,Responses!$D:$D,$B3)/COUNTIFS(Responses!$A:$A,$A3,Responses!$D:$D,$B3),0)*100</f>
        <v>100</v>
      </c>
      <c r="F3">
        <f>COUNTIFS(Responses!$A:$A,$A3,Responses!$D:$D,$B3)</f>
        <v>4</v>
      </c>
    </row>
    <row r="4" spans="1:6" x14ac:dyDescent="0.35">
      <c r="A4" t="s">
        <v>89</v>
      </c>
      <c r="B4" s="7" t="s">
        <v>3</v>
      </c>
      <c r="C4">
        <f>IFERROR(AVERAGEIFS(Responses!$E:$E,Responses!$A:$A,$A4,Responses!$D:$D,$B4),"")</f>
        <v>5</v>
      </c>
      <c r="D4">
        <f>IFERROR(AVERAGEIFS(Responses!$F:$F,Responses!$A:$A,$A4,Responses!$D:$D,$B4),"")</f>
        <v>100</v>
      </c>
      <c r="E4">
        <f>IFERROR(SUMIFS(Responses!$G:$G,Responses!$A:$A,$A4,Responses!$D:$D,$B4)/COUNTIFS(Responses!$A:$A,$A4,Responses!$D:$D,$B4),0)*100</f>
        <v>100</v>
      </c>
      <c r="F4">
        <f>COUNTIFS(Responses!$A:$A,$A4,Responses!$D:$D,$B4)</f>
        <v>4</v>
      </c>
    </row>
    <row r="5" spans="1:6" x14ac:dyDescent="0.35">
      <c r="A5" t="s">
        <v>89</v>
      </c>
      <c r="B5" s="7" t="s">
        <v>5</v>
      </c>
      <c r="C5">
        <f>IFERROR(AVERAGEIFS(Responses!$E:$E,Responses!$A:$A,$A5,Responses!$D:$D,$B5),"")</f>
        <v>5</v>
      </c>
      <c r="D5">
        <f>IFERROR(AVERAGEIFS(Responses!$F:$F,Responses!$A:$A,$A5,Responses!$D:$D,$B5),"")</f>
        <v>100</v>
      </c>
      <c r="E5">
        <f>IFERROR(SUMIFS(Responses!$G:$G,Responses!$A:$A,$A5,Responses!$D:$D,$B5)/COUNTIFS(Responses!$A:$A,$A5,Responses!$D:$D,$B5),0)*100</f>
        <v>100</v>
      </c>
      <c r="F5">
        <f>COUNTIFS(Responses!$A:$A,$A5,Responses!$D:$D,$B5)</f>
        <v>4</v>
      </c>
    </row>
    <row r="6" spans="1:6" x14ac:dyDescent="0.35">
      <c r="A6" t="s">
        <v>89</v>
      </c>
      <c r="B6" s="7" t="s">
        <v>7</v>
      </c>
      <c r="C6">
        <f>IFERROR(AVERAGEIFS(Responses!$E:$E,Responses!$A:$A,$A6,Responses!$D:$D,$B6),"")</f>
        <v>5</v>
      </c>
      <c r="D6">
        <f>IFERROR(AVERAGEIFS(Responses!$F:$F,Responses!$A:$A,$A6,Responses!$D:$D,$B6),"")</f>
        <v>100</v>
      </c>
      <c r="E6">
        <f>IFERROR(SUMIFS(Responses!$G:$G,Responses!$A:$A,$A6,Responses!$D:$D,$B6)/COUNTIFS(Responses!$A:$A,$A6,Responses!$D:$D,$B6),0)*100</f>
        <v>100</v>
      </c>
      <c r="F6">
        <f>COUNTIFS(Responses!$A:$A,$A6,Responses!$D:$D,$B6)</f>
        <v>4</v>
      </c>
    </row>
    <row r="7" spans="1:6" x14ac:dyDescent="0.35">
      <c r="A7" t="s">
        <v>89</v>
      </c>
      <c r="B7" s="7" t="s">
        <v>8</v>
      </c>
      <c r="C7">
        <f>IFERROR(AVERAGEIFS(Responses!$E:$E,Responses!$A:$A,$A7,Responses!$D:$D,$B7),"")</f>
        <v>5</v>
      </c>
      <c r="D7">
        <f>IFERROR(AVERAGEIFS(Responses!$F:$F,Responses!$A:$A,$A7,Responses!$D:$D,$B7),"")</f>
        <v>100</v>
      </c>
      <c r="E7">
        <f>IFERROR(SUMIFS(Responses!$G:$G,Responses!$A:$A,$A7,Responses!$D:$D,$B7)/COUNTIFS(Responses!$A:$A,$A7,Responses!$D:$D,$B7),0)*100</f>
        <v>100</v>
      </c>
      <c r="F7">
        <f>COUNTIFS(Responses!$A:$A,$A7,Responses!$D:$D,$B7)</f>
        <v>4</v>
      </c>
    </row>
    <row r="8" spans="1:6" x14ac:dyDescent="0.35">
      <c r="A8" t="s">
        <v>89</v>
      </c>
      <c r="B8" s="7" t="s">
        <v>9</v>
      </c>
      <c r="C8">
        <f>IFERROR(AVERAGEIFS(Responses!$E:$E,Responses!$A:$A,$A8,Responses!$D:$D,$B8),"")</f>
        <v>5</v>
      </c>
      <c r="D8">
        <f>IFERROR(AVERAGEIFS(Responses!$F:$F,Responses!$A:$A,$A8,Responses!$D:$D,$B8),"")</f>
        <v>100</v>
      </c>
      <c r="E8">
        <f>IFERROR(SUMIFS(Responses!$G:$G,Responses!$A:$A,$A8,Responses!$D:$D,$B8)/COUNTIFS(Responses!$A:$A,$A8,Responses!$D:$D,$B8),0)*100</f>
        <v>100</v>
      </c>
      <c r="F8">
        <f>COUNTIFS(Responses!$A:$A,$A8,Responses!$D:$D,$B8)</f>
        <v>4</v>
      </c>
    </row>
    <row r="9" spans="1:6" x14ac:dyDescent="0.35">
      <c r="A9" t="s">
        <v>89</v>
      </c>
      <c r="B9" s="7" t="s">
        <v>10</v>
      </c>
      <c r="C9">
        <f>IFERROR(AVERAGEIFS(Responses!$E:$E,Responses!$A:$A,$A9,Responses!$D:$D,$B9),"")</f>
        <v>5</v>
      </c>
      <c r="D9">
        <f>IFERROR(AVERAGEIFS(Responses!$F:$F,Responses!$A:$A,$A9,Responses!$D:$D,$B9),"")</f>
        <v>100</v>
      </c>
      <c r="E9">
        <f>IFERROR(SUMIFS(Responses!$G:$G,Responses!$A:$A,$A9,Responses!$D:$D,$B9)/COUNTIFS(Responses!$A:$A,$A9,Responses!$D:$D,$B9),0)*100</f>
        <v>100</v>
      </c>
      <c r="F9">
        <f>COUNTIFS(Responses!$A:$A,$A9,Responses!$D:$D,$B9)</f>
        <v>4</v>
      </c>
    </row>
    <row r="10" spans="1:6" hidden="1" x14ac:dyDescent="0.35">
      <c r="A10" t="s">
        <v>90</v>
      </c>
      <c r="B10" s="7" t="s">
        <v>0</v>
      </c>
      <c r="C10">
        <f>IFERROR(AVERAGEIFS(Responses!$E:$E,Responses!$A:$A,$A10,Responses!$D:$D,$B10),"")</f>
        <v>5</v>
      </c>
      <c r="D10">
        <f>IFERROR(AVERAGEIFS(Responses!$F:$F,Responses!$A:$A,$A10,Responses!$D:$D,$B10),"")</f>
        <v>100</v>
      </c>
      <c r="E10">
        <f>IFERROR(SUMIFS(Responses!$G:$G,Responses!$A:$A,$A10,Responses!$D:$D,$B10)/COUNTIFS(Responses!$A:$A,$A10,Responses!$D:$D,$B10),0)*100</f>
        <v>100</v>
      </c>
      <c r="F10">
        <f>COUNTIFS(Responses!$A:$A,$A10,Responses!$D:$D,$B10)</f>
        <v>4</v>
      </c>
    </row>
    <row r="11" spans="1:6" hidden="1" x14ac:dyDescent="0.35">
      <c r="A11" t="s">
        <v>90</v>
      </c>
      <c r="B11" s="7" t="s">
        <v>117</v>
      </c>
      <c r="C11">
        <f>IFERROR(AVERAGEIFS(Responses!$E:$E,Responses!$A:$A,$A11,Responses!$D:$D,$B11),"")</f>
        <v>5</v>
      </c>
      <c r="D11">
        <f>IFERROR(AVERAGEIFS(Responses!$F:$F,Responses!$A:$A,$A11,Responses!$D:$D,$B11),"")</f>
        <v>100</v>
      </c>
      <c r="E11">
        <f>IFERROR(SUMIFS(Responses!$G:$G,Responses!$A:$A,$A11,Responses!$D:$D,$B11)/COUNTIFS(Responses!$A:$A,$A11,Responses!$D:$D,$B11),0)*100</f>
        <v>100</v>
      </c>
      <c r="F11">
        <f>COUNTIFS(Responses!$A:$A,$A11,Responses!$D:$D,$B11)</f>
        <v>4</v>
      </c>
    </row>
    <row r="12" spans="1:6" hidden="1" x14ac:dyDescent="0.35">
      <c r="A12" t="s">
        <v>90</v>
      </c>
      <c r="B12" s="7" t="s">
        <v>3</v>
      </c>
      <c r="C12">
        <f>IFERROR(AVERAGEIFS(Responses!$E:$E,Responses!$A:$A,$A12,Responses!$D:$D,$B12),"")</f>
        <v>5</v>
      </c>
      <c r="D12">
        <f>IFERROR(AVERAGEIFS(Responses!$F:$F,Responses!$A:$A,$A12,Responses!$D:$D,$B12),"")</f>
        <v>100</v>
      </c>
      <c r="E12">
        <f>IFERROR(SUMIFS(Responses!$G:$G,Responses!$A:$A,$A12,Responses!$D:$D,$B12)/COUNTIFS(Responses!$A:$A,$A12,Responses!$D:$D,$B12),0)*100</f>
        <v>100</v>
      </c>
      <c r="F12">
        <f>COUNTIFS(Responses!$A:$A,$A12,Responses!$D:$D,$B12)</f>
        <v>4</v>
      </c>
    </row>
    <row r="13" spans="1:6" hidden="1" x14ac:dyDescent="0.35">
      <c r="A13" t="s">
        <v>90</v>
      </c>
      <c r="B13" s="7" t="s">
        <v>5</v>
      </c>
      <c r="C13">
        <f>IFERROR(AVERAGEIFS(Responses!$E:$E,Responses!$A:$A,$A13,Responses!$D:$D,$B13),"")</f>
        <v>5</v>
      </c>
      <c r="D13">
        <f>IFERROR(AVERAGEIFS(Responses!$F:$F,Responses!$A:$A,$A13,Responses!$D:$D,$B13),"")</f>
        <v>100</v>
      </c>
      <c r="E13">
        <f>IFERROR(SUMIFS(Responses!$G:$G,Responses!$A:$A,$A13,Responses!$D:$D,$B13)/COUNTIFS(Responses!$A:$A,$A13,Responses!$D:$D,$B13),0)*100</f>
        <v>100</v>
      </c>
      <c r="F13">
        <f>COUNTIFS(Responses!$A:$A,$A13,Responses!$D:$D,$B13)</f>
        <v>4</v>
      </c>
    </row>
    <row r="14" spans="1:6" hidden="1" x14ac:dyDescent="0.35">
      <c r="A14" t="s">
        <v>90</v>
      </c>
      <c r="B14" s="7" t="s">
        <v>7</v>
      </c>
      <c r="C14">
        <f>IFERROR(AVERAGEIFS(Responses!$E:$E,Responses!$A:$A,$A14,Responses!$D:$D,$B14),"")</f>
        <v>5</v>
      </c>
      <c r="D14">
        <f>IFERROR(AVERAGEIFS(Responses!$F:$F,Responses!$A:$A,$A14,Responses!$D:$D,$B14),"")</f>
        <v>100</v>
      </c>
      <c r="E14">
        <f>IFERROR(SUMIFS(Responses!$G:$G,Responses!$A:$A,$A14,Responses!$D:$D,$B14)/COUNTIFS(Responses!$A:$A,$A14,Responses!$D:$D,$B14),0)*100</f>
        <v>100</v>
      </c>
      <c r="F14">
        <f>COUNTIFS(Responses!$A:$A,$A14,Responses!$D:$D,$B14)</f>
        <v>4</v>
      </c>
    </row>
    <row r="15" spans="1:6" hidden="1" x14ac:dyDescent="0.35">
      <c r="A15" t="s">
        <v>90</v>
      </c>
      <c r="B15" s="7" t="s">
        <v>8</v>
      </c>
      <c r="C15">
        <f>IFERROR(AVERAGEIFS(Responses!$E:$E,Responses!$A:$A,$A15,Responses!$D:$D,$B15),"")</f>
        <v>5</v>
      </c>
      <c r="D15">
        <f>IFERROR(AVERAGEIFS(Responses!$F:$F,Responses!$A:$A,$A15,Responses!$D:$D,$B15),"")</f>
        <v>100</v>
      </c>
      <c r="E15">
        <f>IFERROR(SUMIFS(Responses!$G:$G,Responses!$A:$A,$A15,Responses!$D:$D,$B15)/COUNTIFS(Responses!$A:$A,$A15,Responses!$D:$D,$B15),0)*100</f>
        <v>100</v>
      </c>
      <c r="F15">
        <f>COUNTIFS(Responses!$A:$A,$A15,Responses!$D:$D,$B15)</f>
        <v>4</v>
      </c>
    </row>
    <row r="16" spans="1:6" hidden="1" x14ac:dyDescent="0.35">
      <c r="A16" t="s">
        <v>90</v>
      </c>
      <c r="B16" s="7" t="s">
        <v>9</v>
      </c>
      <c r="C16">
        <f>IFERROR(AVERAGEIFS(Responses!$E:$E,Responses!$A:$A,$A16,Responses!$D:$D,$B16),"")</f>
        <v>3</v>
      </c>
      <c r="D16">
        <f>IFERROR(AVERAGEIFS(Responses!$F:$F,Responses!$A:$A,$A16,Responses!$D:$D,$B16),"")</f>
        <v>60</v>
      </c>
      <c r="E16">
        <f>IFERROR(SUMIFS(Responses!$G:$G,Responses!$A:$A,$A16,Responses!$D:$D,$B16)/COUNTIFS(Responses!$A:$A,$A16,Responses!$D:$D,$B16),0)*100</f>
        <v>0</v>
      </c>
      <c r="F16">
        <f>COUNTIFS(Responses!$A:$A,$A16,Responses!$D:$D,$B16)</f>
        <v>4</v>
      </c>
    </row>
    <row r="17" spans="1:6" hidden="1" x14ac:dyDescent="0.35">
      <c r="A17" t="s">
        <v>90</v>
      </c>
      <c r="B17" s="7" t="s">
        <v>10</v>
      </c>
      <c r="C17">
        <f>IFERROR(AVERAGEIFS(Responses!$E:$E,Responses!$A:$A,$A17,Responses!$D:$D,$B17),"")</f>
        <v>3</v>
      </c>
      <c r="D17">
        <f>IFERROR(AVERAGEIFS(Responses!$F:$F,Responses!$A:$A,$A17,Responses!$D:$D,$B17),"")</f>
        <v>60</v>
      </c>
      <c r="E17">
        <f>IFERROR(SUMIFS(Responses!$G:$G,Responses!$A:$A,$A17,Responses!$D:$D,$B17)/COUNTIFS(Responses!$A:$A,$A17,Responses!$D:$D,$B17),0)*100</f>
        <v>0</v>
      </c>
      <c r="F17">
        <f>COUNTIFS(Responses!$A:$A,$A17,Responses!$D:$D,$B17)</f>
        <v>4</v>
      </c>
    </row>
    <row r="18" spans="1:6" hidden="1" x14ac:dyDescent="0.35">
      <c r="A18" t="s">
        <v>91</v>
      </c>
      <c r="B18" s="7" t="s">
        <v>0</v>
      </c>
      <c r="C18">
        <f>IFERROR(AVERAGEIFS(Responses!$E:$E,Responses!$A:$A,$A18,Responses!$D:$D,$B18),"")</f>
        <v>3</v>
      </c>
      <c r="D18">
        <f>IFERROR(AVERAGEIFS(Responses!$F:$F,Responses!$A:$A,$A18,Responses!$D:$D,$B18),"")</f>
        <v>60</v>
      </c>
      <c r="E18">
        <f>IFERROR(SUMIFS(Responses!$G:$G,Responses!$A:$A,$A18,Responses!$D:$D,$B18)/COUNTIFS(Responses!$A:$A,$A18,Responses!$D:$D,$B18),0)*100</f>
        <v>0</v>
      </c>
      <c r="F18">
        <f>COUNTIFS(Responses!$A:$A,$A18,Responses!$D:$D,$B18)</f>
        <v>4</v>
      </c>
    </row>
    <row r="19" spans="1:6" hidden="1" x14ac:dyDescent="0.35">
      <c r="A19" t="s">
        <v>91</v>
      </c>
      <c r="B19" s="7" t="s">
        <v>117</v>
      </c>
      <c r="C19">
        <f>IFERROR(AVERAGEIFS(Responses!$E:$E,Responses!$A:$A,$A19,Responses!$D:$D,$B19),"")</f>
        <v>3</v>
      </c>
      <c r="D19">
        <f>IFERROR(AVERAGEIFS(Responses!$F:$F,Responses!$A:$A,$A19,Responses!$D:$D,$B19),"")</f>
        <v>60</v>
      </c>
      <c r="E19">
        <f>IFERROR(SUMIFS(Responses!$G:$G,Responses!$A:$A,$A19,Responses!$D:$D,$B19)/COUNTIFS(Responses!$A:$A,$A19,Responses!$D:$D,$B19),0)*100</f>
        <v>0</v>
      </c>
      <c r="F19">
        <f>COUNTIFS(Responses!$A:$A,$A19,Responses!$D:$D,$B19)</f>
        <v>4</v>
      </c>
    </row>
    <row r="20" spans="1:6" hidden="1" x14ac:dyDescent="0.35">
      <c r="A20" t="s">
        <v>91</v>
      </c>
      <c r="B20" s="7" t="s">
        <v>3</v>
      </c>
      <c r="C20">
        <f>IFERROR(AVERAGEIFS(Responses!$E:$E,Responses!$A:$A,$A20,Responses!$D:$D,$B20),"")</f>
        <v>3</v>
      </c>
      <c r="D20">
        <f>IFERROR(AVERAGEIFS(Responses!$F:$F,Responses!$A:$A,$A20,Responses!$D:$D,$B20),"")</f>
        <v>60</v>
      </c>
      <c r="E20">
        <f>IFERROR(SUMIFS(Responses!$G:$G,Responses!$A:$A,$A20,Responses!$D:$D,$B20)/COUNTIFS(Responses!$A:$A,$A20,Responses!$D:$D,$B20),0)*100</f>
        <v>0</v>
      </c>
      <c r="F20">
        <f>COUNTIFS(Responses!$A:$A,$A20,Responses!$D:$D,$B20)</f>
        <v>4</v>
      </c>
    </row>
    <row r="21" spans="1:6" hidden="1" x14ac:dyDescent="0.35">
      <c r="A21" t="s">
        <v>91</v>
      </c>
      <c r="B21" s="7" t="s">
        <v>5</v>
      </c>
      <c r="C21">
        <f>IFERROR(AVERAGEIFS(Responses!$E:$E,Responses!$A:$A,$A21,Responses!$D:$D,$B21),"")</f>
        <v>3</v>
      </c>
      <c r="D21">
        <f>IFERROR(AVERAGEIFS(Responses!$F:$F,Responses!$A:$A,$A21,Responses!$D:$D,$B21),"")</f>
        <v>60</v>
      </c>
      <c r="E21">
        <f>IFERROR(SUMIFS(Responses!$G:$G,Responses!$A:$A,$A21,Responses!$D:$D,$B21)/COUNTIFS(Responses!$A:$A,$A21,Responses!$D:$D,$B21),0)*100</f>
        <v>0</v>
      </c>
      <c r="F21">
        <f>COUNTIFS(Responses!$A:$A,$A21,Responses!$D:$D,$B21)</f>
        <v>4</v>
      </c>
    </row>
    <row r="22" spans="1:6" hidden="1" x14ac:dyDescent="0.35">
      <c r="A22" t="s">
        <v>91</v>
      </c>
      <c r="B22" s="7" t="s">
        <v>7</v>
      </c>
      <c r="C22">
        <f>IFERROR(AVERAGEIFS(Responses!$E:$E,Responses!$A:$A,$A22,Responses!$D:$D,$B22),"")</f>
        <v>3</v>
      </c>
      <c r="D22">
        <f>IFERROR(AVERAGEIFS(Responses!$F:$F,Responses!$A:$A,$A22,Responses!$D:$D,$B22),"")</f>
        <v>60</v>
      </c>
      <c r="E22">
        <f>IFERROR(SUMIFS(Responses!$G:$G,Responses!$A:$A,$A22,Responses!$D:$D,$B22)/COUNTIFS(Responses!$A:$A,$A22,Responses!$D:$D,$B22),0)*100</f>
        <v>0</v>
      </c>
      <c r="F22">
        <f>COUNTIFS(Responses!$A:$A,$A22,Responses!$D:$D,$B22)</f>
        <v>4</v>
      </c>
    </row>
    <row r="23" spans="1:6" hidden="1" x14ac:dyDescent="0.35">
      <c r="A23" t="s">
        <v>91</v>
      </c>
      <c r="B23" s="7" t="s">
        <v>8</v>
      </c>
      <c r="C23">
        <f>IFERROR(AVERAGEIFS(Responses!$E:$E,Responses!$A:$A,$A23,Responses!$D:$D,$B23),"")</f>
        <v>3</v>
      </c>
      <c r="D23">
        <f>IFERROR(AVERAGEIFS(Responses!$F:$F,Responses!$A:$A,$A23,Responses!$D:$D,$B23),"")</f>
        <v>60</v>
      </c>
      <c r="E23">
        <f>IFERROR(SUMIFS(Responses!$G:$G,Responses!$A:$A,$A23,Responses!$D:$D,$B23)/COUNTIFS(Responses!$A:$A,$A23,Responses!$D:$D,$B23),0)*100</f>
        <v>0</v>
      </c>
      <c r="F23">
        <f>COUNTIFS(Responses!$A:$A,$A23,Responses!$D:$D,$B23)</f>
        <v>4</v>
      </c>
    </row>
    <row r="24" spans="1:6" hidden="1" x14ac:dyDescent="0.35">
      <c r="A24" t="s">
        <v>91</v>
      </c>
      <c r="B24" s="7" t="s">
        <v>9</v>
      </c>
      <c r="C24">
        <f>IFERROR(AVERAGEIFS(Responses!$E:$E,Responses!$A:$A,$A24,Responses!$D:$D,$B24),"")</f>
        <v>3</v>
      </c>
      <c r="D24">
        <f>IFERROR(AVERAGEIFS(Responses!$F:$F,Responses!$A:$A,$A24,Responses!$D:$D,$B24),"")</f>
        <v>60</v>
      </c>
      <c r="E24">
        <f>IFERROR(SUMIFS(Responses!$G:$G,Responses!$A:$A,$A24,Responses!$D:$D,$B24)/COUNTIFS(Responses!$A:$A,$A24,Responses!$D:$D,$B24),0)*100</f>
        <v>0</v>
      </c>
      <c r="F24">
        <f>COUNTIFS(Responses!$A:$A,$A24,Responses!$D:$D,$B24)</f>
        <v>4</v>
      </c>
    </row>
    <row r="25" spans="1:6" hidden="1" x14ac:dyDescent="0.35">
      <c r="A25" t="s">
        <v>91</v>
      </c>
      <c r="B25" s="7" t="s">
        <v>10</v>
      </c>
      <c r="C25">
        <f>IFERROR(AVERAGEIFS(Responses!$E:$E,Responses!$A:$A,$A25,Responses!$D:$D,$B25),"")</f>
        <v>3</v>
      </c>
      <c r="D25">
        <f>IFERROR(AVERAGEIFS(Responses!$F:$F,Responses!$A:$A,$A25,Responses!$D:$D,$B25),"")</f>
        <v>60</v>
      </c>
      <c r="E25">
        <f>IFERROR(SUMIFS(Responses!$G:$G,Responses!$A:$A,$A25,Responses!$D:$D,$B25)/COUNTIFS(Responses!$A:$A,$A25,Responses!$D:$D,$B25),0)*100</f>
        <v>0</v>
      </c>
      <c r="F25">
        <f>COUNTIFS(Responses!$A:$A,$A25,Responses!$D:$D,$B25)</f>
        <v>4</v>
      </c>
    </row>
    <row r="26" spans="1:6" hidden="1" x14ac:dyDescent="0.35">
      <c r="A26" t="s">
        <v>92</v>
      </c>
      <c r="B26" s="7" t="s">
        <v>0</v>
      </c>
      <c r="C26">
        <f>IFERROR(AVERAGEIFS(Responses!$E:$E,Responses!$A:$A,$A26,Responses!$D:$D,$B26),"")</f>
        <v>3</v>
      </c>
      <c r="D26">
        <f>IFERROR(AVERAGEIFS(Responses!$F:$F,Responses!$A:$A,$A26,Responses!$D:$D,$B26),"")</f>
        <v>60</v>
      </c>
      <c r="E26">
        <f>IFERROR(SUMIFS(Responses!$G:$G,Responses!$A:$A,$A26,Responses!$D:$D,$B26)/COUNTIFS(Responses!$A:$A,$A26,Responses!$D:$D,$B26),0)*100</f>
        <v>0</v>
      </c>
      <c r="F26">
        <f>COUNTIFS(Responses!$A:$A,$A26,Responses!$D:$D,$B26)</f>
        <v>8</v>
      </c>
    </row>
    <row r="27" spans="1:6" hidden="1" x14ac:dyDescent="0.35">
      <c r="A27" t="s">
        <v>92</v>
      </c>
      <c r="B27" s="7" t="s">
        <v>117</v>
      </c>
      <c r="C27">
        <f>IFERROR(AVERAGEIFS(Responses!$E:$E,Responses!$A:$A,$A27,Responses!$D:$D,$B27),"")</f>
        <v>3</v>
      </c>
      <c r="D27">
        <f>IFERROR(AVERAGEIFS(Responses!$F:$F,Responses!$A:$A,$A27,Responses!$D:$D,$B27),"")</f>
        <v>60</v>
      </c>
      <c r="E27">
        <f>IFERROR(SUMIFS(Responses!$G:$G,Responses!$A:$A,$A27,Responses!$D:$D,$B27)/COUNTIFS(Responses!$A:$A,$A27,Responses!$D:$D,$B27),0)*100</f>
        <v>0</v>
      </c>
      <c r="F27">
        <f>COUNTIFS(Responses!$A:$A,$A27,Responses!$D:$D,$B27)</f>
        <v>8</v>
      </c>
    </row>
    <row r="28" spans="1:6" hidden="1" x14ac:dyDescent="0.35">
      <c r="A28" t="s">
        <v>92</v>
      </c>
      <c r="B28" s="7" t="s">
        <v>3</v>
      </c>
      <c r="C28">
        <f>IFERROR(AVERAGEIFS(Responses!$E:$E,Responses!$A:$A,$A28,Responses!$D:$D,$B28),"")</f>
        <v>3</v>
      </c>
      <c r="D28">
        <f>IFERROR(AVERAGEIFS(Responses!$F:$F,Responses!$A:$A,$A28,Responses!$D:$D,$B28),"")</f>
        <v>60</v>
      </c>
      <c r="E28">
        <f>IFERROR(SUMIFS(Responses!$G:$G,Responses!$A:$A,$A28,Responses!$D:$D,$B28)/COUNTIFS(Responses!$A:$A,$A28,Responses!$D:$D,$B28),0)*100</f>
        <v>0</v>
      </c>
      <c r="F28">
        <f>COUNTIFS(Responses!$A:$A,$A28,Responses!$D:$D,$B28)</f>
        <v>8</v>
      </c>
    </row>
    <row r="29" spans="1:6" hidden="1" x14ac:dyDescent="0.35">
      <c r="A29" t="s">
        <v>92</v>
      </c>
      <c r="B29" s="7" t="s">
        <v>5</v>
      </c>
      <c r="C29">
        <f>IFERROR(AVERAGEIFS(Responses!$E:$E,Responses!$A:$A,$A29,Responses!$D:$D,$B29),"")</f>
        <v>3</v>
      </c>
      <c r="D29">
        <f>IFERROR(AVERAGEIFS(Responses!$F:$F,Responses!$A:$A,$A29,Responses!$D:$D,$B29),"")</f>
        <v>60</v>
      </c>
      <c r="E29">
        <f>IFERROR(SUMIFS(Responses!$G:$G,Responses!$A:$A,$A29,Responses!$D:$D,$B29)/COUNTIFS(Responses!$A:$A,$A29,Responses!$D:$D,$B29),0)*100</f>
        <v>0</v>
      </c>
      <c r="F29">
        <f>COUNTIFS(Responses!$A:$A,$A29,Responses!$D:$D,$B29)</f>
        <v>8</v>
      </c>
    </row>
    <row r="30" spans="1:6" hidden="1" x14ac:dyDescent="0.35">
      <c r="A30" t="s">
        <v>92</v>
      </c>
      <c r="B30" s="7" t="s">
        <v>7</v>
      </c>
      <c r="C30">
        <f>IFERROR(AVERAGEIFS(Responses!$E:$E,Responses!$A:$A,$A30,Responses!$D:$D,$B30),"")</f>
        <v>3</v>
      </c>
      <c r="D30">
        <f>IFERROR(AVERAGEIFS(Responses!$F:$F,Responses!$A:$A,$A30,Responses!$D:$D,$B30),"")</f>
        <v>60</v>
      </c>
      <c r="E30">
        <f>IFERROR(SUMIFS(Responses!$G:$G,Responses!$A:$A,$A30,Responses!$D:$D,$B30)/COUNTIFS(Responses!$A:$A,$A30,Responses!$D:$D,$B30),0)*100</f>
        <v>0</v>
      </c>
      <c r="F30">
        <f>COUNTIFS(Responses!$A:$A,$A30,Responses!$D:$D,$B30)</f>
        <v>8</v>
      </c>
    </row>
    <row r="31" spans="1:6" hidden="1" x14ac:dyDescent="0.35">
      <c r="A31" t="s">
        <v>92</v>
      </c>
      <c r="B31" s="7" t="s">
        <v>8</v>
      </c>
      <c r="C31">
        <f>IFERROR(AVERAGEIFS(Responses!$E:$E,Responses!$A:$A,$A31,Responses!$D:$D,$B31),"")</f>
        <v>3</v>
      </c>
      <c r="D31">
        <f>IFERROR(AVERAGEIFS(Responses!$F:$F,Responses!$A:$A,$A31,Responses!$D:$D,$B31),"")</f>
        <v>60</v>
      </c>
      <c r="E31">
        <f>IFERROR(SUMIFS(Responses!$G:$G,Responses!$A:$A,$A31,Responses!$D:$D,$B31)/COUNTIFS(Responses!$A:$A,$A31,Responses!$D:$D,$B31),0)*100</f>
        <v>0</v>
      </c>
      <c r="F31">
        <f>COUNTIFS(Responses!$A:$A,$A31,Responses!$D:$D,$B31)</f>
        <v>8</v>
      </c>
    </row>
    <row r="32" spans="1:6" hidden="1" x14ac:dyDescent="0.35">
      <c r="A32" t="s">
        <v>92</v>
      </c>
      <c r="B32" s="7" t="s">
        <v>9</v>
      </c>
      <c r="C32">
        <f>IFERROR(AVERAGEIFS(Responses!$E:$E,Responses!$A:$A,$A32,Responses!$D:$D,$B32),"")</f>
        <v>3</v>
      </c>
      <c r="D32">
        <f>IFERROR(AVERAGEIFS(Responses!$F:$F,Responses!$A:$A,$A32,Responses!$D:$D,$B32),"")</f>
        <v>60</v>
      </c>
      <c r="E32">
        <f>IFERROR(SUMIFS(Responses!$G:$G,Responses!$A:$A,$A32,Responses!$D:$D,$B32)/COUNTIFS(Responses!$A:$A,$A32,Responses!$D:$D,$B32),0)*100</f>
        <v>0</v>
      </c>
      <c r="F32">
        <f>COUNTIFS(Responses!$A:$A,$A32,Responses!$D:$D,$B32)</f>
        <v>8</v>
      </c>
    </row>
    <row r="33" spans="1:6" hidden="1" x14ac:dyDescent="0.35">
      <c r="A33" t="s">
        <v>92</v>
      </c>
      <c r="B33" s="7" t="s">
        <v>10</v>
      </c>
      <c r="C33">
        <f>IFERROR(AVERAGEIFS(Responses!$E:$E,Responses!$A:$A,$A33,Responses!$D:$D,$B33),"")</f>
        <v>3</v>
      </c>
      <c r="D33">
        <f>IFERROR(AVERAGEIFS(Responses!$F:$F,Responses!$A:$A,$A33,Responses!$D:$D,$B33),"")</f>
        <v>60</v>
      </c>
      <c r="E33">
        <f>IFERROR(SUMIFS(Responses!$G:$G,Responses!$A:$A,$A33,Responses!$D:$D,$B33)/COUNTIFS(Responses!$A:$A,$A33,Responses!$D:$D,$B33),0)*100</f>
        <v>0</v>
      </c>
      <c r="F33">
        <f>COUNTIFS(Responses!$A:$A,$A33,Responses!$D:$D,$B33)</f>
        <v>8</v>
      </c>
    </row>
    <row r="34" spans="1:6" hidden="1" x14ac:dyDescent="0.35">
      <c r="A34" t="s">
        <v>93</v>
      </c>
      <c r="B34" s="7" t="s">
        <v>0</v>
      </c>
      <c r="C34">
        <f>IFERROR(AVERAGEIFS(Responses!$E:$E,Responses!$A:$A,$A34,Responses!$D:$D,$B34),"")</f>
        <v>3</v>
      </c>
      <c r="D34">
        <f>IFERROR(AVERAGEIFS(Responses!$F:$F,Responses!$A:$A,$A34,Responses!$D:$D,$B34),"")</f>
        <v>60</v>
      </c>
      <c r="E34">
        <f>IFERROR(SUMIFS(Responses!$G:$G,Responses!$A:$A,$A34,Responses!$D:$D,$B34)/COUNTIFS(Responses!$A:$A,$A34,Responses!$D:$D,$B34),0)*100</f>
        <v>0</v>
      </c>
      <c r="F34">
        <f>COUNTIFS(Responses!$A:$A,$A34,Responses!$D:$D,$B34)</f>
        <v>4</v>
      </c>
    </row>
    <row r="35" spans="1:6" hidden="1" x14ac:dyDescent="0.35">
      <c r="A35" t="s">
        <v>93</v>
      </c>
      <c r="B35" s="7" t="s">
        <v>117</v>
      </c>
      <c r="C35">
        <f>IFERROR(AVERAGEIFS(Responses!$E:$E,Responses!$A:$A,$A35,Responses!$D:$D,$B35),"")</f>
        <v>3</v>
      </c>
      <c r="D35">
        <f>IFERROR(AVERAGEIFS(Responses!$F:$F,Responses!$A:$A,$A35,Responses!$D:$D,$B35),"")</f>
        <v>60</v>
      </c>
      <c r="E35">
        <f>IFERROR(SUMIFS(Responses!$G:$G,Responses!$A:$A,$A35,Responses!$D:$D,$B35)/COUNTIFS(Responses!$A:$A,$A35,Responses!$D:$D,$B35),0)*100</f>
        <v>0</v>
      </c>
      <c r="F35">
        <f>COUNTIFS(Responses!$A:$A,$A35,Responses!$D:$D,$B35)</f>
        <v>4</v>
      </c>
    </row>
    <row r="36" spans="1:6" hidden="1" x14ac:dyDescent="0.35">
      <c r="A36" t="s">
        <v>93</v>
      </c>
      <c r="B36" s="7" t="s">
        <v>3</v>
      </c>
      <c r="C36">
        <f>IFERROR(AVERAGEIFS(Responses!$E:$E,Responses!$A:$A,$A36,Responses!$D:$D,$B36),"")</f>
        <v>3</v>
      </c>
      <c r="D36">
        <f>IFERROR(AVERAGEIFS(Responses!$F:$F,Responses!$A:$A,$A36,Responses!$D:$D,$B36),"")</f>
        <v>60</v>
      </c>
      <c r="E36">
        <f>IFERROR(SUMIFS(Responses!$G:$G,Responses!$A:$A,$A36,Responses!$D:$D,$B36)/COUNTIFS(Responses!$A:$A,$A36,Responses!$D:$D,$B36),0)*100</f>
        <v>0</v>
      </c>
      <c r="F36">
        <f>COUNTIFS(Responses!$A:$A,$A36,Responses!$D:$D,$B36)</f>
        <v>4</v>
      </c>
    </row>
    <row r="37" spans="1:6" hidden="1" x14ac:dyDescent="0.35">
      <c r="A37" t="s">
        <v>93</v>
      </c>
      <c r="B37" s="7" t="s">
        <v>5</v>
      </c>
      <c r="C37">
        <f>IFERROR(AVERAGEIFS(Responses!$E:$E,Responses!$A:$A,$A37,Responses!$D:$D,$B37),"")</f>
        <v>3</v>
      </c>
      <c r="D37">
        <f>IFERROR(AVERAGEIFS(Responses!$F:$F,Responses!$A:$A,$A37,Responses!$D:$D,$B37),"")</f>
        <v>60</v>
      </c>
      <c r="E37">
        <f>IFERROR(SUMIFS(Responses!$G:$G,Responses!$A:$A,$A37,Responses!$D:$D,$B37)/COUNTIFS(Responses!$A:$A,$A37,Responses!$D:$D,$B37),0)*100</f>
        <v>0</v>
      </c>
      <c r="F37">
        <f>COUNTIFS(Responses!$A:$A,$A37,Responses!$D:$D,$B37)</f>
        <v>4</v>
      </c>
    </row>
    <row r="38" spans="1:6" hidden="1" x14ac:dyDescent="0.35">
      <c r="A38" t="s">
        <v>93</v>
      </c>
      <c r="B38" s="7" t="s">
        <v>7</v>
      </c>
      <c r="C38">
        <f>IFERROR(AVERAGEIFS(Responses!$E:$E,Responses!$A:$A,$A38,Responses!$D:$D,$B38),"")</f>
        <v>3.25</v>
      </c>
      <c r="D38">
        <f>IFERROR(AVERAGEIFS(Responses!$F:$F,Responses!$A:$A,$A38,Responses!$D:$D,$B38),"")</f>
        <v>65</v>
      </c>
      <c r="E38">
        <f>IFERROR(SUMIFS(Responses!$G:$G,Responses!$A:$A,$A38,Responses!$D:$D,$B38)/COUNTIFS(Responses!$A:$A,$A38,Responses!$D:$D,$B38),0)*100</f>
        <v>25</v>
      </c>
      <c r="F38">
        <f>COUNTIFS(Responses!$A:$A,$A38,Responses!$D:$D,$B38)</f>
        <v>4</v>
      </c>
    </row>
    <row r="39" spans="1:6" hidden="1" x14ac:dyDescent="0.35">
      <c r="A39" t="s">
        <v>93</v>
      </c>
      <c r="B39" s="7" t="s">
        <v>8</v>
      </c>
      <c r="C39">
        <f>IFERROR(AVERAGEIFS(Responses!$E:$E,Responses!$A:$A,$A39,Responses!$D:$D,$B39),"")</f>
        <v>4</v>
      </c>
      <c r="D39">
        <f>IFERROR(AVERAGEIFS(Responses!$F:$F,Responses!$A:$A,$A39,Responses!$D:$D,$B39),"")</f>
        <v>80</v>
      </c>
      <c r="E39">
        <f>IFERROR(SUMIFS(Responses!$G:$G,Responses!$A:$A,$A39,Responses!$D:$D,$B39)/COUNTIFS(Responses!$A:$A,$A39,Responses!$D:$D,$B39),0)*100</f>
        <v>100</v>
      </c>
      <c r="F39">
        <f>COUNTIFS(Responses!$A:$A,$A39,Responses!$D:$D,$B39)</f>
        <v>4</v>
      </c>
    </row>
    <row r="40" spans="1:6" hidden="1" x14ac:dyDescent="0.35">
      <c r="A40" t="s">
        <v>93</v>
      </c>
      <c r="B40" s="7" t="s">
        <v>9</v>
      </c>
      <c r="C40">
        <f>IFERROR(AVERAGEIFS(Responses!$E:$E,Responses!$A:$A,$A40,Responses!$D:$D,$B40),"")</f>
        <v>4</v>
      </c>
      <c r="D40">
        <f>IFERROR(AVERAGEIFS(Responses!$F:$F,Responses!$A:$A,$A40,Responses!$D:$D,$B40),"")</f>
        <v>80</v>
      </c>
      <c r="E40">
        <f>IFERROR(SUMIFS(Responses!$G:$G,Responses!$A:$A,$A40,Responses!$D:$D,$B40)/COUNTIFS(Responses!$A:$A,$A40,Responses!$D:$D,$B40),0)*100</f>
        <v>100</v>
      </c>
      <c r="F40">
        <f>COUNTIFS(Responses!$A:$A,$A40,Responses!$D:$D,$B40)</f>
        <v>4</v>
      </c>
    </row>
    <row r="41" spans="1:6" hidden="1" x14ac:dyDescent="0.35">
      <c r="A41" t="s">
        <v>93</v>
      </c>
      <c r="B41" s="7" t="s">
        <v>10</v>
      </c>
      <c r="C41">
        <f>IFERROR(AVERAGEIFS(Responses!$E:$E,Responses!$A:$A,$A41,Responses!$D:$D,$B41),"")</f>
        <v>4</v>
      </c>
      <c r="D41">
        <f>IFERROR(AVERAGEIFS(Responses!$F:$F,Responses!$A:$A,$A41,Responses!$D:$D,$B41),"")</f>
        <v>80</v>
      </c>
      <c r="E41">
        <f>IFERROR(SUMIFS(Responses!$G:$G,Responses!$A:$A,$A41,Responses!$D:$D,$B41)/COUNTIFS(Responses!$A:$A,$A41,Responses!$D:$D,$B41),0)*100</f>
        <v>100</v>
      </c>
      <c r="F41">
        <f>COUNTIFS(Responses!$A:$A,$A41,Responses!$D:$D,$B41)</f>
        <v>4</v>
      </c>
    </row>
    <row r="42" spans="1:6" hidden="1" x14ac:dyDescent="0.35">
      <c r="A42" t="s">
        <v>94</v>
      </c>
      <c r="B42" s="7" t="s">
        <v>0</v>
      </c>
      <c r="C42">
        <f>IFERROR(AVERAGEIFS(Responses!$E:$E,Responses!$A:$A,$A42,Responses!$D:$D,$B42),"")</f>
        <v>4</v>
      </c>
      <c r="D42">
        <f>IFERROR(AVERAGEIFS(Responses!$F:$F,Responses!$A:$A,$A42,Responses!$D:$D,$B42),"")</f>
        <v>80</v>
      </c>
      <c r="E42">
        <f>IFERROR(SUMIFS(Responses!$G:$G,Responses!$A:$A,$A42,Responses!$D:$D,$B42)/COUNTIFS(Responses!$A:$A,$A42,Responses!$D:$D,$B42),0)*100</f>
        <v>100</v>
      </c>
      <c r="F42">
        <f>COUNTIFS(Responses!$A:$A,$A42,Responses!$D:$D,$B42)</f>
        <v>4</v>
      </c>
    </row>
    <row r="43" spans="1:6" hidden="1" x14ac:dyDescent="0.35">
      <c r="A43" t="s">
        <v>94</v>
      </c>
      <c r="B43" s="7" t="s">
        <v>117</v>
      </c>
      <c r="C43">
        <f>IFERROR(AVERAGEIFS(Responses!$E:$E,Responses!$A:$A,$A43,Responses!$D:$D,$B43),"")</f>
        <v>4</v>
      </c>
      <c r="D43">
        <f>IFERROR(AVERAGEIFS(Responses!$F:$F,Responses!$A:$A,$A43,Responses!$D:$D,$B43),"")</f>
        <v>80</v>
      </c>
      <c r="E43">
        <f>IFERROR(SUMIFS(Responses!$G:$G,Responses!$A:$A,$A43,Responses!$D:$D,$B43)/COUNTIFS(Responses!$A:$A,$A43,Responses!$D:$D,$B43),0)*100</f>
        <v>100</v>
      </c>
      <c r="F43">
        <f>COUNTIFS(Responses!$A:$A,$A43,Responses!$D:$D,$B43)</f>
        <v>4</v>
      </c>
    </row>
    <row r="44" spans="1:6" hidden="1" x14ac:dyDescent="0.35">
      <c r="A44" t="s">
        <v>94</v>
      </c>
      <c r="B44" s="7" t="s">
        <v>3</v>
      </c>
      <c r="C44">
        <f>IFERROR(AVERAGEIFS(Responses!$E:$E,Responses!$A:$A,$A44,Responses!$D:$D,$B44),"")</f>
        <v>3.25</v>
      </c>
      <c r="D44">
        <f>IFERROR(AVERAGEIFS(Responses!$F:$F,Responses!$A:$A,$A44,Responses!$D:$D,$B44),"")</f>
        <v>65</v>
      </c>
      <c r="E44">
        <f>IFERROR(SUMIFS(Responses!$G:$G,Responses!$A:$A,$A44,Responses!$D:$D,$B44)/COUNTIFS(Responses!$A:$A,$A44,Responses!$D:$D,$B44),0)*100</f>
        <v>25</v>
      </c>
      <c r="F44">
        <f>COUNTIFS(Responses!$A:$A,$A44,Responses!$D:$D,$B44)</f>
        <v>4</v>
      </c>
    </row>
    <row r="45" spans="1:6" hidden="1" x14ac:dyDescent="0.35">
      <c r="A45" t="s">
        <v>94</v>
      </c>
      <c r="B45" s="7" t="s">
        <v>5</v>
      </c>
      <c r="C45">
        <f>IFERROR(AVERAGEIFS(Responses!$E:$E,Responses!$A:$A,$A45,Responses!$D:$D,$B45),"")</f>
        <v>3</v>
      </c>
      <c r="D45">
        <f>IFERROR(AVERAGEIFS(Responses!$F:$F,Responses!$A:$A,$A45,Responses!$D:$D,$B45),"")</f>
        <v>60</v>
      </c>
      <c r="E45">
        <f>IFERROR(SUMIFS(Responses!$G:$G,Responses!$A:$A,$A45,Responses!$D:$D,$B45)/COUNTIFS(Responses!$A:$A,$A45,Responses!$D:$D,$B45),0)*100</f>
        <v>0</v>
      </c>
      <c r="F45">
        <f>COUNTIFS(Responses!$A:$A,$A45,Responses!$D:$D,$B45)</f>
        <v>4</v>
      </c>
    </row>
    <row r="46" spans="1:6" hidden="1" x14ac:dyDescent="0.35">
      <c r="A46" t="s">
        <v>94</v>
      </c>
      <c r="B46" s="7" t="s">
        <v>7</v>
      </c>
      <c r="C46">
        <f>IFERROR(AVERAGEIFS(Responses!$E:$E,Responses!$A:$A,$A46,Responses!$D:$D,$B46),"")</f>
        <v>3</v>
      </c>
      <c r="D46">
        <f>IFERROR(AVERAGEIFS(Responses!$F:$F,Responses!$A:$A,$A46,Responses!$D:$D,$B46),"")</f>
        <v>60</v>
      </c>
      <c r="E46">
        <f>IFERROR(SUMIFS(Responses!$G:$G,Responses!$A:$A,$A46,Responses!$D:$D,$B46)/COUNTIFS(Responses!$A:$A,$A46,Responses!$D:$D,$B46),0)*100</f>
        <v>0</v>
      </c>
      <c r="F46">
        <f>COUNTIFS(Responses!$A:$A,$A46,Responses!$D:$D,$B46)</f>
        <v>4</v>
      </c>
    </row>
    <row r="47" spans="1:6" hidden="1" x14ac:dyDescent="0.35">
      <c r="A47" t="s">
        <v>94</v>
      </c>
      <c r="B47" s="7" t="s">
        <v>8</v>
      </c>
      <c r="C47">
        <f>IFERROR(AVERAGEIFS(Responses!$E:$E,Responses!$A:$A,$A47,Responses!$D:$D,$B47),"")</f>
        <v>3</v>
      </c>
      <c r="D47">
        <f>IFERROR(AVERAGEIFS(Responses!$F:$F,Responses!$A:$A,$A47,Responses!$D:$D,$B47),"")</f>
        <v>60</v>
      </c>
      <c r="E47">
        <f>IFERROR(SUMIFS(Responses!$G:$G,Responses!$A:$A,$A47,Responses!$D:$D,$B47)/COUNTIFS(Responses!$A:$A,$A47,Responses!$D:$D,$B47),0)*100</f>
        <v>0</v>
      </c>
      <c r="F47">
        <f>COUNTIFS(Responses!$A:$A,$A47,Responses!$D:$D,$B47)</f>
        <v>4</v>
      </c>
    </row>
    <row r="48" spans="1:6" hidden="1" x14ac:dyDescent="0.35">
      <c r="A48" t="s">
        <v>94</v>
      </c>
      <c r="B48" s="7" t="s">
        <v>9</v>
      </c>
      <c r="C48">
        <f>IFERROR(AVERAGEIFS(Responses!$E:$E,Responses!$A:$A,$A48,Responses!$D:$D,$B48),"")</f>
        <v>3</v>
      </c>
      <c r="D48">
        <f>IFERROR(AVERAGEIFS(Responses!$F:$F,Responses!$A:$A,$A48,Responses!$D:$D,$B48),"")</f>
        <v>60</v>
      </c>
      <c r="E48">
        <f>IFERROR(SUMIFS(Responses!$G:$G,Responses!$A:$A,$A48,Responses!$D:$D,$B48)/COUNTIFS(Responses!$A:$A,$A48,Responses!$D:$D,$B48),0)*100</f>
        <v>0</v>
      </c>
      <c r="F48">
        <f>COUNTIFS(Responses!$A:$A,$A48,Responses!$D:$D,$B48)</f>
        <v>4</v>
      </c>
    </row>
    <row r="49" spans="1:6" hidden="1" x14ac:dyDescent="0.35">
      <c r="A49" t="s">
        <v>94</v>
      </c>
      <c r="B49" s="7" t="s">
        <v>10</v>
      </c>
      <c r="C49">
        <f>IFERROR(AVERAGEIFS(Responses!$E:$E,Responses!$A:$A,$A49,Responses!$D:$D,$B49),"")</f>
        <v>3</v>
      </c>
      <c r="D49">
        <f>IFERROR(AVERAGEIFS(Responses!$F:$F,Responses!$A:$A,$A49,Responses!$D:$D,$B49),"")</f>
        <v>60</v>
      </c>
      <c r="E49">
        <f>IFERROR(SUMIFS(Responses!$G:$G,Responses!$A:$A,$A49,Responses!$D:$D,$B49)/COUNTIFS(Responses!$A:$A,$A49,Responses!$D:$D,$B49),0)*100</f>
        <v>0</v>
      </c>
      <c r="F49">
        <f>COUNTIFS(Responses!$A:$A,$A49,Responses!$D:$D,$B49)</f>
        <v>4</v>
      </c>
    </row>
    <row r="50" spans="1:6" hidden="1" x14ac:dyDescent="0.35">
      <c r="A50" t="s">
        <v>95</v>
      </c>
      <c r="B50" s="7" t="s">
        <v>0</v>
      </c>
      <c r="C50">
        <f>IFERROR(AVERAGEIFS(Responses!$E:$E,Responses!$A:$A,$A50,Responses!$D:$D,$B50),"")</f>
        <v>3</v>
      </c>
      <c r="D50">
        <f>IFERROR(AVERAGEIFS(Responses!$F:$F,Responses!$A:$A,$A50,Responses!$D:$D,$B50),"")</f>
        <v>60</v>
      </c>
      <c r="E50">
        <f>IFERROR(SUMIFS(Responses!$G:$G,Responses!$A:$A,$A50,Responses!$D:$D,$B50)/COUNTIFS(Responses!$A:$A,$A50,Responses!$D:$D,$B50),0)*100</f>
        <v>0</v>
      </c>
      <c r="F50">
        <f>COUNTIFS(Responses!$A:$A,$A50,Responses!$D:$D,$B50)</f>
        <v>4</v>
      </c>
    </row>
    <row r="51" spans="1:6" hidden="1" x14ac:dyDescent="0.35">
      <c r="A51" t="s">
        <v>95</v>
      </c>
      <c r="B51" s="7" t="s">
        <v>117</v>
      </c>
      <c r="C51">
        <f>IFERROR(AVERAGEIFS(Responses!$E:$E,Responses!$A:$A,$A51,Responses!$D:$D,$B51),"")</f>
        <v>3</v>
      </c>
      <c r="D51">
        <f>IFERROR(AVERAGEIFS(Responses!$F:$F,Responses!$A:$A,$A51,Responses!$D:$D,$B51),"")</f>
        <v>60</v>
      </c>
      <c r="E51">
        <f>IFERROR(SUMIFS(Responses!$G:$G,Responses!$A:$A,$A51,Responses!$D:$D,$B51)/COUNTIFS(Responses!$A:$A,$A51,Responses!$D:$D,$B51),0)*100</f>
        <v>0</v>
      </c>
      <c r="F51">
        <f>COUNTIFS(Responses!$A:$A,$A51,Responses!$D:$D,$B51)</f>
        <v>4</v>
      </c>
    </row>
    <row r="52" spans="1:6" hidden="1" x14ac:dyDescent="0.35">
      <c r="A52" t="s">
        <v>95</v>
      </c>
      <c r="B52" s="7" t="s">
        <v>3</v>
      </c>
      <c r="C52">
        <f>IFERROR(AVERAGEIFS(Responses!$E:$E,Responses!$A:$A,$A52,Responses!$D:$D,$B52),"")</f>
        <v>3</v>
      </c>
      <c r="D52">
        <f>IFERROR(AVERAGEIFS(Responses!$F:$F,Responses!$A:$A,$A52,Responses!$D:$D,$B52),"")</f>
        <v>60</v>
      </c>
      <c r="E52">
        <f>IFERROR(SUMIFS(Responses!$G:$G,Responses!$A:$A,$A52,Responses!$D:$D,$B52)/COUNTIFS(Responses!$A:$A,$A52,Responses!$D:$D,$B52),0)*100</f>
        <v>25</v>
      </c>
      <c r="F52">
        <f>COUNTIFS(Responses!$A:$A,$A52,Responses!$D:$D,$B52)</f>
        <v>4</v>
      </c>
    </row>
    <row r="53" spans="1:6" hidden="1" x14ac:dyDescent="0.35">
      <c r="A53" t="s">
        <v>95</v>
      </c>
      <c r="B53" s="7" t="s">
        <v>5</v>
      </c>
      <c r="C53">
        <f>IFERROR(AVERAGEIFS(Responses!$E:$E,Responses!$A:$A,$A53,Responses!$D:$D,$B53),"")</f>
        <v>3.5</v>
      </c>
      <c r="D53">
        <f>IFERROR(AVERAGEIFS(Responses!$F:$F,Responses!$A:$A,$A53,Responses!$D:$D,$B53),"")</f>
        <v>70</v>
      </c>
      <c r="E53">
        <f>IFERROR(SUMIFS(Responses!$G:$G,Responses!$A:$A,$A53,Responses!$D:$D,$B53)/COUNTIFS(Responses!$A:$A,$A53,Responses!$D:$D,$B53),0)*100</f>
        <v>50</v>
      </c>
      <c r="F53">
        <f>COUNTIFS(Responses!$A:$A,$A53,Responses!$D:$D,$B53)</f>
        <v>4</v>
      </c>
    </row>
    <row r="54" spans="1:6" hidden="1" x14ac:dyDescent="0.35">
      <c r="A54" t="s">
        <v>95</v>
      </c>
      <c r="B54" s="7" t="s">
        <v>7</v>
      </c>
      <c r="C54">
        <f>IFERROR(AVERAGEIFS(Responses!$E:$E,Responses!$A:$A,$A54,Responses!$D:$D,$B54),"")</f>
        <v>4.25</v>
      </c>
      <c r="D54">
        <f>IFERROR(AVERAGEIFS(Responses!$F:$F,Responses!$A:$A,$A54,Responses!$D:$D,$B54),"")</f>
        <v>85</v>
      </c>
      <c r="E54">
        <f>IFERROR(SUMIFS(Responses!$G:$G,Responses!$A:$A,$A54,Responses!$D:$D,$B54)/COUNTIFS(Responses!$A:$A,$A54,Responses!$D:$D,$B54),0)*100</f>
        <v>75</v>
      </c>
      <c r="F54">
        <f>COUNTIFS(Responses!$A:$A,$A54,Responses!$D:$D,$B54)</f>
        <v>4</v>
      </c>
    </row>
    <row r="55" spans="1:6" hidden="1" x14ac:dyDescent="0.35">
      <c r="A55" t="s">
        <v>95</v>
      </c>
      <c r="B55" s="7" t="s">
        <v>8</v>
      </c>
      <c r="C55">
        <f>IFERROR(AVERAGEIFS(Responses!$E:$E,Responses!$A:$A,$A55,Responses!$D:$D,$B55),"")</f>
        <v>2.75</v>
      </c>
      <c r="D55">
        <f>IFERROR(AVERAGEIFS(Responses!$F:$F,Responses!$A:$A,$A55,Responses!$D:$D,$B55),"")</f>
        <v>55</v>
      </c>
      <c r="E55">
        <f>IFERROR(SUMIFS(Responses!$G:$G,Responses!$A:$A,$A55,Responses!$D:$D,$B55)/COUNTIFS(Responses!$A:$A,$A55,Responses!$D:$D,$B55),0)*100</f>
        <v>25</v>
      </c>
      <c r="F55">
        <f>COUNTIFS(Responses!$A:$A,$A55,Responses!$D:$D,$B55)</f>
        <v>4</v>
      </c>
    </row>
    <row r="56" spans="1:6" hidden="1" x14ac:dyDescent="0.35">
      <c r="A56" t="s">
        <v>95</v>
      </c>
      <c r="B56" s="7" t="s">
        <v>9</v>
      </c>
      <c r="C56">
        <f>IFERROR(AVERAGEIFS(Responses!$E:$E,Responses!$A:$A,$A56,Responses!$D:$D,$B56),"")</f>
        <v>3.5</v>
      </c>
      <c r="D56">
        <f>IFERROR(AVERAGEIFS(Responses!$F:$F,Responses!$A:$A,$A56,Responses!$D:$D,$B56),"")</f>
        <v>70</v>
      </c>
      <c r="E56">
        <f>IFERROR(SUMIFS(Responses!$G:$G,Responses!$A:$A,$A56,Responses!$D:$D,$B56)/COUNTIFS(Responses!$A:$A,$A56,Responses!$D:$D,$B56),0)*100</f>
        <v>50</v>
      </c>
      <c r="F56">
        <f>COUNTIFS(Responses!$A:$A,$A56,Responses!$D:$D,$B56)</f>
        <v>4</v>
      </c>
    </row>
    <row r="57" spans="1:6" hidden="1" x14ac:dyDescent="0.35">
      <c r="A57" t="s">
        <v>95</v>
      </c>
      <c r="B57" s="7" t="s">
        <v>10</v>
      </c>
      <c r="C57">
        <f>IFERROR(AVERAGEIFS(Responses!$E:$E,Responses!$A:$A,$A57,Responses!$D:$D,$B57),"")</f>
        <v>2</v>
      </c>
      <c r="D57">
        <f>IFERROR(AVERAGEIFS(Responses!$F:$F,Responses!$A:$A,$A57,Responses!$D:$D,$B57),"")</f>
        <v>40</v>
      </c>
      <c r="E57">
        <f>IFERROR(SUMIFS(Responses!$G:$G,Responses!$A:$A,$A57,Responses!$D:$D,$B57)/COUNTIFS(Responses!$A:$A,$A57,Responses!$D:$D,$B57),0)*100</f>
        <v>0</v>
      </c>
      <c r="F57">
        <f>COUNTIFS(Responses!$A:$A,$A57,Responses!$D:$D,$B57)</f>
        <v>4</v>
      </c>
    </row>
    <row r="58" spans="1:6" hidden="1" x14ac:dyDescent="0.35">
      <c r="A58" t="s">
        <v>96</v>
      </c>
      <c r="B58" s="7" t="s">
        <v>0</v>
      </c>
      <c r="C58">
        <f>IFERROR(AVERAGEIFS(Responses!$E:$E,Responses!$A:$A,$A58,Responses!$D:$D,$B58),"")</f>
        <v>3.5</v>
      </c>
      <c r="D58">
        <f>IFERROR(AVERAGEIFS(Responses!$F:$F,Responses!$A:$A,$A58,Responses!$D:$D,$B58),"")</f>
        <v>70</v>
      </c>
      <c r="E58">
        <f>IFERROR(SUMIFS(Responses!$G:$G,Responses!$A:$A,$A58,Responses!$D:$D,$B58)/COUNTIFS(Responses!$A:$A,$A58,Responses!$D:$D,$B58),0)*100</f>
        <v>50</v>
      </c>
      <c r="F58">
        <f>COUNTIFS(Responses!$A:$A,$A58,Responses!$D:$D,$B58)</f>
        <v>4</v>
      </c>
    </row>
    <row r="59" spans="1:6" hidden="1" x14ac:dyDescent="0.35">
      <c r="A59" t="s">
        <v>96</v>
      </c>
      <c r="B59" s="7" t="s">
        <v>117</v>
      </c>
      <c r="C59">
        <f>IFERROR(AVERAGEIFS(Responses!$E:$E,Responses!$A:$A,$A59,Responses!$D:$D,$B59),"")</f>
        <v>3.75</v>
      </c>
      <c r="D59">
        <f>IFERROR(AVERAGEIFS(Responses!$F:$F,Responses!$A:$A,$A59,Responses!$D:$D,$B59),"")</f>
        <v>75</v>
      </c>
      <c r="E59">
        <f>IFERROR(SUMIFS(Responses!$G:$G,Responses!$A:$A,$A59,Responses!$D:$D,$B59)/COUNTIFS(Responses!$A:$A,$A59,Responses!$D:$D,$B59),0)*100</f>
        <v>50</v>
      </c>
      <c r="F59">
        <f>COUNTIFS(Responses!$A:$A,$A59,Responses!$D:$D,$B59)</f>
        <v>4</v>
      </c>
    </row>
    <row r="60" spans="1:6" hidden="1" x14ac:dyDescent="0.35">
      <c r="A60" t="s">
        <v>96</v>
      </c>
      <c r="B60" s="7" t="s">
        <v>3</v>
      </c>
      <c r="C60">
        <f>IFERROR(AVERAGEIFS(Responses!$E:$E,Responses!$A:$A,$A60,Responses!$D:$D,$B60),"")</f>
        <v>3.5</v>
      </c>
      <c r="D60">
        <f>IFERROR(AVERAGEIFS(Responses!$F:$F,Responses!$A:$A,$A60,Responses!$D:$D,$B60),"")</f>
        <v>70</v>
      </c>
      <c r="E60">
        <f>IFERROR(SUMIFS(Responses!$G:$G,Responses!$A:$A,$A60,Responses!$D:$D,$B60)/COUNTIFS(Responses!$A:$A,$A60,Responses!$D:$D,$B60),0)*100</f>
        <v>50</v>
      </c>
      <c r="F60">
        <f>COUNTIFS(Responses!$A:$A,$A60,Responses!$D:$D,$B60)</f>
        <v>4</v>
      </c>
    </row>
    <row r="61" spans="1:6" hidden="1" x14ac:dyDescent="0.35">
      <c r="A61" t="s">
        <v>96</v>
      </c>
      <c r="B61" s="7" t="s">
        <v>5</v>
      </c>
      <c r="C61">
        <f>IFERROR(AVERAGEIFS(Responses!$E:$E,Responses!$A:$A,$A61,Responses!$D:$D,$B61),"")</f>
        <v>2.25</v>
      </c>
      <c r="D61">
        <f>IFERROR(AVERAGEIFS(Responses!$F:$F,Responses!$A:$A,$A61,Responses!$D:$D,$B61),"")</f>
        <v>45</v>
      </c>
      <c r="E61">
        <f>IFERROR(SUMIFS(Responses!$G:$G,Responses!$A:$A,$A61,Responses!$D:$D,$B61)/COUNTIFS(Responses!$A:$A,$A61,Responses!$D:$D,$B61),0)*100</f>
        <v>25</v>
      </c>
      <c r="F61">
        <f>COUNTIFS(Responses!$A:$A,$A61,Responses!$D:$D,$B61)</f>
        <v>4</v>
      </c>
    </row>
    <row r="62" spans="1:6" hidden="1" x14ac:dyDescent="0.35">
      <c r="A62" t="s">
        <v>96</v>
      </c>
      <c r="B62" s="7" t="s">
        <v>7</v>
      </c>
      <c r="C62">
        <f>IFERROR(AVERAGEIFS(Responses!$E:$E,Responses!$A:$A,$A62,Responses!$D:$D,$B62),"")</f>
        <v>3</v>
      </c>
      <c r="D62">
        <f>IFERROR(AVERAGEIFS(Responses!$F:$F,Responses!$A:$A,$A62,Responses!$D:$D,$B62),"")</f>
        <v>60</v>
      </c>
      <c r="E62">
        <f>IFERROR(SUMIFS(Responses!$G:$G,Responses!$A:$A,$A62,Responses!$D:$D,$B62)/COUNTIFS(Responses!$A:$A,$A62,Responses!$D:$D,$B62),0)*100</f>
        <v>25</v>
      </c>
      <c r="F62">
        <f>COUNTIFS(Responses!$A:$A,$A62,Responses!$D:$D,$B62)</f>
        <v>4</v>
      </c>
    </row>
    <row r="63" spans="1:6" hidden="1" x14ac:dyDescent="0.35">
      <c r="A63" t="s">
        <v>96</v>
      </c>
      <c r="B63" s="7" t="s">
        <v>8</v>
      </c>
      <c r="C63">
        <f>IFERROR(AVERAGEIFS(Responses!$E:$E,Responses!$A:$A,$A63,Responses!$D:$D,$B63),"")</f>
        <v>3.25</v>
      </c>
      <c r="D63">
        <f>IFERROR(AVERAGEIFS(Responses!$F:$F,Responses!$A:$A,$A63,Responses!$D:$D,$B63),"")</f>
        <v>65</v>
      </c>
      <c r="E63">
        <f>IFERROR(SUMIFS(Responses!$G:$G,Responses!$A:$A,$A63,Responses!$D:$D,$B63)/COUNTIFS(Responses!$A:$A,$A63,Responses!$D:$D,$B63),0)*100</f>
        <v>25</v>
      </c>
      <c r="F63">
        <f>COUNTIFS(Responses!$A:$A,$A63,Responses!$D:$D,$B63)</f>
        <v>4</v>
      </c>
    </row>
    <row r="64" spans="1:6" hidden="1" x14ac:dyDescent="0.35">
      <c r="A64" t="s">
        <v>96</v>
      </c>
      <c r="B64" s="7" t="s">
        <v>9</v>
      </c>
      <c r="C64">
        <f>IFERROR(AVERAGEIFS(Responses!$E:$E,Responses!$A:$A,$A64,Responses!$D:$D,$B64),"")</f>
        <v>3</v>
      </c>
      <c r="D64">
        <f>IFERROR(AVERAGEIFS(Responses!$F:$F,Responses!$A:$A,$A64,Responses!$D:$D,$B64),"")</f>
        <v>60</v>
      </c>
      <c r="E64">
        <f>IFERROR(SUMIFS(Responses!$G:$G,Responses!$A:$A,$A64,Responses!$D:$D,$B64)/COUNTIFS(Responses!$A:$A,$A64,Responses!$D:$D,$B64),0)*100</f>
        <v>50</v>
      </c>
      <c r="F64">
        <f>COUNTIFS(Responses!$A:$A,$A64,Responses!$D:$D,$B64)</f>
        <v>4</v>
      </c>
    </row>
    <row r="65" spans="1:6" hidden="1" x14ac:dyDescent="0.35">
      <c r="A65" t="s">
        <v>96</v>
      </c>
      <c r="B65" s="7" t="s">
        <v>10</v>
      </c>
      <c r="C65">
        <f>IFERROR(AVERAGEIFS(Responses!$E:$E,Responses!$A:$A,$A65,Responses!$D:$D,$B65),"")</f>
        <v>3</v>
      </c>
      <c r="D65">
        <f>IFERROR(AVERAGEIFS(Responses!$F:$F,Responses!$A:$A,$A65,Responses!$D:$D,$B65),"")</f>
        <v>60</v>
      </c>
      <c r="E65">
        <f>IFERROR(SUMIFS(Responses!$G:$G,Responses!$A:$A,$A65,Responses!$D:$D,$B65)/COUNTIFS(Responses!$A:$A,$A65,Responses!$D:$D,$B65),0)*100</f>
        <v>25</v>
      </c>
      <c r="F65">
        <f>COUNTIFS(Responses!$A:$A,$A65,Responses!$D:$D,$B65)</f>
        <v>4</v>
      </c>
    </row>
    <row r="66" spans="1:6" hidden="1" x14ac:dyDescent="0.35">
      <c r="A66" t="s">
        <v>97</v>
      </c>
      <c r="B66" s="7" t="s">
        <v>0</v>
      </c>
      <c r="C66">
        <f>IFERROR(AVERAGEIFS(Responses!$E:$E,Responses!$A:$A,$A66,Responses!$D:$D,$B66),"")</f>
        <v>3.25</v>
      </c>
      <c r="D66">
        <f>IFERROR(AVERAGEIFS(Responses!$F:$F,Responses!$A:$A,$A66,Responses!$D:$D,$B66),"")</f>
        <v>65</v>
      </c>
      <c r="E66">
        <f>IFERROR(SUMIFS(Responses!$G:$G,Responses!$A:$A,$A66,Responses!$D:$D,$B66)/COUNTIFS(Responses!$A:$A,$A66,Responses!$D:$D,$B66),0)*100</f>
        <v>25</v>
      </c>
      <c r="F66">
        <f>COUNTIFS(Responses!$A:$A,$A66,Responses!$D:$D,$B66)</f>
        <v>4</v>
      </c>
    </row>
    <row r="67" spans="1:6" hidden="1" x14ac:dyDescent="0.35">
      <c r="A67" t="s">
        <v>97</v>
      </c>
      <c r="B67" s="7" t="s">
        <v>117</v>
      </c>
      <c r="C67">
        <f>IFERROR(AVERAGEIFS(Responses!$E:$E,Responses!$A:$A,$A67,Responses!$D:$D,$B67),"")</f>
        <v>4.5</v>
      </c>
      <c r="D67">
        <f>IFERROR(AVERAGEIFS(Responses!$F:$F,Responses!$A:$A,$A67,Responses!$D:$D,$B67),"")</f>
        <v>90</v>
      </c>
      <c r="E67">
        <f>IFERROR(SUMIFS(Responses!$G:$G,Responses!$A:$A,$A67,Responses!$D:$D,$B67)/COUNTIFS(Responses!$A:$A,$A67,Responses!$D:$D,$B67),0)*100</f>
        <v>100</v>
      </c>
      <c r="F67">
        <f>COUNTIFS(Responses!$A:$A,$A67,Responses!$D:$D,$B67)</f>
        <v>4</v>
      </c>
    </row>
    <row r="68" spans="1:6" hidden="1" x14ac:dyDescent="0.35">
      <c r="A68" t="s">
        <v>97</v>
      </c>
      <c r="B68" s="7" t="s">
        <v>3</v>
      </c>
      <c r="C68">
        <f>IFERROR(AVERAGEIFS(Responses!$E:$E,Responses!$A:$A,$A68,Responses!$D:$D,$B68),"")</f>
        <v>2.75</v>
      </c>
      <c r="D68">
        <f>IFERROR(AVERAGEIFS(Responses!$F:$F,Responses!$A:$A,$A68,Responses!$D:$D,$B68),"")</f>
        <v>55</v>
      </c>
      <c r="E68">
        <f>IFERROR(SUMIFS(Responses!$G:$G,Responses!$A:$A,$A68,Responses!$D:$D,$B68)/COUNTIFS(Responses!$A:$A,$A68,Responses!$D:$D,$B68),0)*100</f>
        <v>25</v>
      </c>
      <c r="F68">
        <f>COUNTIFS(Responses!$A:$A,$A68,Responses!$D:$D,$B68)</f>
        <v>4</v>
      </c>
    </row>
    <row r="69" spans="1:6" hidden="1" x14ac:dyDescent="0.35">
      <c r="A69" t="s">
        <v>97</v>
      </c>
      <c r="B69" s="7" t="s">
        <v>5</v>
      </c>
      <c r="C69">
        <f>IFERROR(AVERAGEIFS(Responses!$E:$E,Responses!$A:$A,$A69,Responses!$D:$D,$B69),"")</f>
        <v>3.75</v>
      </c>
      <c r="D69">
        <f>IFERROR(AVERAGEIFS(Responses!$F:$F,Responses!$A:$A,$A69,Responses!$D:$D,$B69),"")</f>
        <v>75</v>
      </c>
      <c r="E69">
        <f>IFERROR(SUMIFS(Responses!$G:$G,Responses!$A:$A,$A69,Responses!$D:$D,$B69)/COUNTIFS(Responses!$A:$A,$A69,Responses!$D:$D,$B69),0)*100</f>
        <v>50</v>
      </c>
      <c r="F69">
        <f>COUNTIFS(Responses!$A:$A,$A69,Responses!$D:$D,$B69)</f>
        <v>4</v>
      </c>
    </row>
    <row r="70" spans="1:6" hidden="1" x14ac:dyDescent="0.35">
      <c r="A70" t="s">
        <v>97</v>
      </c>
      <c r="B70" s="7" t="s">
        <v>7</v>
      </c>
      <c r="C70">
        <f>IFERROR(AVERAGEIFS(Responses!$E:$E,Responses!$A:$A,$A70,Responses!$D:$D,$B70),"")</f>
        <v>2</v>
      </c>
      <c r="D70">
        <f>IFERROR(AVERAGEIFS(Responses!$F:$F,Responses!$A:$A,$A70,Responses!$D:$D,$B70),"")</f>
        <v>40</v>
      </c>
      <c r="E70">
        <f>IFERROR(SUMIFS(Responses!$G:$G,Responses!$A:$A,$A70,Responses!$D:$D,$B70)/COUNTIFS(Responses!$A:$A,$A70,Responses!$D:$D,$B70),0)*100</f>
        <v>0</v>
      </c>
      <c r="F70">
        <f>COUNTIFS(Responses!$A:$A,$A70,Responses!$D:$D,$B70)</f>
        <v>4</v>
      </c>
    </row>
    <row r="71" spans="1:6" hidden="1" x14ac:dyDescent="0.35">
      <c r="A71" t="s">
        <v>97</v>
      </c>
      <c r="B71" s="7" t="s">
        <v>8</v>
      </c>
      <c r="C71">
        <f>IFERROR(AVERAGEIFS(Responses!$E:$E,Responses!$A:$A,$A71,Responses!$D:$D,$B71),"")</f>
        <v>3.5</v>
      </c>
      <c r="D71">
        <f>IFERROR(AVERAGEIFS(Responses!$F:$F,Responses!$A:$A,$A71,Responses!$D:$D,$B71),"")</f>
        <v>70</v>
      </c>
      <c r="E71">
        <f>IFERROR(SUMIFS(Responses!$G:$G,Responses!$A:$A,$A71,Responses!$D:$D,$B71)/COUNTIFS(Responses!$A:$A,$A71,Responses!$D:$D,$B71),0)*100</f>
        <v>50</v>
      </c>
      <c r="F71">
        <f>COUNTIFS(Responses!$A:$A,$A71,Responses!$D:$D,$B71)</f>
        <v>4</v>
      </c>
    </row>
    <row r="72" spans="1:6" hidden="1" x14ac:dyDescent="0.35">
      <c r="A72" t="s">
        <v>97</v>
      </c>
      <c r="B72" s="7" t="s">
        <v>9</v>
      </c>
      <c r="C72">
        <f>IFERROR(AVERAGEIFS(Responses!$E:$E,Responses!$A:$A,$A72,Responses!$D:$D,$B72),"")</f>
        <v>3.75</v>
      </c>
      <c r="D72">
        <f>IFERROR(AVERAGEIFS(Responses!$F:$F,Responses!$A:$A,$A72,Responses!$D:$D,$B72),"")</f>
        <v>75</v>
      </c>
      <c r="E72">
        <f>IFERROR(SUMIFS(Responses!$G:$G,Responses!$A:$A,$A72,Responses!$D:$D,$B72)/COUNTIFS(Responses!$A:$A,$A72,Responses!$D:$D,$B72),0)*100</f>
        <v>50</v>
      </c>
      <c r="F72">
        <f>COUNTIFS(Responses!$A:$A,$A72,Responses!$D:$D,$B72)</f>
        <v>4</v>
      </c>
    </row>
    <row r="73" spans="1:6" hidden="1" x14ac:dyDescent="0.35">
      <c r="A73" t="s">
        <v>97</v>
      </c>
      <c r="B73" s="7" t="s">
        <v>10</v>
      </c>
      <c r="C73">
        <f>IFERROR(AVERAGEIFS(Responses!$E:$E,Responses!$A:$A,$A73,Responses!$D:$D,$B73),"")</f>
        <v>2</v>
      </c>
      <c r="D73">
        <f>IFERROR(AVERAGEIFS(Responses!$F:$F,Responses!$A:$A,$A73,Responses!$D:$D,$B73),"")</f>
        <v>40</v>
      </c>
      <c r="E73">
        <f>IFERROR(SUMIFS(Responses!$G:$G,Responses!$A:$A,$A73,Responses!$D:$D,$B73)/COUNTIFS(Responses!$A:$A,$A73,Responses!$D:$D,$B73),0)*100</f>
        <v>0</v>
      </c>
      <c r="F73">
        <f>COUNTIFS(Responses!$A:$A,$A73,Responses!$D:$D,$B73)</f>
        <v>4</v>
      </c>
    </row>
    <row r="74" spans="1:6" hidden="1" x14ac:dyDescent="0.35">
      <c r="A74" t="s">
        <v>98</v>
      </c>
      <c r="B74" s="7" t="s">
        <v>0</v>
      </c>
      <c r="C74">
        <f>IFERROR(AVERAGEIFS(Responses!$E:$E,Responses!$A:$A,$A74,Responses!$D:$D,$B74),"")</f>
        <v>3.5</v>
      </c>
      <c r="D74">
        <f>IFERROR(AVERAGEIFS(Responses!$F:$F,Responses!$A:$A,$A74,Responses!$D:$D,$B74),"")</f>
        <v>70</v>
      </c>
      <c r="E74">
        <f>IFERROR(SUMIFS(Responses!$G:$G,Responses!$A:$A,$A74,Responses!$D:$D,$B74)/COUNTIFS(Responses!$A:$A,$A74,Responses!$D:$D,$B74),0)*100</f>
        <v>50</v>
      </c>
      <c r="F74">
        <f>COUNTIFS(Responses!$A:$A,$A74,Responses!$D:$D,$B74)</f>
        <v>4</v>
      </c>
    </row>
    <row r="75" spans="1:6" hidden="1" x14ac:dyDescent="0.35">
      <c r="A75" t="s">
        <v>98</v>
      </c>
      <c r="B75" s="7" t="s">
        <v>117</v>
      </c>
      <c r="C75">
        <f>IFERROR(AVERAGEIFS(Responses!$E:$E,Responses!$A:$A,$A75,Responses!$D:$D,$B75),"")</f>
        <v>3.75</v>
      </c>
      <c r="D75">
        <f>IFERROR(AVERAGEIFS(Responses!$F:$F,Responses!$A:$A,$A75,Responses!$D:$D,$B75),"")</f>
        <v>75</v>
      </c>
      <c r="E75">
        <f>IFERROR(SUMIFS(Responses!$G:$G,Responses!$A:$A,$A75,Responses!$D:$D,$B75)/COUNTIFS(Responses!$A:$A,$A75,Responses!$D:$D,$B75),0)*100</f>
        <v>50</v>
      </c>
      <c r="F75">
        <f>COUNTIFS(Responses!$A:$A,$A75,Responses!$D:$D,$B75)</f>
        <v>4</v>
      </c>
    </row>
    <row r="76" spans="1:6" hidden="1" x14ac:dyDescent="0.35">
      <c r="A76" t="s">
        <v>98</v>
      </c>
      <c r="B76" s="7" t="s">
        <v>3</v>
      </c>
      <c r="C76">
        <f>IFERROR(AVERAGEIFS(Responses!$E:$E,Responses!$A:$A,$A76,Responses!$D:$D,$B76),"")</f>
        <v>3.75</v>
      </c>
      <c r="D76">
        <f>IFERROR(AVERAGEIFS(Responses!$F:$F,Responses!$A:$A,$A76,Responses!$D:$D,$B76),"")</f>
        <v>75</v>
      </c>
      <c r="E76">
        <f>IFERROR(SUMIFS(Responses!$G:$G,Responses!$A:$A,$A76,Responses!$D:$D,$B76)/COUNTIFS(Responses!$A:$A,$A76,Responses!$D:$D,$B76),0)*100</f>
        <v>75</v>
      </c>
      <c r="F76">
        <f>COUNTIFS(Responses!$A:$A,$A76,Responses!$D:$D,$B76)</f>
        <v>4</v>
      </c>
    </row>
    <row r="77" spans="1:6" hidden="1" x14ac:dyDescent="0.35">
      <c r="A77" t="s">
        <v>98</v>
      </c>
      <c r="B77" s="7" t="s">
        <v>5</v>
      </c>
      <c r="C77">
        <f>IFERROR(AVERAGEIFS(Responses!$E:$E,Responses!$A:$A,$A77,Responses!$D:$D,$B77),"")</f>
        <v>2.75</v>
      </c>
      <c r="D77">
        <f>IFERROR(AVERAGEIFS(Responses!$F:$F,Responses!$A:$A,$A77,Responses!$D:$D,$B77),"")</f>
        <v>55</v>
      </c>
      <c r="E77">
        <f>IFERROR(SUMIFS(Responses!$G:$G,Responses!$A:$A,$A77,Responses!$D:$D,$B77)/COUNTIFS(Responses!$A:$A,$A77,Responses!$D:$D,$B77),0)*100</f>
        <v>25</v>
      </c>
      <c r="F77">
        <f>COUNTIFS(Responses!$A:$A,$A77,Responses!$D:$D,$B77)</f>
        <v>4</v>
      </c>
    </row>
    <row r="78" spans="1:6" hidden="1" x14ac:dyDescent="0.35">
      <c r="A78" t="s">
        <v>98</v>
      </c>
      <c r="B78" s="7" t="s">
        <v>7</v>
      </c>
      <c r="C78">
        <f>IFERROR(AVERAGEIFS(Responses!$E:$E,Responses!$A:$A,$A78,Responses!$D:$D,$B78),"")</f>
        <v>4</v>
      </c>
      <c r="D78">
        <f>IFERROR(AVERAGEIFS(Responses!$F:$F,Responses!$A:$A,$A78,Responses!$D:$D,$B78),"")</f>
        <v>80</v>
      </c>
      <c r="E78">
        <f>IFERROR(SUMIFS(Responses!$G:$G,Responses!$A:$A,$A78,Responses!$D:$D,$B78)/COUNTIFS(Responses!$A:$A,$A78,Responses!$D:$D,$B78),0)*100</f>
        <v>75</v>
      </c>
      <c r="F78">
        <f>COUNTIFS(Responses!$A:$A,$A78,Responses!$D:$D,$B78)</f>
        <v>4</v>
      </c>
    </row>
    <row r="79" spans="1:6" hidden="1" x14ac:dyDescent="0.35">
      <c r="A79" t="s">
        <v>98</v>
      </c>
      <c r="B79" s="7" t="s">
        <v>8</v>
      </c>
      <c r="C79">
        <f>IFERROR(AVERAGEIFS(Responses!$E:$E,Responses!$A:$A,$A79,Responses!$D:$D,$B79),"")</f>
        <v>3.5</v>
      </c>
      <c r="D79">
        <f>IFERROR(AVERAGEIFS(Responses!$F:$F,Responses!$A:$A,$A79,Responses!$D:$D,$B79),"")</f>
        <v>70</v>
      </c>
      <c r="E79">
        <f>IFERROR(SUMIFS(Responses!$G:$G,Responses!$A:$A,$A79,Responses!$D:$D,$B79)/COUNTIFS(Responses!$A:$A,$A79,Responses!$D:$D,$B79),0)*100</f>
        <v>50</v>
      </c>
      <c r="F79">
        <f>COUNTIFS(Responses!$A:$A,$A79,Responses!$D:$D,$B79)</f>
        <v>4</v>
      </c>
    </row>
    <row r="80" spans="1:6" hidden="1" x14ac:dyDescent="0.35">
      <c r="A80" t="s">
        <v>98</v>
      </c>
      <c r="B80" s="7" t="s">
        <v>9</v>
      </c>
      <c r="C80">
        <f>IFERROR(AVERAGEIFS(Responses!$E:$E,Responses!$A:$A,$A80,Responses!$D:$D,$B80),"")</f>
        <v>2.75</v>
      </c>
      <c r="D80">
        <f>IFERROR(AVERAGEIFS(Responses!$F:$F,Responses!$A:$A,$A80,Responses!$D:$D,$B80),"")</f>
        <v>55</v>
      </c>
      <c r="E80">
        <f>IFERROR(SUMIFS(Responses!$G:$G,Responses!$A:$A,$A80,Responses!$D:$D,$B80)/COUNTIFS(Responses!$A:$A,$A80,Responses!$D:$D,$B80),0)*100</f>
        <v>25</v>
      </c>
      <c r="F80">
        <f>COUNTIFS(Responses!$A:$A,$A80,Responses!$D:$D,$B80)</f>
        <v>4</v>
      </c>
    </row>
    <row r="81" spans="1:6" hidden="1" x14ac:dyDescent="0.35">
      <c r="A81" t="s">
        <v>98</v>
      </c>
      <c r="B81" s="7" t="s">
        <v>10</v>
      </c>
      <c r="C81">
        <f>IFERROR(AVERAGEIFS(Responses!$E:$E,Responses!$A:$A,$A81,Responses!$D:$D,$B81),"")</f>
        <v>4</v>
      </c>
      <c r="D81">
        <f>IFERROR(AVERAGEIFS(Responses!$F:$F,Responses!$A:$A,$A81,Responses!$D:$D,$B81),"")</f>
        <v>80</v>
      </c>
      <c r="E81">
        <f>IFERROR(SUMIFS(Responses!$G:$G,Responses!$A:$A,$A81,Responses!$D:$D,$B81)/COUNTIFS(Responses!$A:$A,$A81,Responses!$D:$D,$B81),0)*100</f>
        <v>75</v>
      </c>
      <c r="F81">
        <f>COUNTIFS(Responses!$A:$A,$A81,Responses!$D:$D,$B81)</f>
        <v>4</v>
      </c>
    </row>
    <row r="82" spans="1:6" hidden="1" x14ac:dyDescent="0.35">
      <c r="A82" t="s">
        <v>99</v>
      </c>
      <c r="B82" s="7" t="s">
        <v>0</v>
      </c>
      <c r="C82">
        <f>IFERROR(AVERAGEIFS(Responses!$E:$E,Responses!$A:$A,$A82,Responses!$D:$D,$B82),"")</f>
        <v>3.5</v>
      </c>
      <c r="D82">
        <f>IFERROR(AVERAGEIFS(Responses!$F:$F,Responses!$A:$A,$A82,Responses!$D:$D,$B82),"")</f>
        <v>70</v>
      </c>
      <c r="E82">
        <f>IFERROR(SUMIFS(Responses!$G:$G,Responses!$A:$A,$A82,Responses!$D:$D,$B82)/COUNTIFS(Responses!$A:$A,$A82,Responses!$D:$D,$B82),0)*100</f>
        <v>50</v>
      </c>
      <c r="F82">
        <f>COUNTIFS(Responses!$A:$A,$A82,Responses!$D:$D,$B82)</f>
        <v>4</v>
      </c>
    </row>
    <row r="83" spans="1:6" hidden="1" x14ac:dyDescent="0.35">
      <c r="A83" t="s">
        <v>99</v>
      </c>
      <c r="B83" s="7" t="s">
        <v>117</v>
      </c>
      <c r="C83">
        <f>IFERROR(AVERAGEIFS(Responses!$E:$E,Responses!$A:$A,$A83,Responses!$D:$D,$B83),"")</f>
        <v>2.25</v>
      </c>
      <c r="D83">
        <f>IFERROR(AVERAGEIFS(Responses!$F:$F,Responses!$A:$A,$A83,Responses!$D:$D,$B83),"")</f>
        <v>45</v>
      </c>
      <c r="E83">
        <f>IFERROR(SUMIFS(Responses!$G:$G,Responses!$A:$A,$A83,Responses!$D:$D,$B83)/COUNTIFS(Responses!$A:$A,$A83,Responses!$D:$D,$B83),0)*100</f>
        <v>0</v>
      </c>
      <c r="F83">
        <f>COUNTIFS(Responses!$A:$A,$A83,Responses!$D:$D,$B83)</f>
        <v>4</v>
      </c>
    </row>
    <row r="84" spans="1:6" hidden="1" x14ac:dyDescent="0.35">
      <c r="A84" t="s">
        <v>99</v>
      </c>
      <c r="B84" s="7" t="s">
        <v>3</v>
      </c>
      <c r="C84">
        <f>IFERROR(AVERAGEIFS(Responses!$E:$E,Responses!$A:$A,$A84,Responses!$D:$D,$B84),"")</f>
        <v>4</v>
      </c>
      <c r="D84">
        <f>IFERROR(AVERAGEIFS(Responses!$F:$F,Responses!$A:$A,$A84,Responses!$D:$D,$B84),"")</f>
        <v>80</v>
      </c>
      <c r="E84">
        <f>IFERROR(SUMIFS(Responses!$G:$G,Responses!$A:$A,$A84,Responses!$D:$D,$B84)/COUNTIFS(Responses!$A:$A,$A84,Responses!$D:$D,$B84),0)*100</f>
        <v>75</v>
      </c>
      <c r="F84">
        <f>COUNTIFS(Responses!$A:$A,$A84,Responses!$D:$D,$B84)</f>
        <v>4</v>
      </c>
    </row>
    <row r="85" spans="1:6" hidden="1" x14ac:dyDescent="0.35">
      <c r="A85" t="s">
        <v>99</v>
      </c>
      <c r="B85" s="7" t="s">
        <v>5</v>
      </c>
      <c r="C85">
        <f>IFERROR(AVERAGEIFS(Responses!$E:$E,Responses!$A:$A,$A85,Responses!$D:$D,$B85),"")</f>
        <v>3.5</v>
      </c>
      <c r="D85">
        <f>IFERROR(AVERAGEIFS(Responses!$F:$F,Responses!$A:$A,$A85,Responses!$D:$D,$B85),"")</f>
        <v>70</v>
      </c>
      <c r="E85">
        <f>IFERROR(SUMIFS(Responses!$G:$G,Responses!$A:$A,$A85,Responses!$D:$D,$B85)/COUNTIFS(Responses!$A:$A,$A85,Responses!$D:$D,$B85),0)*100</f>
        <v>50</v>
      </c>
      <c r="F85">
        <f>COUNTIFS(Responses!$A:$A,$A85,Responses!$D:$D,$B85)</f>
        <v>4</v>
      </c>
    </row>
    <row r="86" spans="1:6" hidden="1" x14ac:dyDescent="0.35">
      <c r="A86" t="s">
        <v>99</v>
      </c>
      <c r="B86" s="7" t="s">
        <v>7</v>
      </c>
      <c r="C86">
        <f>IFERROR(AVERAGEIFS(Responses!$E:$E,Responses!$A:$A,$A86,Responses!$D:$D,$B86),"")</f>
        <v>2.75</v>
      </c>
      <c r="D86">
        <f>IFERROR(AVERAGEIFS(Responses!$F:$F,Responses!$A:$A,$A86,Responses!$D:$D,$B86),"")</f>
        <v>55</v>
      </c>
      <c r="E86">
        <f>IFERROR(SUMIFS(Responses!$G:$G,Responses!$A:$A,$A86,Responses!$D:$D,$B86)/COUNTIFS(Responses!$A:$A,$A86,Responses!$D:$D,$B86),0)*100</f>
        <v>25</v>
      </c>
      <c r="F86">
        <f>COUNTIFS(Responses!$A:$A,$A86,Responses!$D:$D,$B86)</f>
        <v>4</v>
      </c>
    </row>
    <row r="87" spans="1:6" hidden="1" x14ac:dyDescent="0.35">
      <c r="A87" t="s">
        <v>99</v>
      </c>
      <c r="B87" s="7" t="s">
        <v>8</v>
      </c>
      <c r="C87">
        <f>IFERROR(AVERAGEIFS(Responses!$E:$E,Responses!$A:$A,$A87,Responses!$D:$D,$B87),"")</f>
        <v>4</v>
      </c>
      <c r="D87">
        <f>IFERROR(AVERAGEIFS(Responses!$F:$F,Responses!$A:$A,$A87,Responses!$D:$D,$B87),"")</f>
        <v>80</v>
      </c>
      <c r="E87">
        <f>IFERROR(SUMIFS(Responses!$G:$G,Responses!$A:$A,$A87,Responses!$D:$D,$B87)/COUNTIFS(Responses!$A:$A,$A87,Responses!$D:$D,$B87),0)*100</f>
        <v>75</v>
      </c>
      <c r="F87">
        <f>COUNTIFS(Responses!$A:$A,$A87,Responses!$D:$D,$B87)</f>
        <v>4</v>
      </c>
    </row>
    <row r="88" spans="1:6" hidden="1" x14ac:dyDescent="0.35">
      <c r="A88" t="s">
        <v>99</v>
      </c>
      <c r="B88" s="7" t="s">
        <v>9</v>
      </c>
      <c r="C88">
        <f>IFERROR(AVERAGEIFS(Responses!$E:$E,Responses!$A:$A,$A88,Responses!$D:$D,$B88),"")</f>
        <v>3.5</v>
      </c>
      <c r="D88">
        <f>IFERROR(AVERAGEIFS(Responses!$F:$F,Responses!$A:$A,$A88,Responses!$D:$D,$B88),"")</f>
        <v>70</v>
      </c>
      <c r="E88">
        <f>IFERROR(SUMIFS(Responses!$G:$G,Responses!$A:$A,$A88,Responses!$D:$D,$B88)/COUNTIFS(Responses!$A:$A,$A88,Responses!$D:$D,$B88),0)*100</f>
        <v>50</v>
      </c>
      <c r="F88">
        <f>COUNTIFS(Responses!$A:$A,$A88,Responses!$D:$D,$B88)</f>
        <v>4</v>
      </c>
    </row>
    <row r="89" spans="1:6" hidden="1" x14ac:dyDescent="0.35">
      <c r="A89" t="s">
        <v>99</v>
      </c>
      <c r="B89" s="7" t="s">
        <v>10</v>
      </c>
      <c r="C89">
        <f>IFERROR(AVERAGEIFS(Responses!$E:$E,Responses!$A:$A,$A89,Responses!$D:$D,$B89),"")</f>
        <v>2.75</v>
      </c>
      <c r="D89">
        <f>IFERROR(AVERAGEIFS(Responses!$F:$F,Responses!$A:$A,$A89,Responses!$D:$D,$B89),"")</f>
        <v>55</v>
      </c>
      <c r="E89">
        <f>IFERROR(SUMIFS(Responses!$G:$G,Responses!$A:$A,$A89,Responses!$D:$D,$B89)/COUNTIFS(Responses!$A:$A,$A89,Responses!$D:$D,$B89),0)*100</f>
        <v>25</v>
      </c>
      <c r="F89">
        <f>COUNTIFS(Responses!$A:$A,$A89,Responses!$D:$D,$B89)</f>
        <v>4</v>
      </c>
    </row>
    <row r="90" spans="1:6" hidden="1" x14ac:dyDescent="0.35">
      <c r="A90" t="s">
        <v>100</v>
      </c>
      <c r="B90" s="7" t="s">
        <v>0</v>
      </c>
      <c r="C90">
        <f>IFERROR(AVERAGEIFS(Responses!$E:$E,Responses!$A:$A,$A90,Responses!$D:$D,$B90),"")</f>
        <v>4</v>
      </c>
      <c r="D90">
        <f>IFERROR(AVERAGEIFS(Responses!$F:$F,Responses!$A:$A,$A90,Responses!$D:$D,$B90),"")</f>
        <v>80</v>
      </c>
      <c r="E90">
        <f>IFERROR(SUMIFS(Responses!$G:$G,Responses!$A:$A,$A90,Responses!$D:$D,$B90)/COUNTIFS(Responses!$A:$A,$A90,Responses!$D:$D,$B90),0)*100</f>
        <v>75</v>
      </c>
      <c r="F90">
        <f>COUNTIFS(Responses!$A:$A,$A90,Responses!$D:$D,$B90)</f>
        <v>4</v>
      </c>
    </row>
    <row r="91" spans="1:6" hidden="1" x14ac:dyDescent="0.35">
      <c r="A91" t="s">
        <v>100</v>
      </c>
      <c r="B91" s="7" t="s">
        <v>117</v>
      </c>
      <c r="C91">
        <f>IFERROR(AVERAGEIFS(Responses!$E:$E,Responses!$A:$A,$A91,Responses!$D:$D,$B91),"")</f>
        <v>3.5</v>
      </c>
      <c r="D91">
        <f>IFERROR(AVERAGEIFS(Responses!$F:$F,Responses!$A:$A,$A91,Responses!$D:$D,$B91),"")</f>
        <v>70</v>
      </c>
      <c r="E91">
        <f>IFERROR(SUMIFS(Responses!$G:$G,Responses!$A:$A,$A91,Responses!$D:$D,$B91)/COUNTIFS(Responses!$A:$A,$A91,Responses!$D:$D,$B91),0)*100</f>
        <v>50</v>
      </c>
      <c r="F91">
        <f>COUNTIFS(Responses!$A:$A,$A91,Responses!$D:$D,$B91)</f>
        <v>4</v>
      </c>
    </row>
    <row r="92" spans="1:6" hidden="1" x14ac:dyDescent="0.35">
      <c r="A92" t="s">
        <v>100</v>
      </c>
      <c r="B92" s="7" t="s">
        <v>3</v>
      </c>
      <c r="C92">
        <f>IFERROR(AVERAGEIFS(Responses!$E:$E,Responses!$A:$A,$A92,Responses!$D:$D,$B92),"")</f>
        <v>3.5</v>
      </c>
      <c r="D92">
        <f>IFERROR(AVERAGEIFS(Responses!$F:$F,Responses!$A:$A,$A92,Responses!$D:$D,$B92),"")</f>
        <v>70</v>
      </c>
      <c r="E92">
        <f>IFERROR(SUMIFS(Responses!$G:$G,Responses!$A:$A,$A92,Responses!$D:$D,$B92)/COUNTIFS(Responses!$A:$A,$A92,Responses!$D:$D,$B92),0)*100</f>
        <v>50</v>
      </c>
      <c r="F92">
        <f>COUNTIFS(Responses!$A:$A,$A92,Responses!$D:$D,$B92)</f>
        <v>4</v>
      </c>
    </row>
    <row r="93" spans="1:6" hidden="1" x14ac:dyDescent="0.35">
      <c r="A93" t="s">
        <v>100</v>
      </c>
      <c r="B93" s="7" t="s">
        <v>5</v>
      </c>
      <c r="C93">
        <f>IFERROR(AVERAGEIFS(Responses!$E:$E,Responses!$A:$A,$A93,Responses!$D:$D,$B93),"")</f>
        <v>3.5</v>
      </c>
      <c r="D93">
        <f>IFERROR(AVERAGEIFS(Responses!$F:$F,Responses!$A:$A,$A93,Responses!$D:$D,$B93),"")</f>
        <v>70</v>
      </c>
      <c r="E93">
        <f>IFERROR(SUMIFS(Responses!$G:$G,Responses!$A:$A,$A93,Responses!$D:$D,$B93)/COUNTIFS(Responses!$A:$A,$A93,Responses!$D:$D,$B93),0)*100</f>
        <v>50</v>
      </c>
      <c r="F93">
        <f>COUNTIFS(Responses!$A:$A,$A93,Responses!$D:$D,$B93)</f>
        <v>4</v>
      </c>
    </row>
    <row r="94" spans="1:6" hidden="1" x14ac:dyDescent="0.35">
      <c r="A94" t="s">
        <v>100</v>
      </c>
      <c r="B94" s="7" t="s">
        <v>7</v>
      </c>
      <c r="C94">
        <f>IFERROR(AVERAGEIFS(Responses!$E:$E,Responses!$A:$A,$A94,Responses!$D:$D,$B94),"")</f>
        <v>3.25</v>
      </c>
      <c r="D94">
        <f>IFERROR(AVERAGEIFS(Responses!$F:$F,Responses!$A:$A,$A94,Responses!$D:$D,$B94),"")</f>
        <v>65</v>
      </c>
      <c r="E94">
        <f>IFERROR(SUMIFS(Responses!$G:$G,Responses!$A:$A,$A94,Responses!$D:$D,$B94)/COUNTIFS(Responses!$A:$A,$A94,Responses!$D:$D,$B94),0)*100</f>
        <v>50</v>
      </c>
      <c r="F94">
        <f>COUNTIFS(Responses!$A:$A,$A94,Responses!$D:$D,$B94)</f>
        <v>4</v>
      </c>
    </row>
    <row r="95" spans="1:6" hidden="1" x14ac:dyDescent="0.35">
      <c r="A95" t="s">
        <v>100</v>
      </c>
      <c r="B95" s="7" t="s">
        <v>8</v>
      </c>
      <c r="C95">
        <f>IFERROR(AVERAGEIFS(Responses!$E:$E,Responses!$A:$A,$A95,Responses!$D:$D,$B95),"")</f>
        <v>3.5</v>
      </c>
      <c r="D95">
        <f>IFERROR(AVERAGEIFS(Responses!$F:$F,Responses!$A:$A,$A95,Responses!$D:$D,$B95),"")</f>
        <v>70</v>
      </c>
      <c r="E95">
        <f>IFERROR(SUMIFS(Responses!$G:$G,Responses!$A:$A,$A95,Responses!$D:$D,$B95)/COUNTIFS(Responses!$A:$A,$A95,Responses!$D:$D,$B95),0)*100</f>
        <v>50</v>
      </c>
      <c r="F95">
        <f>COUNTIFS(Responses!$A:$A,$A95,Responses!$D:$D,$B95)</f>
        <v>4</v>
      </c>
    </row>
    <row r="96" spans="1:6" hidden="1" x14ac:dyDescent="0.35">
      <c r="A96" t="s">
        <v>100</v>
      </c>
      <c r="B96" s="7" t="s">
        <v>9</v>
      </c>
      <c r="C96">
        <f>IFERROR(AVERAGEIFS(Responses!$E:$E,Responses!$A:$A,$A96,Responses!$D:$D,$B96),"")</f>
        <v>3.5</v>
      </c>
      <c r="D96">
        <f>IFERROR(AVERAGEIFS(Responses!$F:$F,Responses!$A:$A,$A96,Responses!$D:$D,$B96),"")</f>
        <v>70</v>
      </c>
      <c r="E96">
        <f>IFERROR(SUMIFS(Responses!$G:$G,Responses!$A:$A,$A96,Responses!$D:$D,$B96)/COUNTIFS(Responses!$A:$A,$A96,Responses!$D:$D,$B96),0)*100</f>
        <v>50</v>
      </c>
      <c r="F96">
        <f>COUNTIFS(Responses!$A:$A,$A96,Responses!$D:$D,$B96)</f>
        <v>4</v>
      </c>
    </row>
    <row r="97" spans="1:6" hidden="1" x14ac:dyDescent="0.35">
      <c r="A97" t="s">
        <v>100</v>
      </c>
      <c r="B97" s="7" t="s">
        <v>10</v>
      </c>
      <c r="C97">
        <f>IFERROR(AVERAGEIFS(Responses!$E:$E,Responses!$A:$A,$A97,Responses!$D:$D,$B97),"")</f>
        <v>3.5</v>
      </c>
      <c r="D97">
        <f>IFERROR(AVERAGEIFS(Responses!$F:$F,Responses!$A:$A,$A97,Responses!$D:$D,$B97),"")</f>
        <v>70</v>
      </c>
      <c r="E97">
        <f>IFERROR(SUMIFS(Responses!$G:$G,Responses!$A:$A,$A97,Responses!$D:$D,$B97)/COUNTIFS(Responses!$A:$A,$A97,Responses!$D:$D,$B97),0)*100</f>
        <v>50</v>
      </c>
      <c r="F97">
        <f>COUNTIFS(Responses!$A:$A,$A97,Responses!$D:$D,$B97)</f>
        <v>4</v>
      </c>
    </row>
    <row r="98" spans="1:6" hidden="1" x14ac:dyDescent="0.35">
      <c r="A98" t="s">
        <v>101</v>
      </c>
      <c r="B98" s="7" t="s">
        <v>0</v>
      </c>
      <c r="C98">
        <f>IFERROR(AVERAGEIFS(Responses!$E:$E,Responses!$A:$A,$A98,Responses!$D:$D,$B98),"")</f>
        <v>4</v>
      </c>
      <c r="D98">
        <f>IFERROR(AVERAGEIFS(Responses!$F:$F,Responses!$A:$A,$A98,Responses!$D:$D,$B98),"")</f>
        <v>80</v>
      </c>
      <c r="E98">
        <f>IFERROR(SUMIFS(Responses!$G:$G,Responses!$A:$A,$A98,Responses!$D:$D,$B98)/COUNTIFS(Responses!$A:$A,$A98,Responses!$D:$D,$B98),0)*100</f>
        <v>75</v>
      </c>
      <c r="F98">
        <f>COUNTIFS(Responses!$A:$A,$A98,Responses!$D:$D,$B98)</f>
        <v>4</v>
      </c>
    </row>
    <row r="99" spans="1:6" hidden="1" x14ac:dyDescent="0.35">
      <c r="A99" t="s">
        <v>101</v>
      </c>
      <c r="B99" s="7" t="s">
        <v>117</v>
      </c>
      <c r="C99">
        <f>IFERROR(AVERAGEIFS(Responses!$E:$E,Responses!$A:$A,$A99,Responses!$D:$D,$B99),"")</f>
        <v>3.5</v>
      </c>
      <c r="D99">
        <f>IFERROR(AVERAGEIFS(Responses!$F:$F,Responses!$A:$A,$A99,Responses!$D:$D,$B99),"")</f>
        <v>70</v>
      </c>
      <c r="E99">
        <f>IFERROR(SUMIFS(Responses!$G:$G,Responses!$A:$A,$A99,Responses!$D:$D,$B99)/COUNTIFS(Responses!$A:$A,$A99,Responses!$D:$D,$B99),0)*100</f>
        <v>50</v>
      </c>
      <c r="F99">
        <f>COUNTIFS(Responses!$A:$A,$A99,Responses!$D:$D,$B99)</f>
        <v>4</v>
      </c>
    </row>
    <row r="100" spans="1:6" hidden="1" x14ac:dyDescent="0.35">
      <c r="A100" t="s">
        <v>101</v>
      </c>
      <c r="B100" s="7" t="s">
        <v>3</v>
      </c>
      <c r="C100">
        <f>IFERROR(AVERAGEIFS(Responses!$E:$E,Responses!$A:$A,$A100,Responses!$D:$D,$B100),"")</f>
        <v>2.75</v>
      </c>
      <c r="D100">
        <f>IFERROR(AVERAGEIFS(Responses!$F:$F,Responses!$A:$A,$A100,Responses!$D:$D,$B100),"")</f>
        <v>55</v>
      </c>
      <c r="E100">
        <f>IFERROR(SUMIFS(Responses!$G:$G,Responses!$A:$A,$A100,Responses!$D:$D,$B100)/COUNTIFS(Responses!$A:$A,$A100,Responses!$D:$D,$B100),0)*100</f>
        <v>25</v>
      </c>
      <c r="F100">
        <f>COUNTIFS(Responses!$A:$A,$A100,Responses!$D:$D,$B100)</f>
        <v>4</v>
      </c>
    </row>
    <row r="101" spans="1:6" hidden="1" x14ac:dyDescent="0.35">
      <c r="A101" t="s">
        <v>101</v>
      </c>
      <c r="B101" s="7" t="s">
        <v>5</v>
      </c>
      <c r="C101">
        <f>IFERROR(AVERAGEIFS(Responses!$E:$E,Responses!$A:$A,$A101,Responses!$D:$D,$B101),"")</f>
        <v>4</v>
      </c>
      <c r="D101">
        <f>IFERROR(AVERAGEIFS(Responses!$F:$F,Responses!$A:$A,$A101,Responses!$D:$D,$B101),"")</f>
        <v>80</v>
      </c>
      <c r="E101">
        <f>IFERROR(SUMIFS(Responses!$G:$G,Responses!$A:$A,$A101,Responses!$D:$D,$B101)/COUNTIFS(Responses!$A:$A,$A101,Responses!$D:$D,$B101),0)*100</f>
        <v>75</v>
      </c>
      <c r="F101">
        <f>COUNTIFS(Responses!$A:$A,$A101,Responses!$D:$D,$B101)</f>
        <v>4</v>
      </c>
    </row>
    <row r="102" spans="1:6" hidden="1" x14ac:dyDescent="0.35">
      <c r="A102" t="s">
        <v>101</v>
      </c>
      <c r="B102" s="7" t="s">
        <v>7</v>
      </c>
      <c r="C102">
        <f>IFERROR(AVERAGEIFS(Responses!$E:$E,Responses!$A:$A,$A102,Responses!$D:$D,$B102),"")</f>
        <v>3.5</v>
      </c>
      <c r="D102">
        <f>IFERROR(AVERAGEIFS(Responses!$F:$F,Responses!$A:$A,$A102,Responses!$D:$D,$B102),"")</f>
        <v>70</v>
      </c>
      <c r="E102">
        <f>IFERROR(SUMIFS(Responses!$G:$G,Responses!$A:$A,$A102,Responses!$D:$D,$B102)/COUNTIFS(Responses!$A:$A,$A102,Responses!$D:$D,$B102),0)*100</f>
        <v>50</v>
      </c>
      <c r="F102">
        <f>COUNTIFS(Responses!$A:$A,$A102,Responses!$D:$D,$B102)</f>
        <v>4</v>
      </c>
    </row>
    <row r="103" spans="1:6" hidden="1" x14ac:dyDescent="0.35">
      <c r="A103" t="s">
        <v>101</v>
      </c>
      <c r="B103" s="7" t="s">
        <v>8</v>
      </c>
      <c r="C103">
        <f>IFERROR(AVERAGEIFS(Responses!$E:$E,Responses!$A:$A,$A103,Responses!$D:$D,$B103),"")</f>
        <v>4.25</v>
      </c>
      <c r="D103">
        <f>IFERROR(AVERAGEIFS(Responses!$F:$F,Responses!$A:$A,$A103,Responses!$D:$D,$B103),"")</f>
        <v>85</v>
      </c>
      <c r="E103">
        <f>IFERROR(SUMIFS(Responses!$G:$G,Responses!$A:$A,$A103,Responses!$D:$D,$B103)/COUNTIFS(Responses!$A:$A,$A103,Responses!$D:$D,$B103),0)*100</f>
        <v>75</v>
      </c>
      <c r="F103">
        <f>COUNTIFS(Responses!$A:$A,$A103,Responses!$D:$D,$B103)</f>
        <v>4</v>
      </c>
    </row>
    <row r="104" spans="1:6" hidden="1" x14ac:dyDescent="0.35">
      <c r="A104" t="s">
        <v>101</v>
      </c>
      <c r="B104" s="7" t="s">
        <v>9</v>
      </c>
      <c r="C104">
        <f>IFERROR(AVERAGEIFS(Responses!$E:$E,Responses!$A:$A,$A104,Responses!$D:$D,$B104),"")</f>
        <v>3.5</v>
      </c>
      <c r="D104">
        <f>IFERROR(AVERAGEIFS(Responses!$F:$F,Responses!$A:$A,$A104,Responses!$D:$D,$B104),"")</f>
        <v>70</v>
      </c>
      <c r="E104">
        <f>IFERROR(SUMIFS(Responses!$G:$G,Responses!$A:$A,$A104,Responses!$D:$D,$B104)/COUNTIFS(Responses!$A:$A,$A104,Responses!$D:$D,$B104),0)*100</f>
        <v>50</v>
      </c>
      <c r="F104">
        <f>COUNTIFS(Responses!$A:$A,$A104,Responses!$D:$D,$B104)</f>
        <v>4</v>
      </c>
    </row>
    <row r="105" spans="1:6" hidden="1" x14ac:dyDescent="0.35">
      <c r="A105" t="s">
        <v>101</v>
      </c>
      <c r="B105" s="7" t="s">
        <v>10</v>
      </c>
      <c r="C105">
        <f>IFERROR(AVERAGEIFS(Responses!$E:$E,Responses!$A:$A,$A105,Responses!$D:$D,$B105),"")</f>
        <v>2.5</v>
      </c>
      <c r="D105">
        <f>IFERROR(AVERAGEIFS(Responses!$F:$F,Responses!$A:$A,$A105,Responses!$D:$D,$B105),"")</f>
        <v>50</v>
      </c>
      <c r="E105">
        <f>IFERROR(SUMIFS(Responses!$G:$G,Responses!$A:$A,$A105,Responses!$D:$D,$B105)/COUNTIFS(Responses!$A:$A,$A105,Responses!$D:$D,$B105),0)*100</f>
        <v>25</v>
      </c>
      <c r="F105">
        <f>COUNTIFS(Responses!$A:$A,$A105,Responses!$D:$D,$B105)</f>
        <v>4</v>
      </c>
    </row>
    <row r="106" spans="1:6" hidden="1" x14ac:dyDescent="0.35">
      <c r="A106" t="s">
        <v>102</v>
      </c>
      <c r="B106" s="7" t="s">
        <v>0</v>
      </c>
      <c r="C106">
        <f>IFERROR(AVERAGEIFS(Responses!$E:$E,Responses!$A:$A,$A106,Responses!$D:$D,$B106),"")</f>
        <v>4.25</v>
      </c>
      <c r="D106">
        <f>IFERROR(AVERAGEIFS(Responses!$F:$F,Responses!$A:$A,$A106,Responses!$D:$D,$B106),"")</f>
        <v>85</v>
      </c>
      <c r="E106">
        <f>IFERROR(SUMIFS(Responses!$G:$G,Responses!$A:$A,$A106,Responses!$D:$D,$B106)/COUNTIFS(Responses!$A:$A,$A106,Responses!$D:$D,$B106),0)*100</f>
        <v>75</v>
      </c>
      <c r="F106">
        <f>COUNTIFS(Responses!$A:$A,$A106,Responses!$D:$D,$B106)</f>
        <v>4</v>
      </c>
    </row>
    <row r="107" spans="1:6" hidden="1" x14ac:dyDescent="0.35">
      <c r="A107" t="s">
        <v>102</v>
      </c>
      <c r="B107" s="7" t="s">
        <v>117</v>
      </c>
      <c r="C107">
        <f>IFERROR(AVERAGEIFS(Responses!$E:$E,Responses!$A:$A,$A107,Responses!$D:$D,$B107),"")</f>
        <v>3.5</v>
      </c>
      <c r="D107">
        <f>IFERROR(AVERAGEIFS(Responses!$F:$F,Responses!$A:$A,$A107,Responses!$D:$D,$B107),"")</f>
        <v>70</v>
      </c>
      <c r="E107">
        <f>IFERROR(SUMIFS(Responses!$G:$G,Responses!$A:$A,$A107,Responses!$D:$D,$B107)/COUNTIFS(Responses!$A:$A,$A107,Responses!$D:$D,$B107),0)*100</f>
        <v>50</v>
      </c>
      <c r="F107">
        <f>COUNTIFS(Responses!$A:$A,$A107,Responses!$D:$D,$B107)</f>
        <v>4</v>
      </c>
    </row>
    <row r="108" spans="1:6" hidden="1" x14ac:dyDescent="0.35">
      <c r="A108" t="s">
        <v>102</v>
      </c>
      <c r="B108" s="7" t="s">
        <v>3</v>
      </c>
      <c r="C108">
        <f>IFERROR(AVERAGEIFS(Responses!$E:$E,Responses!$A:$A,$A108,Responses!$D:$D,$B108),"")</f>
        <v>2.5</v>
      </c>
      <c r="D108">
        <f>IFERROR(AVERAGEIFS(Responses!$F:$F,Responses!$A:$A,$A108,Responses!$D:$D,$B108),"")</f>
        <v>50</v>
      </c>
      <c r="E108">
        <f>IFERROR(SUMIFS(Responses!$G:$G,Responses!$A:$A,$A108,Responses!$D:$D,$B108)/COUNTIFS(Responses!$A:$A,$A108,Responses!$D:$D,$B108),0)*100</f>
        <v>25</v>
      </c>
      <c r="F108">
        <f>COUNTIFS(Responses!$A:$A,$A108,Responses!$D:$D,$B108)</f>
        <v>4</v>
      </c>
    </row>
    <row r="109" spans="1:6" hidden="1" x14ac:dyDescent="0.35">
      <c r="A109" t="s">
        <v>102</v>
      </c>
      <c r="B109" s="7" t="s">
        <v>5</v>
      </c>
      <c r="C109">
        <f>IFERROR(AVERAGEIFS(Responses!$E:$E,Responses!$A:$A,$A109,Responses!$D:$D,$B109),"")</f>
        <v>4.25</v>
      </c>
      <c r="D109">
        <f>IFERROR(AVERAGEIFS(Responses!$F:$F,Responses!$A:$A,$A109,Responses!$D:$D,$B109),"")</f>
        <v>85</v>
      </c>
      <c r="E109">
        <f>IFERROR(SUMIFS(Responses!$G:$G,Responses!$A:$A,$A109,Responses!$D:$D,$B109)/COUNTIFS(Responses!$A:$A,$A109,Responses!$D:$D,$B109),0)*100</f>
        <v>75</v>
      </c>
      <c r="F109">
        <f>COUNTIFS(Responses!$A:$A,$A109,Responses!$D:$D,$B109)</f>
        <v>4</v>
      </c>
    </row>
    <row r="110" spans="1:6" hidden="1" x14ac:dyDescent="0.35">
      <c r="A110" t="s">
        <v>102</v>
      </c>
      <c r="B110" s="7" t="s">
        <v>7</v>
      </c>
      <c r="C110">
        <f>IFERROR(AVERAGEIFS(Responses!$E:$E,Responses!$A:$A,$A110,Responses!$D:$D,$B110),"")</f>
        <v>3.5</v>
      </c>
      <c r="D110">
        <f>IFERROR(AVERAGEIFS(Responses!$F:$F,Responses!$A:$A,$A110,Responses!$D:$D,$B110),"")</f>
        <v>70</v>
      </c>
      <c r="E110">
        <f>IFERROR(SUMIFS(Responses!$G:$G,Responses!$A:$A,$A110,Responses!$D:$D,$B110)/COUNTIFS(Responses!$A:$A,$A110,Responses!$D:$D,$B110),0)*100</f>
        <v>50</v>
      </c>
      <c r="F110">
        <f>COUNTIFS(Responses!$A:$A,$A110,Responses!$D:$D,$B110)</f>
        <v>4</v>
      </c>
    </row>
    <row r="111" spans="1:6" hidden="1" x14ac:dyDescent="0.35">
      <c r="A111" t="s">
        <v>102</v>
      </c>
      <c r="B111" s="7" t="s">
        <v>8</v>
      </c>
      <c r="C111">
        <f>IFERROR(AVERAGEIFS(Responses!$E:$E,Responses!$A:$A,$A111,Responses!$D:$D,$B111),"")</f>
        <v>3.75</v>
      </c>
      <c r="D111">
        <f>IFERROR(AVERAGEIFS(Responses!$F:$F,Responses!$A:$A,$A111,Responses!$D:$D,$B111),"")</f>
        <v>75</v>
      </c>
      <c r="E111">
        <f>IFERROR(SUMIFS(Responses!$G:$G,Responses!$A:$A,$A111,Responses!$D:$D,$B111)/COUNTIFS(Responses!$A:$A,$A111,Responses!$D:$D,$B111),0)*100</f>
        <v>50</v>
      </c>
      <c r="F111">
        <f>COUNTIFS(Responses!$A:$A,$A111,Responses!$D:$D,$B111)</f>
        <v>4</v>
      </c>
    </row>
    <row r="112" spans="1:6" hidden="1" x14ac:dyDescent="0.35">
      <c r="A112" t="s">
        <v>102</v>
      </c>
      <c r="B112" s="7" t="s">
        <v>9</v>
      </c>
      <c r="C112">
        <f>IFERROR(AVERAGEIFS(Responses!$E:$E,Responses!$A:$A,$A112,Responses!$D:$D,$B112),"")</f>
        <v>3.25</v>
      </c>
      <c r="D112">
        <f>IFERROR(AVERAGEIFS(Responses!$F:$F,Responses!$A:$A,$A112,Responses!$D:$D,$B112),"")</f>
        <v>65</v>
      </c>
      <c r="E112">
        <f>IFERROR(SUMIFS(Responses!$G:$G,Responses!$A:$A,$A112,Responses!$D:$D,$B112)/COUNTIFS(Responses!$A:$A,$A112,Responses!$D:$D,$B112),0)*100</f>
        <v>50</v>
      </c>
      <c r="F112">
        <f>COUNTIFS(Responses!$A:$A,$A112,Responses!$D:$D,$B112)</f>
        <v>4</v>
      </c>
    </row>
    <row r="113" spans="1:6" hidden="1" x14ac:dyDescent="0.35">
      <c r="A113" t="s">
        <v>102</v>
      </c>
      <c r="B113" s="7" t="s">
        <v>10</v>
      </c>
      <c r="C113">
        <f>IFERROR(AVERAGEIFS(Responses!$E:$E,Responses!$A:$A,$A113,Responses!$D:$D,$B113),"")</f>
        <v>4.25</v>
      </c>
      <c r="D113">
        <f>IFERROR(AVERAGEIFS(Responses!$F:$F,Responses!$A:$A,$A113,Responses!$D:$D,$B113),"")</f>
        <v>85</v>
      </c>
      <c r="E113">
        <f>IFERROR(SUMIFS(Responses!$G:$G,Responses!$A:$A,$A113,Responses!$D:$D,$B113)/COUNTIFS(Responses!$A:$A,$A113,Responses!$D:$D,$B113),0)*100</f>
        <v>75</v>
      </c>
      <c r="F113">
        <f>COUNTIFS(Responses!$A:$A,$A113,Responses!$D:$D,$B113)</f>
        <v>4</v>
      </c>
    </row>
    <row r="114" spans="1:6" hidden="1" x14ac:dyDescent="0.35">
      <c r="A114" t="s">
        <v>103</v>
      </c>
      <c r="B114" s="7" t="s">
        <v>0</v>
      </c>
      <c r="C114">
        <f>IFERROR(AVERAGEIFS(Responses!$E:$E,Responses!$A:$A,$A114,Responses!$D:$D,$B114),"")</f>
        <v>2.5</v>
      </c>
      <c r="D114">
        <f>IFERROR(AVERAGEIFS(Responses!$F:$F,Responses!$A:$A,$A114,Responses!$D:$D,$B114),"")</f>
        <v>50</v>
      </c>
      <c r="E114">
        <f>IFERROR(SUMIFS(Responses!$G:$G,Responses!$A:$A,$A114,Responses!$D:$D,$B114)/COUNTIFS(Responses!$A:$A,$A114,Responses!$D:$D,$B114),0)*100</f>
        <v>25</v>
      </c>
      <c r="F114">
        <f>COUNTIFS(Responses!$A:$A,$A114,Responses!$D:$D,$B114)</f>
        <v>4</v>
      </c>
    </row>
    <row r="115" spans="1:6" hidden="1" x14ac:dyDescent="0.35">
      <c r="A115" t="s">
        <v>103</v>
      </c>
      <c r="B115" s="7" t="s">
        <v>117</v>
      </c>
      <c r="C115">
        <f>IFERROR(AVERAGEIFS(Responses!$E:$E,Responses!$A:$A,$A115,Responses!$D:$D,$B115),"")</f>
        <v>4.25</v>
      </c>
      <c r="D115">
        <f>IFERROR(AVERAGEIFS(Responses!$F:$F,Responses!$A:$A,$A115,Responses!$D:$D,$B115),"")</f>
        <v>85</v>
      </c>
      <c r="E115">
        <f>IFERROR(SUMIFS(Responses!$G:$G,Responses!$A:$A,$A115,Responses!$D:$D,$B115)/COUNTIFS(Responses!$A:$A,$A115,Responses!$D:$D,$B115),0)*100</f>
        <v>75</v>
      </c>
      <c r="F115">
        <f>COUNTIFS(Responses!$A:$A,$A115,Responses!$D:$D,$B115)</f>
        <v>4</v>
      </c>
    </row>
    <row r="116" spans="1:6" hidden="1" x14ac:dyDescent="0.35">
      <c r="A116" t="s">
        <v>103</v>
      </c>
      <c r="B116" s="7" t="s">
        <v>3</v>
      </c>
      <c r="C116">
        <f>IFERROR(AVERAGEIFS(Responses!$E:$E,Responses!$A:$A,$A116,Responses!$D:$D,$B116),"")</f>
        <v>3.5</v>
      </c>
      <c r="D116">
        <f>IFERROR(AVERAGEIFS(Responses!$F:$F,Responses!$A:$A,$A116,Responses!$D:$D,$B116),"")</f>
        <v>70</v>
      </c>
      <c r="E116">
        <f>IFERROR(SUMIFS(Responses!$G:$G,Responses!$A:$A,$A116,Responses!$D:$D,$B116)/COUNTIFS(Responses!$A:$A,$A116,Responses!$D:$D,$B116),0)*100</f>
        <v>50</v>
      </c>
      <c r="F116">
        <f>COUNTIFS(Responses!$A:$A,$A116,Responses!$D:$D,$B116)</f>
        <v>4</v>
      </c>
    </row>
    <row r="117" spans="1:6" hidden="1" x14ac:dyDescent="0.35">
      <c r="A117" t="s">
        <v>103</v>
      </c>
      <c r="B117" s="7" t="s">
        <v>5</v>
      </c>
      <c r="C117">
        <f>IFERROR(AVERAGEIFS(Responses!$E:$E,Responses!$A:$A,$A117,Responses!$D:$D,$B117),"")</f>
        <v>3.75</v>
      </c>
      <c r="D117">
        <f>IFERROR(AVERAGEIFS(Responses!$F:$F,Responses!$A:$A,$A117,Responses!$D:$D,$B117),"")</f>
        <v>75</v>
      </c>
      <c r="E117">
        <f>IFERROR(SUMIFS(Responses!$G:$G,Responses!$A:$A,$A117,Responses!$D:$D,$B117)/COUNTIFS(Responses!$A:$A,$A117,Responses!$D:$D,$B117),0)*100</f>
        <v>50</v>
      </c>
      <c r="F117">
        <f>COUNTIFS(Responses!$A:$A,$A117,Responses!$D:$D,$B117)</f>
        <v>4</v>
      </c>
    </row>
    <row r="118" spans="1:6" hidden="1" x14ac:dyDescent="0.35">
      <c r="A118" t="s">
        <v>103</v>
      </c>
      <c r="B118" s="7" t="s">
        <v>7</v>
      </c>
      <c r="C118">
        <f>IFERROR(AVERAGEIFS(Responses!$E:$E,Responses!$A:$A,$A118,Responses!$D:$D,$B118),"")</f>
        <v>4</v>
      </c>
      <c r="D118">
        <f>IFERROR(AVERAGEIFS(Responses!$F:$F,Responses!$A:$A,$A118,Responses!$D:$D,$B118),"")</f>
        <v>80</v>
      </c>
      <c r="E118">
        <f>IFERROR(SUMIFS(Responses!$G:$G,Responses!$A:$A,$A118,Responses!$D:$D,$B118)/COUNTIFS(Responses!$A:$A,$A118,Responses!$D:$D,$B118),0)*100</f>
        <v>75</v>
      </c>
      <c r="F118">
        <f>COUNTIFS(Responses!$A:$A,$A118,Responses!$D:$D,$B118)</f>
        <v>4</v>
      </c>
    </row>
    <row r="119" spans="1:6" hidden="1" x14ac:dyDescent="0.35">
      <c r="A119" t="s">
        <v>103</v>
      </c>
      <c r="B119" s="7" t="s">
        <v>8</v>
      </c>
      <c r="C119">
        <f>IFERROR(AVERAGEIFS(Responses!$E:$E,Responses!$A:$A,$A119,Responses!$D:$D,$B119),"")</f>
        <v>2.5</v>
      </c>
      <c r="D119">
        <f>IFERROR(AVERAGEIFS(Responses!$F:$F,Responses!$A:$A,$A119,Responses!$D:$D,$B119),"")</f>
        <v>50</v>
      </c>
      <c r="E119">
        <f>IFERROR(SUMIFS(Responses!$G:$G,Responses!$A:$A,$A119,Responses!$D:$D,$B119)/COUNTIFS(Responses!$A:$A,$A119,Responses!$D:$D,$B119),0)*100</f>
        <v>25</v>
      </c>
      <c r="F119">
        <f>COUNTIFS(Responses!$A:$A,$A119,Responses!$D:$D,$B119)</f>
        <v>4</v>
      </c>
    </row>
    <row r="120" spans="1:6" hidden="1" x14ac:dyDescent="0.35">
      <c r="A120" t="s">
        <v>103</v>
      </c>
      <c r="B120" s="7" t="s">
        <v>9</v>
      </c>
      <c r="C120">
        <f>IFERROR(AVERAGEIFS(Responses!$E:$E,Responses!$A:$A,$A120,Responses!$D:$D,$B120),"")</f>
        <v>4.25</v>
      </c>
      <c r="D120">
        <f>IFERROR(AVERAGEIFS(Responses!$F:$F,Responses!$A:$A,$A120,Responses!$D:$D,$B120),"")</f>
        <v>85</v>
      </c>
      <c r="E120">
        <f>IFERROR(SUMIFS(Responses!$G:$G,Responses!$A:$A,$A120,Responses!$D:$D,$B120)/COUNTIFS(Responses!$A:$A,$A120,Responses!$D:$D,$B120),0)*100</f>
        <v>75</v>
      </c>
      <c r="F120">
        <f>COUNTIFS(Responses!$A:$A,$A120,Responses!$D:$D,$B120)</f>
        <v>4</v>
      </c>
    </row>
    <row r="121" spans="1:6" hidden="1" x14ac:dyDescent="0.35">
      <c r="A121" t="s">
        <v>103</v>
      </c>
      <c r="B121" s="7" t="s">
        <v>10</v>
      </c>
      <c r="C121">
        <f>IFERROR(AVERAGEIFS(Responses!$E:$E,Responses!$A:$A,$A121,Responses!$D:$D,$B121),"")</f>
        <v>3.5</v>
      </c>
      <c r="D121">
        <f>IFERROR(AVERAGEIFS(Responses!$F:$F,Responses!$A:$A,$A121,Responses!$D:$D,$B121),"")</f>
        <v>70</v>
      </c>
      <c r="E121">
        <f>IFERROR(SUMIFS(Responses!$G:$G,Responses!$A:$A,$A121,Responses!$D:$D,$B121)/COUNTIFS(Responses!$A:$A,$A121,Responses!$D:$D,$B121),0)*100</f>
        <v>50</v>
      </c>
      <c r="F121">
        <f>COUNTIFS(Responses!$A:$A,$A121,Responses!$D:$D,$B121)</f>
        <v>4</v>
      </c>
    </row>
    <row r="122" spans="1:6" hidden="1" x14ac:dyDescent="0.35">
      <c r="A122" t="s">
        <v>104</v>
      </c>
      <c r="B122" s="7" t="s">
        <v>0</v>
      </c>
      <c r="C122">
        <f>IFERROR(AVERAGEIFS(Responses!$E:$E,Responses!$A:$A,$A122,Responses!$D:$D,$B122),"")</f>
        <v>3.75</v>
      </c>
      <c r="D122">
        <f>IFERROR(AVERAGEIFS(Responses!$F:$F,Responses!$A:$A,$A122,Responses!$D:$D,$B122),"")</f>
        <v>75</v>
      </c>
      <c r="E122">
        <f>IFERROR(SUMIFS(Responses!$G:$G,Responses!$A:$A,$A122,Responses!$D:$D,$B122)/COUNTIFS(Responses!$A:$A,$A122,Responses!$D:$D,$B122),0)*100</f>
        <v>50</v>
      </c>
      <c r="F122">
        <f>COUNTIFS(Responses!$A:$A,$A122,Responses!$D:$D,$B122)</f>
        <v>4</v>
      </c>
    </row>
    <row r="123" spans="1:6" hidden="1" x14ac:dyDescent="0.35">
      <c r="A123" t="s">
        <v>104</v>
      </c>
      <c r="B123" s="7" t="s">
        <v>117</v>
      </c>
      <c r="C123">
        <f>IFERROR(AVERAGEIFS(Responses!$E:$E,Responses!$A:$A,$A123,Responses!$D:$D,$B123),"")</f>
        <v>4</v>
      </c>
      <c r="D123">
        <f>IFERROR(AVERAGEIFS(Responses!$F:$F,Responses!$A:$A,$A123,Responses!$D:$D,$B123),"")</f>
        <v>80</v>
      </c>
      <c r="E123">
        <f>IFERROR(SUMIFS(Responses!$G:$G,Responses!$A:$A,$A123,Responses!$D:$D,$B123)/COUNTIFS(Responses!$A:$A,$A123,Responses!$D:$D,$B123),0)*100</f>
        <v>75</v>
      </c>
      <c r="F123">
        <f>COUNTIFS(Responses!$A:$A,$A123,Responses!$D:$D,$B123)</f>
        <v>4</v>
      </c>
    </row>
    <row r="124" spans="1:6" hidden="1" x14ac:dyDescent="0.35">
      <c r="A124" t="s">
        <v>104</v>
      </c>
      <c r="B124" s="7" t="s">
        <v>3</v>
      </c>
      <c r="C124">
        <f>IFERROR(AVERAGEIFS(Responses!$E:$E,Responses!$A:$A,$A124,Responses!$D:$D,$B124),"")</f>
        <v>2.5</v>
      </c>
      <c r="D124">
        <f>IFERROR(AVERAGEIFS(Responses!$F:$F,Responses!$A:$A,$A124,Responses!$D:$D,$B124),"")</f>
        <v>50</v>
      </c>
      <c r="E124">
        <f>IFERROR(SUMIFS(Responses!$G:$G,Responses!$A:$A,$A124,Responses!$D:$D,$B124)/COUNTIFS(Responses!$A:$A,$A124,Responses!$D:$D,$B124),0)*100</f>
        <v>25</v>
      </c>
      <c r="F124">
        <f>COUNTIFS(Responses!$A:$A,$A124,Responses!$D:$D,$B124)</f>
        <v>4</v>
      </c>
    </row>
    <row r="125" spans="1:6" hidden="1" x14ac:dyDescent="0.35">
      <c r="A125" t="s">
        <v>104</v>
      </c>
      <c r="B125" s="7" t="s">
        <v>5</v>
      </c>
      <c r="C125">
        <f>IFERROR(AVERAGEIFS(Responses!$E:$E,Responses!$A:$A,$A125,Responses!$D:$D,$B125),"")</f>
        <v>4.25</v>
      </c>
      <c r="D125">
        <f>IFERROR(AVERAGEIFS(Responses!$F:$F,Responses!$A:$A,$A125,Responses!$D:$D,$B125),"")</f>
        <v>85</v>
      </c>
      <c r="E125">
        <f>IFERROR(SUMIFS(Responses!$G:$G,Responses!$A:$A,$A125,Responses!$D:$D,$B125)/COUNTIFS(Responses!$A:$A,$A125,Responses!$D:$D,$B125),0)*100</f>
        <v>75</v>
      </c>
      <c r="F125">
        <f>COUNTIFS(Responses!$A:$A,$A125,Responses!$D:$D,$B125)</f>
        <v>4</v>
      </c>
    </row>
    <row r="126" spans="1:6" hidden="1" x14ac:dyDescent="0.35">
      <c r="A126" t="s">
        <v>104</v>
      </c>
      <c r="B126" s="7" t="s">
        <v>7</v>
      </c>
      <c r="C126">
        <f>IFERROR(AVERAGEIFS(Responses!$E:$E,Responses!$A:$A,$A126,Responses!$D:$D,$B126),"")</f>
        <v>3.5</v>
      </c>
      <c r="D126">
        <f>IFERROR(AVERAGEIFS(Responses!$F:$F,Responses!$A:$A,$A126,Responses!$D:$D,$B126),"")</f>
        <v>70</v>
      </c>
      <c r="E126">
        <f>IFERROR(SUMIFS(Responses!$G:$G,Responses!$A:$A,$A126,Responses!$D:$D,$B126)/COUNTIFS(Responses!$A:$A,$A126,Responses!$D:$D,$B126),0)*100</f>
        <v>50</v>
      </c>
      <c r="F126">
        <f>COUNTIFS(Responses!$A:$A,$A126,Responses!$D:$D,$B126)</f>
        <v>4</v>
      </c>
    </row>
    <row r="127" spans="1:6" hidden="1" x14ac:dyDescent="0.35">
      <c r="A127" t="s">
        <v>104</v>
      </c>
      <c r="B127" s="7" t="s">
        <v>8</v>
      </c>
      <c r="C127">
        <f>IFERROR(AVERAGEIFS(Responses!$E:$E,Responses!$A:$A,$A127,Responses!$D:$D,$B127),"")</f>
        <v>3.75</v>
      </c>
      <c r="D127">
        <f>IFERROR(AVERAGEIFS(Responses!$F:$F,Responses!$A:$A,$A127,Responses!$D:$D,$B127),"")</f>
        <v>75</v>
      </c>
      <c r="E127">
        <f>IFERROR(SUMIFS(Responses!$G:$G,Responses!$A:$A,$A127,Responses!$D:$D,$B127)/COUNTIFS(Responses!$A:$A,$A127,Responses!$D:$D,$B127),0)*100</f>
        <v>50</v>
      </c>
      <c r="F127">
        <f>COUNTIFS(Responses!$A:$A,$A127,Responses!$D:$D,$B127)</f>
        <v>4</v>
      </c>
    </row>
    <row r="128" spans="1:6" hidden="1" x14ac:dyDescent="0.35">
      <c r="A128" t="s">
        <v>104</v>
      </c>
      <c r="B128" s="7" t="s">
        <v>9</v>
      </c>
      <c r="C128">
        <f>IFERROR(AVERAGEIFS(Responses!$E:$E,Responses!$A:$A,$A128,Responses!$D:$D,$B128),"")</f>
        <v>4</v>
      </c>
      <c r="D128">
        <f>IFERROR(AVERAGEIFS(Responses!$F:$F,Responses!$A:$A,$A128,Responses!$D:$D,$B128),"")</f>
        <v>80</v>
      </c>
      <c r="E128">
        <f>IFERROR(SUMIFS(Responses!$G:$G,Responses!$A:$A,$A128,Responses!$D:$D,$B128)/COUNTIFS(Responses!$A:$A,$A128,Responses!$D:$D,$B128),0)*100</f>
        <v>75</v>
      </c>
      <c r="F128">
        <f>COUNTIFS(Responses!$A:$A,$A128,Responses!$D:$D,$B128)</f>
        <v>4</v>
      </c>
    </row>
    <row r="129" spans="1:6" hidden="1" x14ac:dyDescent="0.35">
      <c r="A129" t="s">
        <v>104</v>
      </c>
      <c r="B129" s="7" t="s">
        <v>10</v>
      </c>
      <c r="C129">
        <f>IFERROR(AVERAGEIFS(Responses!$E:$E,Responses!$A:$A,$A129,Responses!$D:$D,$B129),"")</f>
        <v>2.5</v>
      </c>
      <c r="D129">
        <f>IFERROR(AVERAGEIFS(Responses!$F:$F,Responses!$A:$A,$A129,Responses!$D:$D,$B129),"")</f>
        <v>50</v>
      </c>
      <c r="E129">
        <f>IFERROR(SUMIFS(Responses!$G:$G,Responses!$A:$A,$A129,Responses!$D:$D,$B129)/COUNTIFS(Responses!$A:$A,$A129,Responses!$D:$D,$B129),0)*100</f>
        <v>25</v>
      </c>
      <c r="F129">
        <f>COUNTIFS(Responses!$A:$A,$A129,Responses!$D:$D,$B129)</f>
        <v>4</v>
      </c>
    </row>
    <row r="130" spans="1:6" hidden="1" x14ac:dyDescent="0.35">
      <c r="A130" t="s">
        <v>105</v>
      </c>
      <c r="B130" s="7" t="s">
        <v>0</v>
      </c>
      <c r="C130">
        <f>IFERROR(AVERAGEIFS(Responses!$E:$E,Responses!$A:$A,$A130,Responses!$D:$D,$B130),"")</f>
        <v>4.25</v>
      </c>
      <c r="D130">
        <f>IFERROR(AVERAGEIFS(Responses!$F:$F,Responses!$A:$A,$A130,Responses!$D:$D,$B130),"")</f>
        <v>85</v>
      </c>
      <c r="E130">
        <f>IFERROR(SUMIFS(Responses!$G:$G,Responses!$A:$A,$A130,Responses!$D:$D,$B130)/COUNTIFS(Responses!$A:$A,$A130,Responses!$D:$D,$B130),0)*100</f>
        <v>75</v>
      </c>
      <c r="F130">
        <f>COUNTIFS(Responses!$A:$A,$A130,Responses!$D:$D,$B130)</f>
        <v>4</v>
      </c>
    </row>
    <row r="131" spans="1:6" hidden="1" x14ac:dyDescent="0.35">
      <c r="A131" t="s">
        <v>105</v>
      </c>
      <c r="B131" s="7" t="s">
        <v>117</v>
      </c>
      <c r="C131">
        <f>IFERROR(AVERAGEIFS(Responses!$E:$E,Responses!$A:$A,$A131,Responses!$D:$D,$B131),"")</f>
        <v>3.5</v>
      </c>
      <c r="D131">
        <f>IFERROR(AVERAGEIFS(Responses!$F:$F,Responses!$A:$A,$A131,Responses!$D:$D,$B131),"")</f>
        <v>70</v>
      </c>
      <c r="E131">
        <f>IFERROR(SUMIFS(Responses!$G:$G,Responses!$A:$A,$A131,Responses!$D:$D,$B131)/COUNTIFS(Responses!$A:$A,$A131,Responses!$D:$D,$B131),0)*100</f>
        <v>50</v>
      </c>
      <c r="F131">
        <f>COUNTIFS(Responses!$A:$A,$A131,Responses!$D:$D,$B131)</f>
        <v>4</v>
      </c>
    </row>
    <row r="132" spans="1:6" hidden="1" x14ac:dyDescent="0.35">
      <c r="A132" t="s">
        <v>105</v>
      </c>
      <c r="B132" s="7" t="s">
        <v>3</v>
      </c>
      <c r="C132">
        <f>IFERROR(AVERAGEIFS(Responses!$E:$E,Responses!$A:$A,$A132,Responses!$D:$D,$B132),"")</f>
        <v>3.75</v>
      </c>
      <c r="D132">
        <f>IFERROR(AVERAGEIFS(Responses!$F:$F,Responses!$A:$A,$A132,Responses!$D:$D,$B132),"")</f>
        <v>75</v>
      </c>
      <c r="E132">
        <f>IFERROR(SUMIFS(Responses!$G:$G,Responses!$A:$A,$A132,Responses!$D:$D,$B132)/COUNTIFS(Responses!$A:$A,$A132,Responses!$D:$D,$B132),0)*100</f>
        <v>50</v>
      </c>
      <c r="F132">
        <f>COUNTIFS(Responses!$A:$A,$A132,Responses!$D:$D,$B132)</f>
        <v>4</v>
      </c>
    </row>
    <row r="133" spans="1:6" hidden="1" x14ac:dyDescent="0.35">
      <c r="A133" t="s">
        <v>105</v>
      </c>
      <c r="B133" s="7" t="s">
        <v>5</v>
      </c>
      <c r="C133">
        <f>IFERROR(AVERAGEIFS(Responses!$E:$E,Responses!$A:$A,$A133,Responses!$D:$D,$B133),"")</f>
        <v>5</v>
      </c>
      <c r="D133">
        <f>IFERROR(AVERAGEIFS(Responses!$F:$F,Responses!$A:$A,$A133,Responses!$D:$D,$B133),"")</f>
        <v>100</v>
      </c>
      <c r="E133">
        <f>IFERROR(SUMIFS(Responses!$G:$G,Responses!$A:$A,$A133,Responses!$D:$D,$B133)/COUNTIFS(Responses!$A:$A,$A133,Responses!$D:$D,$B133),0)*100</f>
        <v>100</v>
      </c>
      <c r="F133">
        <f>COUNTIFS(Responses!$A:$A,$A133,Responses!$D:$D,$B133)</f>
        <v>4</v>
      </c>
    </row>
    <row r="134" spans="1:6" hidden="1" x14ac:dyDescent="0.35">
      <c r="A134" t="s">
        <v>105</v>
      </c>
      <c r="B134" s="7" t="s">
        <v>7</v>
      </c>
      <c r="C134">
        <f>IFERROR(AVERAGEIFS(Responses!$E:$E,Responses!$A:$A,$A134,Responses!$D:$D,$B134),"")</f>
        <v>5</v>
      </c>
      <c r="D134">
        <f>IFERROR(AVERAGEIFS(Responses!$F:$F,Responses!$A:$A,$A134,Responses!$D:$D,$B134),"")</f>
        <v>100</v>
      </c>
      <c r="E134">
        <f>IFERROR(SUMIFS(Responses!$G:$G,Responses!$A:$A,$A134,Responses!$D:$D,$B134)/COUNTIFS(Responses!$A:$A,$A134,Responses!$D:$D,$B134),0)*100</f>
        <v>100</v>
      </c>
      <c r="F134">
        <f>COUNTIFS(Responses!$A:$A,$A134,Responses!$D:$D,$B134)</f>
        <v>4</v>
      </c>
    </row>
    <row r="135" spans="1:6" hidden="1" x14ac:dyDescent="0.35">
      <c r="A135" t="s">
        <v>105</v>
      </c>
      <c r="B135" s="7" t="s">
        <v>8</v>
      </c>
      <c r="C135">
        <f>IFERROR(AVERAGEIFS(Responses!$E:$E,Responses!$A:$A,$A135,Responses!$D:$D,$B135),"")</f>
        <v>4.25</v>
      </c>
      <c r="D135">
        <f>IFERROR(AVERAGEIFS(Responses!$F:$F,Responses!$A:$A,$A135,Responses!$D:$D,$B135),"")</f>
        <v>85</v>
      </c>
      <c r="E135">
        <f>IFERROR(SUMIFS(Responses!$G:$G,Responses!$A:$A,$A135,Responses!$D:$D,$B135)/COUNTIFS(Responses!$A:$A,$A135,Responses!$D:$D,$B135),0)*100</f>
        <v>100</v>
      </c>
      <c r="F135">
        <f>COUNTIFS(Responses!$A:$A,$A135,Responses!$D:$D,$B135)</f>
        <v>4</v>
      </c>
    </row>
    <row r="136" spans="1:6" hidden="1" x14ac:dyDescent="0.35">
      <c r="A136" t="s">
        <v>105</v>
      </c>
      <c r="B136" s="7" t="s">
        <v>9</v>
      </c>
      <c r="C136">
        <f>IFERROR(AVERAGEIFS(Responses!$E:$E,Responses!$A:$A,$A136,Responses!$D:$D,$B136),"")</f>
        <v>4</v>
      </c>
      <c r="D136">
        <f>IFERROR(AVERAGEIFS(Responses!$F:$F,Responses!$A:$A,$A136,Responses!$D:$D,$B136),"")</f>
        <v>80</v>
      </c>
      <c r="E136">
        <f>IFERROR(SUMIFS(Responses!$G:$G,Responses!$A:$A,$A136,Responses!$D:$D,$B136)/COUNTIFS(Responses!$A:$A,$A136,Responses!$D:$D,$B136),0)*100</f>
        <v>100</v>
      </c>
      <c r="F136">
        <f>COUNTIFS(Responses!$A:$A,$A136,Responses!$D:$D,$B136)</f>
        <v>4</v>
      </c>
    </row>
    <row r="137" spans="1:6" hidden="1" x14ac:dyDescent="0.35">
      <c r="A137" t="s">
        <v>105</v>
      </c>
      <c r="B137" s="7" t="s">
        <v>10</v>
      </c>
      <c r="C137">
        <f>IFERROR(AVERAGEIFS(Responses!$E:$E,Responses!$A:$A,$A137,Responses!$D:$D,$B137),"")</f>
        <v>4.25</v>
      </c>
      <c r="D137">
        <f>IFERROR(AVERAGEIFS(Responses!$F:$F,Responses!$A:$A,$A137,Responses!$D:$D,$B137),"")</f>
        <v>85</v>
      </c>
      <c r="E137">
        <f>IFERROR(SUMIFS(Responses!$G:$G,Responses!$A:$A,$A137,Responses!$D:$D,$B137)/COUNTIFS(Responses!$A:$A,$A137,Responses!$D:$D,$B137),0)*100</f>
        <v>75</v>
      </c>
      <c r="F137">
        <f>COUNTIFS(Responses!$A:$A,$A137,Responses!$D:$D,$B137)</f>
        <v>4</v>
      </c>
    </row>
    <row r="138" spans="1:6" hidden="1" x14ac:dyDescent="0.35">
      <c r="A138" t="s">
        <v>106</v>
      </c>
      <c r="B138" s="7" t="s">
        <v>0</v>
      </c>
      <c r="C138">
        <f>IFERROR(AVERAGEIFS(Responses!$E:$E,Responses!$A:$A,$A138,Responses!$D:$D,$B138),"")</f>
        <v>4.5</v>
      </c>
      <c r="D138">
        <f>IFERROR(AVERAGEIFS(Responses!$F:$F,Responses!$A:$A,$A138,Responses!$D:$D,$B138),"")</f>
        <v>90</v>
      </c>
      <c r="E138">
        <f>IFERROR(SUMIFS(Responses!$G:$G,Responses!$A:$A,$A138,Responses!$D:$D,$B138)/COUNTIFS(Responses!$A:$A,$A138,Responses!$D:$D,$B138),0)*100</f>
        <v>100</v>
      </c>
      <c r="F138">
        <f>COUNTIFS(Responses!$A:$A,$A138,Responses!$D:$D,$B138)</f>
        <v>4</v>
      </c>
    </row>
    <row r="139" spans="1:6" hidden="1" x14ac:dyDescent="0.35">
      <c r="A139" t="s">
        <v>106</v>
      </c>
      <c r="B139" s="7" t="s">
        <v>117</v>
      </c>
      <c r="C139">
        <f>IFERROR(AVERAGEIFS(Responses!$E:$E,Responses!$A:$A,$A139,Responses!$D:$D,$B139),"")</f>
        <v>5</v>
      </c>
      <c r="D139">
        <f>IFERROR(AVERAGEIFS(Responses!$F:$F,Responses!$A:$A,$A139,Responses!$D:$D,$B139),"")</f>
        <v>100</v>
      </c>
      <c r="E139">
        <f>IFERROR(SUMIFS(Responses!$G:$G,Responses!$A:$A,$A139,Responses!$D:$D,$B139)/COUNTIFS(Responses!$A:$A,$A139,Responses!$D:$D,$B139),0)*100</f>
        <v>100</v>
      </c>
      <c r="F139">
        <f>COUNTIFS(Responses!$A:$A,$A139,Responses!$D:$D,$B139)</f>
        <v>4</v>
      </c>
    </row>
    <row r="140" spans="1:6" hidden="1" x14ac:dyDescent="0.35">
      <c r="A140" t="s">
        <v>106</v>
      </c>
      <c r="B140" s="7" t="s">
        <v>3</v>
      </c>
      <c r="C140">
        <f>IFERROR(AVERAGEIFS(Responses!$E:$E,Responses!$A:$A,$A140,Responses!$D:$D,$B140),"")</f>
        <v>4.25</v>
      </c>
      <c r="D140">
        <f>IFERROR(AVERAGEIFS(Responses!$F:$F,Responses!$A:$A,$A140,Responses!$D:$D,$B140),"")</f>
        <v>85</v>
      </c>
      <c r="E140">
        <f>IFERROR(SUMIFS(Responses!$G:$G,Responses!$A:$A,$A140,Responses!$D:$D,$B140)/COUNTIFS(Responses!$A:$A,$A140,Responses!$D:$D,$B140),0)*100</f>
        <v>100</v>
      </c>
      <c r="F140">
        <f>COUNTIFS(Responses!$A:$A,$A140,Responses!$D:$D,$B140)</f>
        <v>4</v>
      </c>
    </row>
    <row r="141" spans="1:6" hidden="1" x14ac:dyDescent="0.35">
      <c r="A141" t="s">
        <v>106</v>
      </c>
      <c r="B141" s="7" t="s">
        <v>5</v>
      </c>
      <c r="C141">
        <f>IFERROR(AVERAGEIFS(Responses!$E:$E,Responses!$A:$A,$A141,Responses!$D:$D,$B141),"")</f>
        <v>4.25</v>
      </c>
      <c r="D141">
        <f>IFERROR(AVERAGEIFS(Responses!$F:$F,Responses!$A:$A,$A141,Responses!$D:$D,$B141),"")</f>
        <v>85</v>
      </c>
      <c r="E141">
        <f>IFERROR(SUMIFS(Responses!$G:$G,Responses!$A:$A,$A141,Responses!$D:$D,$B141)/COUNTIFS(Responses!$A:$A,$A141,Responses!$D:$D,$B141),0)*100</f>
        <v>100</v>
      </c>
      <c r="F141">
        <f>COUNTIFS(Responses!$A:$A,$A141,Responses!$D:$D,$B141)</f>
        <v>4</v>
      </c>
    </row>
    <row r="142" spans="1:6" hidden="1" x14ac:dyDescent="0.35">
      <c r="A142" t="s">
        <v>106</v>
      </c>
      <c r="B142" s="7" t="s">
        <v>7</v>
      </c>
      <c r="C142">
        <f>IFERROR(AVERAGEIFS(Responses!$E:$E,Responses!$A:$A,$A142,Responses!$D:$D,$B142),"")</f>
        <v>4</v>
      </c>
      <c r="D142">
        <f>IFERROR(AVERAGEIFS(Responses!$F:$F,Responses!$A:$A,$A142,Responses!$D:$D,$B142),"")</f>
        <v>80</v>
      </c>
      <c r="E142">
        <f>IFERROR(SUMIFS(Responses!$G:$G,Responses!$A:$A,$A142,Responses!$D:$D,$B142)/COUNTIFS(Responses!$A:$A,$A142,Responses!$D:$D,$B142),0)*100</f>
        <v>100</v>
      </c>
      <c r="F142">
        <f>COUNTIFS(Responses!$A:$A,$A142,Responses!$D:$D,$B142)</f>
        <v>4</v>
      </c>
    </row>
    <row r="143" spans="1:6" hidden="1" x14ac:dyDescent="0.35">
      <c r="A143" t="s">
        <v>106</v>
      </c>
      <c r="B143" s="7" t="s">
        <v>8</v>
      </c>
      <c r="C143">
        <f>IFERROR(AVERAGEIFS(Responses!$E:$E,Responses!$A:$A,$A143,Responses!$D:$D,$B143),"")</f>
        <v>4.25</v>
      </c>
      <c r="D143">
        <f>IFERROR(AVERAGEIFS(Responses!$F:$F,Responses!$A:$A,$A143,Responses!$D:$D,$B143),"")</f>
        <v>85</v>
      </c>
      <c r="E143">
        <f>IFERROR(SUMIFS(Responses!$G:$G,Responses!$A:$A,$A143,Responses!$D:$D,$B143)/COUNTIFS(Responses!$A:$A,$A143,Responses!$D:$D,$B143),0)*100</f>
        <v>75</v>
      </c>
      <c r="F143">
        <f>COUNTIFS(Responses!$A:$A,$A143,Responses!$D:$D,$B143)</f>
        <v>4</v>
      </c>
    </row>
    <row r="144" spans="1:6" hidden="1" x14ac:dyDescent="0.35">
      <c r="A144" t="s">
        <v>106</v>
      </c>
      <c r="B144" s="7" t="s">
        <v>9</v>
      </c>
      <c r="C144">
        <f>IFERROR(AVERAGEIFS(Responses!$E:$E,Responses!$A:$A,$A144,Responses!$D:$D,$B144),"")</f>
        <v>4.5</v>
      </c>
      <c r="D144">
        <f>IFERROR(AVERAGEIFS(Responses!$F:$F,Responses!$A:$A,$A144,Responses!$D:$D,$B144),"")</f>
        <v>90</v>
      </c>
      <c r="E144">
        <f>IFERROR(SUMIFS(Responses!$G:$G,Responses!$A:$A,$A144,Responses!$D:$D,$B144)/COUNTIFS(Responses!$A:$A,$A144,Responses!$D:$D,$B144),0)*100</f>
        <v>100</v>
      </c>
      <c r="F144">
        <f>COUNTIFS(Responses!$A:$A,$A144,Responses!$D:$D,$B144)</f>
        <v>4</v>
      </c>
    </row>
    <row r="145" spans="1:6" hidden="1" x14ac:dyDescent="0.35">
      <c r="A145" t="s">
        <v>106</v>
      </c>
      <c r="B145" s="7" t="s">
        <v>10</v>
      </c>
      <c r="C145">
        <f>IFERROR(AVERAGEIFS(Responses!$E:$E,Responses!$A:$A,$A145,Responses!$D:$D,$B145),"")</f>
        <v>5</v>
      </c>
      <c r="D145">
        <f>IFERROR(AVERAGEIFS(Responses!$F:$F,Responses!$A:$A,$A145,Responses!$D:$D,$B145),"")</f>
        <v>100</v>
      </c>
      <c r="E145">
        <f>IFERROR(SUMIFS(Responses!$G:$G,Responses!$A:$A,$A145,Responses!$D:$D,$B145)/COUNTIFS(Responses!$A:$A,$A145,Responses!$D:$D,$B145),0)*100</f>
        <v>100</v>
      </c>
      <c r="F145">
        <f>COUNTIFS(Responses!$A:$A,$A145,Responses!$D:$D,$B145)</f>
        <v>4</v>
      </c>
    </row>
    <row r="146" spans="1:6" hidden="1" x14ac:dyDescent="0.35">
      <c r="A146" t="s">
        <v>107</v>
      </c>
      <c r="B146" s="7" t="s">
        <v>0</v>
      </c>
      <c r="C146">
        <f>IFERROR(AVERAGEIFS(Responses!$E:$E,Responses!$A:$A,$A146,Responses!$D:$D,$B146),"")</f>
        <v>4.25</v>
      </c>
      <c r="D146">
        <f>IFERROR(AVERAGEIFS(Responses!$F:$F,Responses!$A:$A,$A146,Responses!$D:$D,$B146),"")</f>
        <v>85</v>
      </c>
      <c r="E146">
        <f>IFERROR(SUMIFS(Responses!$G:$G,Responses!$A:$A,$A146,Responses!$D:$D,$B146)/COUNTIFS(Responses!$A:$A,$A146,Responses!$D:$D,$B146),0)*100</f>
        <v>100</v>
      </c>
      <c r="F146">
        <f>COUNTIFS(Responses!$A:$A,$A146,Responses!$D:$D,$B146)</f>
        <v>4</v>
      </c>
    </row>
    <row r="147" spans="1:6" hidden="1" x14ac:dyDescent="0.35">
      <c r="A147" t="s">
        <v>107</v>
      </c>
      <c r="B147" s="7" t="s">
        <v>117</v>
      </c>
      <c r="C147">
        <f>IFERROR(AVERAGEIFS(Responses!$E:$E,Responses!$A:$A,$A147,Responses!$D:$D,$B147),"")</f>
        <v>4</v>
      </c>
      <c r="D147">
        <f>IFERROR(AVERAGEIFS(Responses!$F:$F,Responses!$A:$A,$A147,Responses!$D:$D,$B147),"")</f>
        <v>80</v>
      </c>
      <c r="E147">
        <f>IFERROR(SUMIFS(Responses!$G:$G,Responses!$A:$A,$A147,Responses!$D:$D,$B147)/COUNTIFS(Responses!$A:$A,$A147,Responses!$D:$D,$B147),0)*100</f>
        <v>100</v>
      </c>
      <c r="F147">
        <f>COUNTIFS(Responses!$A:$A,$A147,Responses!$D:$D,$B147)</f>
        <v>4</v>
      </c>
    </row>
    <row r="148" spans="1:6" hidden="1" x14ac:dyDescent="0.35">
      <c r="A148" t="s">
        <v>107</v>
      </c>
      <c r="B148" s="7" t="s">
        <v>3</v>
      </c>
      <c r="C148">
        <f>IFERROR(AVERAGEIFS(Responses!$E:$E,Responses!$A:$A,$A148,Responses!$D:$D,$B148),"")</f>
        <v>4.25</v>
      </c>
      <c r="D148">
        <f>IFERROR(AVERAGEIFS(Responses!$F:$F,Responses!$A:$A,$A148,Responses!$D:$D,$B148),"")</f>
        <v>85</v>
      </c>
      <c r="E148">
        <f>IFERROR(SUMIFS(Responses!$G:$G,Responses!$A:$A,$A148,Responses!$D:$D,$B148)/COUNTIFS(Responses!$A:$A,$A148,Responses!$D:$D,$B148),0)*100</f>
        <v>75</v>
      </c>
      <c r="F148">
        <f>COUNTIFS(Responses!$A:$A,$A148,Responses!$D:$D,$B148)</f>
        <v>4</v>
      </c>
    </row>
    <row r="149" spans="1:6" hidden="1" x14ac:dyDescent="0.35">
      <c r="A149" t="s">
        <v>107</v>
      </c>
      <c r="B149" s="7" t="s">
        <v>5</v>
      </c>
      <c r="C149">
        <f>IFERROR(AVERAGEIFS(Responses!$E:$E,Responses!$A:$A,$A149,Responses!$D:$D,$B149),"")</f>
        <v>4.5</v>
      </c>
      <c r="D149">
        <f>IFERROR(AVERAGEIFS(Responses!$F:$F,Responses!$A:$A,$A149,Responses!$D:$D,$B149),"")</f>
        <v>90</v>
      </c>
      <c r="E149">
        <f>IFERROR(SUMIFS(Responses!$G:$G,Responses!$A:$A,$A149,Responses!$D:$D,$B149)/COUNTIFS(Responses!$A:$A,$A149,Responses!$D:$D,$B149),0)*100</f>
        <v>100</v>
      </c>
      <c r="F149">
        <f>COUNTIFS(Responses!$A:$A,$A149,Responses!$D:$D,$B149)</f>
        <v>4</v>
      </c>
    </row>
    <row r="150" spans="1:6" hidden="1" x14ac:dyDescent="0.35">
      <c r="A150" t="s">
        <v>107</v>
      </c>
      <c r="B150" s="7" t="s">
        <v>7</v>
      </c>
      <c r="C150">
        <f>IFERROR(AVERAGEIFS(Responses!$E:$E,Responses!$A:$A,$A150,Responses!$D:$D,$B150),"")</f>
        <v>5</v>
      </c>
      <c r="D150">
        <f>IFERROR(AVERAGEIFS(Responses!$F:$F,Responses!$A:$A,$A150,Responses!$D:$D,$B150),"")</f>
        <v>100</v>
      </c>
      <c r="E150">
        <f>IFERROR(SUMIFS(Responses!$G:$G,Responses!$A:$A,$A150,Responses!$D:$D,$B150)/COUNTIFS(Responses!$A:$A,$A150,Responses!$D:$D,$B150),0)*100</f>
        <v>100</v>
      </c>
      <c r="F150">
        <f>COUNTIFS(Responses!$A:$A,$A150,Responses!$D:$D,$B150)</f>
        <v>4</v>
      </c>
    </row>
    <row r="151" spans="1:6" hidden="1" x14ac:dyDescent="0.35">
      <c r="A151" t="s">
        <v>107</v>
      </c>
      <c r="B151" s="7" t="s">
        <v>8</v>
      </c>
      <c r="C151">
        <f>IFERROR(AVERAGEIFS(Responses!$E:$E,Responses!$A:$A,$A151,Responses!$D:$D,$B151),"")</f>
        <v>4.25</v>
      </c>
      <c r="D151">
        <f>IFERROR(AVERAGEIFS(Responses!$F:$F,Responses!$A:$A,$A151,Responses!$D:$D,$B151),"")</f>
        <v>85</v>
      </c>
      <c r="E151">
        <f>IFERROR(SUMIFS(Responses!$G:$G,Responses!$A:$A,$A151,Responses!$D:$D,$B151)/COUNTIFS(Responses!$A:$A,$A151,Responses!$D:$D,$B151),0)*100</f>
        <v>100</v>
      </c>
      <c r="F151">
        <f>COUNTIFS(Responses!$A:$A,$A151,Responses!$D:$D,$B151)</f>
        <v>4</v>
      </c>
    </row>
    <row r="152" spans="1:6" hidden="1" x14ac:dyDescent="0.35">
      <c r="A152" t="s">
        <v>107</v>
      </c>
      <c r="B152" s="7" t="s">
        <v>9</v>
      </c>
      <c r="C152">
        <f>IFERROR(AVERAGEIFS(Responses!$E:$E,Responses!$A:$A,$A152,Responses!$D:$D,$B152),"")</f>
        <v>4</v>
      </c>
      <c r="D152">
        <f>IFERROR(AVERAGEIFS(Responses!$F:$F,Responses!$A:$A,$A152,Responses!$D:$D,$B152),"")</f>
        <v>80</v>
      </c>
      <c r="E152">
        <f>IFERROR(SUMIFS(Responses!$G:$G,Responses!$A:$A,$A152,Responses!$D:$D,$B152)/COUNTIFS(Responses!$A:$A,$A152,Responses!$D:$D,$B152),0)*100</f>
        <v>100</v>
      </c>
      <c r="F152">
        <f>COUNTIFS(Responses!$A:$A,$A152,Responses!$D:$D,$B152)</f>
        <v>4</v>
      </c>
    </row>
    <row r="153" spans="1:6" hidden="1" x14ac:dyDescent="0.35">
      <c r="A153" t="s">
        <v>107</v>
      </c>
      <c r="B153" s="7" t="s">
        <v>10</v>
      </c>
      <c r="C153">
        <f>IFERROR(AVERAGEIFS(Responses!$E:$E,Responses!$A:$A,$A153,Responses!$D:$D,$B153),"")</f>
        <v>4.25</v>
      </c>
      <c r="D153">
        <f>IFERROR(AVERAGEIFS(Responses!$F:$F,Responses!$A:$A,$A153,Responses!$D:$D,$B153),"")</f>
        <v>85</v>
      </c>
      <c r="E153">
        <f>IFERROR(SUMIFS(Responses!$G:$G,Responses!$A:$A,$A153,Responses!$D:$D,$B153)/COUNTIFS(Responses!$A:$A,$A153,Responses!$D:$D,$B153),0)*100</f>
        <v>75</v>
      </c>
      <c r="F153">
        <f>COUNTIFS(Responses!$A:$A,$A153,Responses!$D:$D,$B153)</f>
        <v>4</v>
      </c>
    </row>
    <row r="154" spans="1:6" hidden="1" x14ac:dyDescent="0.35">
      <c r="A154" t="s">
        <v>108</v>
      </c>
      <c r="B154" s="7" t="s">
        <v>0</v>
      </c>
      <c r="C154">
        <f>IFERROR(AVERAGEIFS(Responses!$E:$E,Responses!$A:$A,$A154,Responses!$D:$D,$B154),"")</f>
        <v>4.5</v>
      </c>
      <c r="D154">
        <f>IFERROR(AVERAGEIFS(Responses!$F:$F,Responses!$A:$A,$A154,Responses!$D:$D,$B154),"")</f>
        <v>90</v>
      </c>
      <c r="E154">
        <f>IFERROR(SUMIFS(Responses!$G:$G,Responses!$A:$A,$A154,Responses!$D:$D,$B154)/COUNTIFS(Responses!$A:$A,$A154,Responses!$D:$D,$B154),0)*100</f>
        <v>100</v>
      </c>
      <c r="F154">
        <f>COUNTIFS(Responses!$A:$A,$A154,Responses!$D:$D,$B154)</f>
        <v>4</v>
      </c>
    </row>
    <row r="155" spans="1:6" hidden="1" x14ac:dyDescent="0.35">
      <c r="A155" t="s">
        <v>108</v>
      </c>
      <c r="B155" s="7" t="s">
        <v>117</v>
      </c>
      <c r="C155">
        <f>IFERROR(AVERAGEIFS(Responses!$E:$E,Responses!$A:$A,$A155,Responses!$D:$D,$B155),"")</f>
        <v>5</v>
      </c>
      <c r="D155">
        <f>IFERROR(AVERAGEIFS(Responses!$F:$F,Responses!$A:$A,$A155,Responses!$D:$D,$B155),"")</f>
        <v>100</v>
      </c>
      <c r="E155">
        <f>IFERROR(SUMIFS(Responses!$G:$G,Responses!$A:$A,$A155,Responses!$D:$D,$B155)/COUNTIFS(Responses!$A:$A,$A155,Responses!$D:$D,$B155),0)*100</f>
        <v>100</v>
      </c>
      <c r="F155">
        <f>COUNTIFS(Responses!$A:$A,$A155,Responses!$D:$D,$B155)</f>
        <v>4</v>
      </c>
    </row>
    <row r="156" spans="1:6" hidden="1" x14ac:dyDescent="0.35">
      <c r="A156" t="s">
        <v>108</v>
      </c>
      <c r="B156" s="7" t="s">
        <v>3</v>
      </c>
      <c r="C156">
        <f>IFERROR(AVERAGEIFS(Responses!$E:$E,Responses!$A:$A,$A156,Responses!$D:$D,$B156),"")</f>
        <v>4.25</v>
      </c>
      <c r="D156">
        <f>IFERROR(AVERAGEIFS(Responses!$F:$F,Responses!$A:$A,$A156,Responses!$D:$D,$B156),"")</f>
        <v>85</v>
      </c>
      <c r="E156">
        <f>IFERROR(SUMIFS(Responses!$G:$G,Responses!$A:$A,$A156,Responses!$D:$D,$B156)/COUNTIFS(Responses!$A:$A,$A156,Responses!$D:$D,$B156),0)*100</f>
        <v>100</v>
      </c>
      <c r="F156">
        <f>COUNTIFS(Responses!$A:$A,$A156,Responses!$D:$D,$B156)</f>
        <v>4</v>
      </c>
    </row>
    <row r="157" spans="1:6" hidden="1" x14ac:dyDescent="0.35">
      <c r="A157" t="s">
        <v>108</v>
      </c>
      <c r="B157" s="7" t="s">
        <v>5</v>
      </c>
      <c r="C157">
        <f>IFERROR(AVERAGEIFS(Responses!$E:$E,Responses!$A:$A,$A157,Responses!$D:$D,$B157),"")</f>
        <v>4</v>
      </c>
      <c r="D157">
        <f>IFERROR(AVERAGEIFS(Responses!$F:$F,Responses!$A:$A,$A157,Responses!$D:$D,$B157),"")</f>
        <v>80</v>
      </c>
      <c r="E157">
        <f>IFERROR(SUMIFS(Responses!$G:$G,Responses!$A:$A,$A157,Responses!$D:$D,$B157)/COUNTIFS(Responses!$A:$A,$A157,Responses!$D:$D,$B157),0)*100</f>
        <v>100</v>
      </c>
      <c r="F157">
        <f>COUNTIFS(Responses!$A:$A,$A157,Responses!$D:$D,$B157)</f>
        <v>4</v>
      </c>
    </row>
    <row r="158" spans="1:6" hidden="1" x14ac:dyDescent="0.35">
      <c r="A158" t="s">
        <v>108</v>
      </c>
      <c r="B158" s="7" t="s">
        <v>7</v>
      </c>
      <c r="C158">
        <f>IFERROR(AVERAGEIFS(Responses!$E:$E,Responses!$A:$A,$A158,Responses!$D:$D,$B158),"")</f>
        <v>4.25</v>
      </c>
      <c r="D158">
        <f>IFERROR(AVERAGEIFS(Responses!$F:$F,Responses!$A:$A,$A158,Responses!$D:$D,$B158),"")</f>
        <v>85</v>
      </c>
      <c r="E158">
        <f>IFERROR(SUMIFS(Responses!$G:$G,Responses!$A:$A,$A158,Responses!$D:$D,$B158)/COUNTIFS(Responses!$A:$A,$A158,Responses!$D:$D,$B158),0)*100</f>
        <v>75</v>
      </c>
      <c r="F158">
        <f>COUNTIFS(Responses!$A:$A,$A158,Responses!$D:$D,$B158)</f>
        <v>4</v>
      </c>
    </row>
    <row r="159" spans="1:6" hidden="1" x14ac:dyDescent="0.35">
      <c r="A159" t="s">
        <v>108</v>
      </c>
      <c r="B159" s="7" t="s">
        <v>8</v>
      </c>
      <c r="C159">
        <f>IFERROR(AVERAGEIFS(Responses!$E:$E,Responses!$A:$A,$A159,Responses!$D:$D,$B159),"")</f>
        <v>4.5</v>
      </c>
      <c r="D159">
        <f>IFERROR(AVERAGEIFS(Responses!$F:$F,Responses!$A:$A,$A159,Responses!$D:$D,$B159),"")</f>
        <v>90</v>
      </c>
      <c r="E159">
        <f>IFERROR(SUMIFS(Responses!$G:$G,Responses!$A:$A,$A159,Responses!$D:$D,$B159)/COUNTIFS(Responses!$A:$A,$A159,Responses!$D:$D,$B159),0)*100</f>
        <v>100</v>
      </c>
      <c r="F159">
        <f>COUNTIFS(Responses!$A:$A,$A159,Responses!$D:$D,$B159)</f>
        <v>4</v>
      </c>
    </row>
    <row r="160" spans="1:6" hidden="1" x14ac:dyDescent="0.35">
      <c r="A160" t="s">
        <v>108</v>
      </c>
      <c r="B160" s="7" t="s">
        <v>9</v>
      </c>
      <c r="C160">
        <f>IFERROR(AVERAGEIFS(Responses!$E:$E,Responses!$A:$A,$A160,Responses!$D:$D,$B160),"")</f>
        <v>5</v>
      </c>
      <c r="D160">
        <f>IFERROR(AVERAGEIFS(Responses!$F:$F,Responses!$A:$A,$A160,Responses!$D:$D,$B160),"")</f>
        <v>100</v>
      </c>
      <c r="E160">
        <f>IFERROR(SUMIFS(Responses!$G:$G,Responses!$A:$A,$A160,Responses!$D:$D,$B160)/COUNTIFS(Responses!$A:$A,$A160,Responses!$D:$D,$B160),0)*100</f>
        <v>100</v>
      </c>
      <c r="F160">
        <f>COUNTIFS(Responses!$A:$A,$A160,Responses!$D:$D,$B160)</f>
        <v>4</v>
      </c>
    </row>
    <row r="161" spans="1:6" hidden="1" x14ac:dyDescent="0.35">
      <c r="A161" t="s">
        <v>108</v>
      </c>
      <c r="B161" s="7" t="s">
        <v>10</v>
      </c>
      <c r="C161">
        <f>IFERROR(AVERAGEIFS(Responses!$E:$E,Responses!$A:$A,$A161,Responses!$D:$D,$B161),"")</f>
        <v>4.25</v>
      </c>
      <c r="D161">
        <f>IFERROR(AVERAGEIFS(Responses!$F:$F,Responses!$A:$A,$A161,Responses!$D:$D,$B161),"")</f>
        <v>85</v>
      </c>
      <c r="E161">
        <f>IFERROR(SUMIFS(Responses!$G:$G,Responses!$A:$A,$A161,Responses!$D:$D,$B161)/COUNTIFS(Responses!$A:$A,$A161,Responses!$D:$D,$B161),0)*100</f>
        <v>100</v>
      </c>
      <c r="F161">
        <f>COUNTIFS(Responses!$A:$A,$A161,Responses!$D:$D,$B161)</f>
        <v>4</v>
      </c>
    </row>
    <row r="162" spans="1:6" hidden="1" x14ac:dyDescent="0.35">
      <c r="A162" t="s">
        <v>109</v>
      </c>
      <c r="B162" s="7" t="s">
        <v>0</v>
      </c>
      <c r="C162">
        <f>IFERROR(AVERAGEIFS(Responses!$E:$E,Responses!$A:$A,$A162,Responses!$D:$D,$B162),"")</f>
        <v>4</v>
      </c>
      <c r="D162">
        <f>IFERROR(AVERAGEIFS(Responses!$F:$F,Responses!$A:$A,$A162,Responses!$D:$D,$B162),"")</f>
        <v>80</v>
      </c>
      <c r="E162">
        <f>IFERROR(SUMIFS(Responses!$G:$G,Responses!$A:$A,$A162,Responses!$D:$D,$B162)/COUNTIFS(Responses!$A:$A,$A162,Responses!$D:$D,$B162),0)*100</f>
        <v>100</v>
      </c>
      <c r="F162">
        <f>COUNTIFS(Responses!$A:$A,$A162,Responses!$D:$D,$B162)</f>
        <v>4</v>
      </c>
    </row>
    <row r="163" spans="1:6" hidden="1" x14ac:dyDescent="0.35">
      <c r="A163" t="s">
        <v>109</v>
      </c>
      <c r="B163" s="7" t="s">
        <v>117</v>
      </c>
      <c r="C163">
        <f>IFERROR(AVERAGEIFS(Responses!$E:$E,Responses!$A:$A,$A163,Responses!$D:$D,$B163),"")</f>
        <v>4.25</v>
      </c>
      <c r="D163">
        <f>IFERROR(AVERAGEIFS(Responses!$F:$F,Responses!$A:$A,$A163,Responses!$D:$D,$B163),"")</f>
        <v>85</v>
      </c>
      <c r="E163">
        <f>IFERROR(SUMIFS(Responses!$G:$G,Responses!$A:$A,$A163,Responses!$D:$D,$B163)/COUNTIFS(Responses!$A:$A,$A163,Responses!$D:$D,$B163),0)*100</f>
        <v>75</v>
      </c>
      <c r="F163">
        <f>COUNTIFS(Responses!$A:$A,$A163,Responses!$D:$D,$B163)</f>
        <v>4</v>
      </c>
    </row>
    <row r="164" spans="1:6" hidden="1" x14ac:dyDescent="0.35">
      <c r="A164" t="s">
        <v>109</v>
      </c>
      <c r="B164" s="7" t="s">
        <v>3</v>
      </c>
      <c r="C164">
        <f>IFERROR(AVERAGEIFS(Responses!$E:$E,Responses!$A:$A,$A164,Responses!$D:$D,$B164),"")</f>
        <v>4.5</v>
      </c>
      <c r="D164">
        <f>IFERROR(AVERAGEIFS(Responses!$F:$F,Responses!$A:$A,$A164,Responses!$D:$D,$B164),"")</f>
        <v>90</v>
      </c>
      <c r="E164">
        <f>IFERROR(SUMIFS(Responses!$G:$G,Responses!$A:$A,$A164,Responses!$D:$D,$B164)/COUNTIFS(Responses!$A:$A,$A164,Responses!$D:$D,$B164),0)*100</f>
        <v>100</v>
      </c>
      <c r="F164">
        <f>COUNTIFS(Responses!$A:$A,$A164,Responses!$D:$D,$B164)</f>
        <v>4</v>
      </c>
    </row>
    <row r="165" spans="1:6" hidden="1" x14ac:dyDescent="0.35">
      <c r="A165" t="s">
        <v>109</v>
      </c>
      <c r="B165" s="7" t="s">
        <v>5</v>
      </c>
      <c r="C165">
        <f>IFERROR(AVERAGEIFS(Responses!$E:$E,Responses!$A:$A,$A165,Responses!$D:$D,$B165),"")</f>
        <v>4.75</v>
      </c>
      <c r="D165">
        <f>IFERROR(AVERAGEIFS(Responses!$F:$F,Responses!$A:$A,$A165,Responses!$D:$D,$B165),"")</f>
        <v>95</v>
      </c>
      <c r="E165">
        <f>IFERROR(SUMIFS(Responses!$G:$G,Responses!$A:$A,$A165,Responses!$D:$D,$B165)/COUNTIFS(Responses!$A:$A,$A165,Responses!$D:$D,$B165),0)*100</f>
        <v>100</v>
      </c>
      <c r="F165">
        <f>COUNTIFS(Responses!$A:$A,$A165,Responses!$D:$D,$B165)</f>
        <v>4</v>
      </c>
    </row>
    <row r="166" spans="1:6" hidden="1" x14ac:dyDescent="0.35">
      <c r="A166" t="s">
        <v>109</v>
      </c>
      <c r="B166" s="7" t="s">
        <v>7</v>
      </c>
      <c r="C166">
        <f>IFERROR(AVERAGEIFS(Responses!$E:$E,Responses!$A:$A,$A166,Responses!$D:$D,$B166),"")</f>
        <v>3.5</v>
      </c>
      <c r="D166">
        <f>IFERROR(AVERAGEIFS(Responses!$F:$F,Responses!$A:$A,$A166,Responses!$D:$D,$B166),"")</f>
        <v>70</v>
      </c>
      <c r="E166">
        <f>IFERROR(SUMIFS(Responses!$G:$G,Responses!$A:$A,$A166,Responses!$D:$D,$B166)/COUNTIFS(Responses!$A:$A,$A166,Responses!$D:$D,$B166),0)*100</f>
        <v>50</v>
      </c>
      <c r="F166">
        <f>COUNTIFS(Responses!$A:$A,$A166,Responses!$D:$D,$B166)</f>
        <v>4</v>
      </c>
    </row>
    <row r="167" spans="1:6" hidden="1" x14ac:dyDescent="0.35">
      <c r="A167" t="s">
        <v>109</v>
      </c>
      <c r="B167" s="7" t="s">
        <v>8</v>
      </c>
      <c r="C167">
        <f>IFERROR(AVERAGEIFS(Responses!$E:$E,Responses!$A:$A,$A167,Responses!$D:$D,$B167),"")</f>
        <v>3.75</v>
      </c>
      <c r="D167">
        <f>IFERROR(AVERAGEIFS(Responses!$F:$F,Responses!$A:$A,$A167,Responses!$D:$D,$B167),"")</f>
        <v>75</v>
      </c>
      <c r="E167">
        <f>IFERROR(SUMIFS(Responses!$G:$G,Responses!$A:$A,$A167,Responses!$D:$D,$B167)/COUNTIFS(Responses!$A:$A,$A167,Responses!$D:$D,$B167),0)*100</f>
        <v>50</v>
      </c>
      <c r="F167">
        <f>COUNTIFS(Responses!$A:$A,$A167,Responses!$D:$D,$B167)</f>
        <v>4</v>
      </c>
    </row>
    <row r="168" spans="1:6" hidden="1" x14ac:dyDescent="0.35">
      <c r="A168" t="s">
        <v>109</v>
      </c>
      <c r="B168" s="7" t="s">
        <v>9</v>
      </c>
      <c r="C168">
        <f>IFERROR(AVERAGEIFS(Responses!$E:$E,Responses!$A:$A,$A168,Responses!$D:$D,$B168),"")</f>
        <v>4</v>
      </c>
      <c r="D168">
        <f>IFERROR(AVERAGEIFS(Responses!$F:$F,Responses!$A:$A,$A168,Responses!$D:$D,$B168),"")</f>
        <v>80</v>
      </c>
      <c r="E168">
        <f>IFERROR(SUMIFS(Responses!$G:$G,Responses!$A:$A,$A168,Responses!$D:$D,$B168)/COUNTIFS(Responses!$A:$A,$A168,Responses!$D:$D,$B168),0)*100</f>
        <v>100</v>
      </c>
      <c r="F168">
        <f>COUNTIFS(Responses!$A:$A,$A168,Responses!$D:$D,$B168)</f>
        <v>4</v>
      </c>
    </row>
    <row r="169" spans="1:6" hidden="1" x14ac:dyDescent="0.35">
      <c r="A169" t="s">
        <v>109</v>
      </c>
      <c r="B169" s="7" t="s">
        <v>10</v>
      </c>
      <c r="C169">
        <f>IFERROR(AVERAGEIFS(Responses!$E:$E,Responses!$A:$A,$A169,Responses!$D:$D,$B169),"")</f>
        <v>4.25</v>
      </c>
      <c r="D169">
        <f>IFERROR(AVERAGEIFS(Responses!$F:$F,Responses!$A:$A,$A169,Responses!$D:$D,$B169),"")</f>
        <v>85</v>
      </c>
      <c r="E169">
        <f>IFERROR(SUMIFS(Responses!$G:$G,Responses!$A:$A,$A169,Responses!$D:$D,$B169)/COUNTIFS(Responses!$A:$A,$A169,Responses!$D:$D,$B169),0)*100</f>
        <v>100</v>
      </c>
      <c r="F169">
        <f>COUNTIFS(Responses!$A:$A,$A169,Responses!$D:$D,$B169)</f>
        <v>4</v>
      </c>
    </row>
    <row r="170" spans="1:6" hidden="1" x14ac:dyDescent="0.35">
      <c r="A170" t="s">
        <v>110</v>
      </c>
      <c r="B170" s="7" t="s">
        <v>0</v>
      </c>
      <c r="C170">
        <f>IFERROR(AVERAGEIFS(Responses!$E:$E,Responses!$A:$A,$A170,Responses!$D:$D,$B170),"")</f>
        <v>4</v>
      </c>
      <c r="D170">
        <f>IFERROR(AVERAGEIFS(Responses!$F:$F,Responses!$A:$A,$A170,Responses!$D:$D,$B170),"")</f>
        <v>80</v>
      </c>
      <c r="E170">
        <f>IFERROR(SUMIFS(Responses!$G:$G,Responses!$A:$A,$A170,Responses!$D:$D,$B170)/COUNTIFS(Responses!$A:$A,$A170,Responses!$D:$D,$B170),0)*100</f>
        <v>100</v>
      </c>
      <c r="F170">
        <f>COUNTIFS(Responses!$A:$A,$A170,Responses!$D:$D,$B170)</f>
        <v>4</v>
      </c>
    </row>
    <row r="171" spans="1:6" hidden="1" x14ac:dyDescent="0.35">
      <c r="A171" t="s">
        <v>110</v>
      </c>
      <c r="B171" s="7" t="s">
        <v>117</v>
      </c>
      <c r="C171">
        <f>IFERROR(AVERAGEIFS(Responses!$E:$E,Responses!$A:$A,$A171,Responses!$D:$D,$B171),"")</f>
        <v>4</v>
      </c>
      <c r="D171">
        <f>IFERROR(AVERAGEIFS(Responses!$F:$F,Responses!$A:$A,$A171,Responses!$D:$D,$B171),"")</f>
        <v>80</v>
      </c>
      <c r="E171">
        <f>IFERROR(SUMIFS(Responses!$G:$G,Responses!$A:$A,$A171,Responses!$D:$D,$B171)/COUNTIFS(Responses!$A:$A,$A171,Responses!$D:$D,$B171),0)*100</f>
        <v>75</v>
      </c>
      <c r="F171">
        <f>COUNTIFS(Responses!$A:$A,$A171,Responses!$D:$D,$B171)</f>
        <v>4</v>
      </c>
    </row>
    <row r="172" spans="1:6" hidden="1" x14ac:dyDescent="0.35">
      <c r="A172" t="s">
        <v>110</v>
      </c>
      <c r="B172" s="7" t="s">
        <v>3</v>
      </c>
      <c r="C172">
        <f>IFERROR(AVERAGEIFS(Responses!$E:$E,Responses!$A:$A,$A172,Responses!$D:$D,$B172),"")</f>
        <v>3.75</v>
      </c>
      <c r="D172">
        <f>IFERROR(AVERAGEIFS(Responses!$F:$F,Responses!$A:$A,$A172,Responses!$D:$D,$B172),"")</f>
        <v>75</v>
      </c>
      <c r="E172">
        <f>IFERROR(SUMIFS(Responses!$G:$G,Responses!$A:$A,$A172,Responses!$D:$D,$B172)/COUNTIFS(Responses!$A:$A,$A172,Responses!$D:$D,$B172),0)*100</f>
        <v>75</v>
      </c>
      <c r="F172">
        <f>COUNTIFS(Responses!$A:$A,$A172,Responses!$D:$D,$B172)</f>
        <v>4</v>
      </c>
    </row>
    <row r="173" spans="1:6" hidden="1" x14ac:dyDescent="0.35">
      <c r="A173" t="s">
        <v>110</v>
      </c>
      <c r="B173" s="7" t="s">
        <v>5</v>
      </c>
      <c r="C173">
        <f>IFERROR(AVERAGEIFS(Responses!$E:$E,Responses!$A:$A,$A173,Responses!$D:$D,$B173),"")</f>
        <v>3.5</v>
      </c>
      <c r="D173">
        <f>IFERROR(AVERAGEIFS(Responses!$F:$F,Responses!$A:$A,$A173,Responses!$D:$D,$B173),"")</f>
        <v>70</v>
      </c>
      <c r="E173">
        <f>IFERROR(SUMIFS(Responses!$G:$G,Responses!$A:$A,$A173,Responses!$D:$D,$B173)/COUNTIFS(Responses!$A:$A,$A173,Responses!$D:$D,$B173),0)*100</f>
        <v>50</v>
      </c>
      <c r="F173">
        <f>COUNTIFS(Responses!$A:$A,$A173,Responses!$D:$D,$B173)</f>
        <v>4</v>
      </c>
    </row>
    <row r="174" spans="1:6" hidden="1" x14ac:dyDescent="0.35">
      <c r="A174" t="s">
        <v>110</v>
      </c>
      <c r="B174" s="7" t="s">
        <v>7</v>
      </c>
      <c r="C174">
        <f>IFERROR(AVERAGEIFS(Responses!$E:$E,Responses!$A:$A,$A174,Responses!$D:$D,$B174),"")</f>
        <v>4.25</v>
      </c>
      <c r="D174">
        <f>IFERROR(AVERAGEIFS(Responses!$F:$F,Responses!$A:$A,$A174,Responses!$D:$D,$B174),"")</f>
        <v>85</v>
      </c>
      <c r="E174">
        <f>IFERROR(SUMIFS(Responses!$G:$G,Responses!$A:$A,$A174,Responses!$D:$D,$B174)/COUNTIFS(Responses!$A:$A,$A174,Responses!$D:$D,$B174),0)*100</f>
        <v>75</v>
      </c>
      <c r="F174">
        <f>COUNTIFS(Responses!$A:$A,$A174,Responses!$D:$D,$B174)</f>
        <v>4</v>
      </c>
    </row>
    <row r="175" spans="1:6" hidden="1" x14ac:dyDescent="0.35">
      <c r="A175" t="s">
        <v>110</v>
      </c>
      <c r="B175" s="7" t="s">
        <v>8</v>
      </c>
      <c r="C175">
        <f>IFERROR(AVERAGEIFS(Responses!$E:$E,Responses!$A:$A,$A175,Responses!$D:$D,$B175),"")</f>
        <v>3.5</v>
      </c>
      <c r="D175">
        <f>IFERROR(AVERAGEIFS(Responses!$F:$F,Responses!$A:$A,$A175,Responses!$D:$D,$B175),"")</f>
        <v>70</v>
      </c>
      <c r="E175">
        <f>IFERROR(SUMIFS(Responses!$G:$G,Responses!$A:$A,$A175,Responses!$D:$D,$B175)/COUNTIFS(Responses!$A:$A,$A175,Responses!$D:$D,$B175),0)*100</f>
        <v>50</v>
      </c>
      <c r="F175">
        <f>COUNTIFS(Responses!$A:$A,$A175,Responses!$D:$D,$B175)</f>
        <v>4</v>
      </c>
    </row>
    <row r="176" spans="1:6" hidden="1" x14ac:dyDescent="0.35">
      <c r="A176" t="s">
        <v>110</v>
      </c>
      <c r="B176" s="7" t="s">
        <v>9</v>
      </c>
      <c r="C176">
        <f>IFERROR(AVERAGEIFS(Responses!$E:$E,Responses!$A:$A,$A176,Responses!$D:$D,$B176),"")</f>
        <v>3.75</v>
      </c>
      <c r="D176">
        <f>IFERROR(AVERAGEIFS(Responses!$F:$F,Responses!$A:$A,$A176,Responses!$D:$D,$B176),"")</f>
        <v>75</v>
      </c>
      <c r="E176">
        <f>IFERROR(SUMIFS(Responses!$G:$G,Responses!$A:$A,$A176,Responses!$D:$D,$B176)/COUNTIFS(Responses!$A:$A,$A176,Responses!$D:$D,$B176),0)*100</f>
        <v>50</v>
      </c>
      <c r="F176">
        <f>COUNTIFS(Responses!$A:$A,$A176,Responses!$D:$D,$B176)</f>
        <v>4</v>
      </c>
    </row>
    <row r="177" spans="1:6" hidden="1" x14ac:dyDescent="0.35">
      <c r="A177" t="s">
        <v>110</v>
      </c>
      <c r="B177" s="7" t="s">
        <v>10</v>
      </c>
      <c r="C177">
        <f>IFERROR(AVERAGEIFS(Responses!$E:$E,Responses!$A:$A,$A177,Responses!$D:$D,$B177),"")</f>
        <v>4</v>
      </c>
      <c r="D177">
        <f>IFERROR(AVERAGEIFS(Responses!$F:$F,Responses!$A:$A,$A177,Responses!$D:$D,$B177),"")</f>
        <v>80</v>
      </c>
      <c r="E177">
        <f>IFERROR(SUMIFS(Responses!$G:$G,Responses!$A:$A,$A177,Responses!$D:$D,$B177)/COUNTIFS(Responses!$A:$A,$A177,Responses!$D:$D,$B177),0)*100</f>
        <v>100</v>
      </c>
      <c r="F177">
        <f>COUNTIFS(Responses!$A:$A,$A177,Responses!$D:$D,$B177)</f>
        <v>4</v>
      </c>
    </row>
    <row r="178" spans="1:6" hidden="1" x14ac:dyDescent="0.35">
      <c r="A178" t="s">
        <v>111</v>
      </c>
      <c r="B178" s="7" t="s">
        <v>0</v>
      </c>
      <c r="C178">
        <f>IFERROR(AVERAGEIFS(Responses!$E:$E,Responses!$A:$A,$A178,Responses!$D:$D,$B178),"")</f>
        <v>4.25</v>
      </c>
      <c r="D178">
        <f>IFERROR(AVERAGEIFS(Responses!$F:$F,Responses!$A:$A,$A178,Responses!$D:$D,$B178),"")</f>
        <v>85</v>
      </c>
      <c r="E178">
        <f>IFERROR(SUMIFS(Responses!$G:$G,Responses!$A:$A,$A178,Responses!$D:$D,$B178)/COUNTIFS(Responses!$A:$A,$A178,Responses!$D:$D,$B178),0)*100</f>
        <v>75</v>
      </c>
      <c r="F178">
        <f>COUNTIFS(Responses!$A:$A,$A178,Responses!$D:$D,$B178)</f>
        <v>4</v>
      </c>
    </row>
    <row r="179" spans="1:6" hidden="1" x14ac:dyDescent="0.35">
      <c r="A179" t="s">
        <v>111</v>
      </c>
      <c r="B179" s="7" t="s">
        <v>117</v>
      </c>
      <c r="C179">
        <f>IFERROR(AVERAGEIFS(Responses!$E:$E,Responses!$A:$A,$A179,Responses!$D:$D,$B179),"")</f>
        <v>4.75</v>
      </c>
      <c r="D179">
        <f>IFERROR(AVERAGEIFS(Responses!$F:$F,Responses!$A:$A,$A179,Responses!$D:$D,$B179),"")</f>
        <v>95</v>
      </c>
      <c r="E179">
        <f>IFERROR(SUMIFS(Responses!$G:$G,Responses!$A:$A,$A179,Responses!$D:$D,$B179)/COUNTIFS(Responses!$A:$A,$A179,Responses!$D:$D,$B179),0)*100</f>
        <v>100</v>
      </c>
      <c r="F179">
        <f>COUNTIFS(Responses!$A:$A,$A179,Responses!$D:$D,$B179)</f>
        <v>4</v>
      </c>
    </row>
    <row r="180" spans="1:6" hidden="1" x14ac:dyDescent="0.35">
      <c r="A180" t="s">
        <v>111</v>
      </c>
      <c r="B180" s="7" t="s">
        <v>3</v>
      </c>
      <c r="C180">
        <f>IFERROR(AVERAGEIFS(Responses!$E:$E,Responses!$A:$A,$A180,Responses!$D:$D,$B180),"")</f>
        <v>4</v>
      </c>
      <c r="D180">
        <f>IFERROR(AVERAGEIFS(Responses!$F:$F,Responses!$A:$A,$A180,Responses!$D:$D,$B180),"")</f>
        <v>80</v>
      </c>
      <c r="E180">
        <f>IFERROR(SUMIFS(Responses!$G:$G,Responses!$A:$A,$A180,Responses!$D:$D,$B180)/COUNTIFS(Responses!$A:$A,$A180,Responses!$D:$D,$B180),0)*100</f>
        <v>75</v>
      </c>
      <c r="F180">
        <f>COUNTIFS(Responses!$A:$A,$A180,Responses!$D:$D,$B180)</f>
        <v>4</v>
      </c>
    </row>
    <row r="181" spans="1:6" hidden="1" x14ac:dyDescent="0.35">
      <c r="A181" t="s">
        <v>111</v>
      </c>
      <c r="B181" s="7" t="s">
        <v>5</v>
      </c>
      <c r="C181">
        <f>IFERROR(AVERAGEIFS(Responses!$E:$E,Responses!$A:$A,$A181,Responses!$D:$D,$B181),"")</f>
        <v>3.5</v>
      </c>
      <c r="D181">
        <f>IFERROR(AVERAGEIFS(Responses!$F:$F,Responses!$A:$A,$A181,Responses!$D:$D,$B181),"")</f>
        <v>70</v>
      </c>
      <c r="E181">
        <f>IFERROR(SUMIFS(Responses!$G:$G,Responses!$A:$A,$A181,Responses!$D:$D,$B181)/COUNTIFS(Responses!$A:$A,$A181,Responses!$D:$D,$B181),0)*100</f>
        <v>50</v>
      </c>
      <c r="F181">
        <f>COUNTIFS(Responses!$A:$A,$A181,Responses!$D:$D,$B181)</f>
        <v>4</v>
      </c>
    </row>
    <row r="182" spans="1:6" hidden="1" x14ac:dyDescent="0.35">
      <c r="A182" t="s">
        <v>111</v>
      </c>
      <c r="B182" s="7" t="s">
        <v>7</v>
      </c>
      <c r="C182">
        <f>IFERROR(AVERAGEIFS(Responses!$E:$E,Responses!$A:$A,$A182,Responses!$D:$D,$B182),"")</f>
        <v>4.25</v>
      </c>
      <c r="D182">
        <f>IFERROR(AVERAGEIFS(Responses!$F:$F,Responses!$A:$A,$A182,Responses!$D:$D,$B182),"")</f>
        <v>85</v>
      </c>
      <c r="E182">
        <f>IFERROR(SUMIFS(Responses!$G:$G,Responses!$A:$A,$A182,Responses!$D:$D,$B182)/COUNTIFS(Responses!$A:$A,$A182,Responses!$D:$D,$B182),0)*100</f>
        <v>75</v>
      </c>
      <c r="F182">
        <f>COUNTIFS(Responses!$A:$A,$A182,Responses!$D:$D,$B182)</f>
        <v>4</v>
      </c>
    </row>
    <row r="183" spans="1:6" hidden="1" x14ac:dyDescent="0.35">
      <c r="A183" t="s">
        <v>111</v>
      </c>
      <c r="B183" s="7" t="s">
        <v>8</v>
      </c>
      <c r="C183">
        <f>IFERROR(AVERAGEIFS(Responses!$E:$E,Responses!$A:$A,$A183,Responses!$D:$D,$B183),"")</f>
        <v>4</v>
      </c>
      <c r="D183">
        <f>IFERROR(AVERAGEIFS(Responses!$F:$F,Responses!$A:$A,$A183,Responses!$D:$D,$B183),"")</f>
        <v>80</v>
      </c>
      <c r="E183">
        <f>IFERROR(SUMIFS(Responses!$G:$G,Responses!$A:$A,$A183,Responses!$D:$D,$B183)/COUNTIFS(Responses!$A:$A,$A183,Responses!$D:$D,$B183),0)*100</f>
        <v>75</v>
      </c>
      <c r="F183">
        <f>COUNTIFS(Responses!$A:$A,$A183,Responses!$D:$D,$B183)</f>
        <v>4</v>
      </c>
    </row>
    <row r="184" spans="1:6" hidden="1" x14ac:dyDescent="0.35">
      <c r="A184" t="s">
        <v>111</v>
      </c>
      <c r="B184" s="7" t="s">
        <v>9</v>
      </c>
      <c r="C184">
        <f>IFERROR(AVERAGEIFS(Responses!$E:$E,Responses!$A:$A,$A184,Responses!$D:$D,$B184),"")</f>
        <v>4.25</v>
      </c>
      <c r="D184">
        <f>IFERROR(AVERAGEIFS(Responses!$F:$F,Responses!$A:$A,$A184,Responses!$D:$D,$B184),"")</f>
        <v>85</v>
      </c>
      <c r="E184">
        <f>IFERROR(SUMIFS(Responses!$G:$G,Responses!$A:$A,$A184,Responses!$D:$D,$B184)/COUNTIFS(Responses!$A:$A,$A184,Responses!$D:$D,$B184),0)*100</f>
        <v>100</v>
      </c>
      <c r="F184">
        <f>COUNTIFS(Responses!$A:$A,$A184,Responses!$D:$D,$B184)</f>
        <v>4</v>
      </c>
    </row>
    <row r="185" spans="1:6" hidden="1" x14ac:dyDescent="0.35">
      <c r="A185" t="s">
        <v>111</v>
      </c>
      <c r="B185" s="7" t="s">
        <v>10</v>
      </c>
      <c r="C185">
        <f>IFERROR(AVERAGEIFS(Responses!$E:$E,Responses!$A:$A,$A185,Responses!$D:$D,$B185),"")</f>
        <v>3.5</v>
      </c>
      <c r="D185">
        <f>IFERROR(AVERAGEIFS(Responses!$F:$F,Responses!$A:$A,$A185,Responses!$D:$D,$B185),"")</f>
        <v>70</v>
      </c>
      <c r="E185">
        <f>IFERROR(SUMIFS(Responses!$G:$G,Responses!$A:$A,$A185,Responses!$D:$D,$B185)/COUNTIFS(Responses!$A:$A,$A185,Responses!$D:$D,$B185),0)*100</f>
        <v>50</v>
      </c>
      <c r="F185">
        <f>COUNTIFS(Responses!$A:$A,$A185,Responses!$D:$D,$B185)</f>
        <v>4</v>
      </c>
    </row>
    <row r="186" spans="1:6" hidden="1" x14ac:dyDescent="0.35">
      <c r="A186" t="s">
        <v>112</v>
      </c>
      <c r="B186" s="7" t="s">
        <v>0</v>
      </c>
      <c r="C186">
        <f>IFERROR(AVERAGEIFS(Responses!$E:$E,Responses!$A:$A,$A186,Responses!$D:$D,$B186),"")</f>
        <v>3.75</v>
      </c>
      <c r="D186">
        <f>IFERROR(AVERAGEIFS(Responses!$F:$F,Responses!$A:$A,$A186,Responses!$D:$D,$B186),"")</f>
        <v>75</v>
      </c>
      <c r="E186">
        <f>IFERROR(SUMIFS(Responses!$G:$G,Responses!$A:$A,$A186,Responses!$D:$D,$B186)/COUNTIFS(Responses!$A:$A,$A186,Responses!$D:$D,$B186),0)*100</f>
        <v>50</v>
      </c>
      <c r="F186">
        <f>COUNTIFS(Responses!$A:$A,$A186,Responses!$D:$D,$B186)</f>
        <v>4</v>
      </c>
    </row>
    <row r="187" spans="1:6" hidden="1" x14ac:dyDescent="0.35">
      <c r="A187" t="s">
        <v>112</v>
      </c>
      <c r="B187" s="7" t="s">
        <v>117</v>
      </c>
      <c r="C187">
        <f>IFERROR(AVERAGEIFS(Responses!$E:$E,Responses!$A:$A,$A187,Responses!$D:$D,$B187),"")</f>
        <v>4.25</v>
      </c>
      <c r="D187">
        <f>IFERROR(AVERAGEIFS(Responses!$F:$F,Responses!$A:$A,$A187,Responses!$D:$D,$B187),"")</f>
        <v>85</v>
      </c>
      <c r="E187">
        <f>IFERROR(SUMIFS(Responses!$G:$G,Responses!$A:$A,$A187,Responses!$D:$D,$B187)/COUNTIFS(Responses!$A:$A,$A187,Responses!$D:$D,$B187),0)*100</f>
        <v>100</v>
      </c>
      <c r="F187">
        <f>COUNTIFS(Responses!$A:$A,$A187,Responses!$D:$D,$B187)</f>
        <v>4</v>
      </c>
    </row>
    <row r="188" spans="1:6" hidden="1" x14ac:dyDescent="0.35">
      <c r="A188" t="s">
        <v>112</v>
      </c>
      <c r="B188" s="7" t="s">
        <v>3</v>
      </c>
      <c r="C188">
        <f>IFERROR(AVERAGEIFS(Responses!$E:$E,Responses!$A:$A,$A188,Responses!$D:$D,$B188),"")</f>
        <v>4</v>
      </c>
      <c r="D188">
        <f>IFERROR(AVERAGEIFS(Responses!$F:$F,Responses!$A:$A,$A188,Responses!$D:$D,$B188),"")</f>
        <v>80</v>
      </c>
      <c r="E188">
        <f>IFERROR(SUMIFS(Responses!$G:$G,Responses!$A:$A,$A188,Responses!$D:$D,$B188)/COUNTIFS(Responses!$A:$A,$A188,Responses!$D:$D,$B188),0)*100</f>
        <v>100</v>
      </c>
      <c r="F188">
        <f>COUNTIFS(Responses!$A:$A,$A188,Responses!$D:$D,$B188)</f>
        <v>4</v>
      </c>
    </row>
    <row r="189" spans="1:6" hidden="1" x14ac:dyDescent="0.35">
      <c r="A189" t="s">
        <v>112</v>
      </c>
      <c r="B189" s="7" t="s">
        <v>5</v>
      </c>
      <c r="C189">
        <f>IFERROR(AVERAGEIFS(Responses!$E:$E,Responses!$A:$A,$A189,Responses!$D:$D,$B189),"")</f>
        <v>4</v>
      </c>
      <c r="D189">
        <f>IFERROR(AVERAGEIFS(Responses!$F:$F,Responses!$A:$A,$A189,Responses!$D:$D,$B189),"")</f>
        <v>80</v>
      </c>
      <c r="E189">
        <f>IFERROR(SUMIFS(Responses!$G:$G,Responses!$A:$A,$A189,Responses!$D:$D,$B189)/COUNTIFS(Responses!$A:$A,$A189,Responses!$D:$D,$B189),0)*100</f>
        <v>75</v>
      </c>
      <c r="F189">
        <f>COUNTIFS(Responses!$A:$A,$A189,Responses!$D:$D,$B189)</f>
        <v>4</v>
      </c>
    </row>
    <row r="190" spans="1:6" hidden="1" x14ac:dyDescent="0.35">
      <c r="A190" t="s">
        <v>112</v>
      </c>
      <c r="B190" s="7" t="s">
        <v>7</v>
      </c>
      <c r="C190">
        <f>IFERROR(AVERAGEIFS(Responses!$E:$E,Responses!$A:$A,$A190,Responses!$D:$D,$B190),"")</f>
        <v>4.5</v>
      </c>
      <c r="D190">
        <f>IFERROR(AVERAGEIFS(Responses!$F:$F,Responses!$A:$A,$A190,Responses!$D:$D,$B190),"")</f>
        <v>90</v>
      </c>
      <c r="E190">
        <f>IFERROR(SUMIFS(Responses!$G:$G,Responses!$A:$A,$A190,Responses!$D:$D,$B190)/COUNTIFS(Responses!$A:$A,$A190,Responses!$D:$D,$B190),0)*100</f>
        <v>100</v>
      </c>
      <c r="F190">
        <f>COUNTIFS(Responses!$A:$A,$A190,Responses!$D:$D,$B190)</f>
        <v>4</v>
      </c>
    </row>
    <row r="191" spans="1:6" hidden="1" x14ac:dyDescent="0.35">
      <c r="A191" t="s">
        <v>112</v>
      </c>
      <c r="B191" s="7" t="s">
        <v>8</v>
      </c>
      <c r="C191">
        <f>IFERROR(AVERAGEIFS(Responses!$E:$E,Responses!$A:$A,$A191,Responses!$D:$D,$B191),"")</f>
        <v>4</v>
      </c>
      <c r="D191">
        <f>IFERROR(AVERAGEIFS(Responses!$F:$F,Responses!$A:$A,$A191,Responses!$D:$D,$B191),"")</f>
        <v>80</v>
      </c>
      <c r="E191">
        <f>IFERROR(SUMIFS(Responses!$G:$G,Responses!$A:$A,$A191,Responses!$D:$D,$B191)/COUNTIFS(Responses!$A:$A,$A191,Responses!$D:$D,$B191),0)*100</f>
        <v>75</v>
      </c>
      <c r="F191">
        <f>COUNTIFS(Responses!$A:$A,$A191,Responses!$D:$D,$B191)</f>
        <v>4</v>
      </c>
    </row>
    <row r="192" spans="1:6" hidden="1" x14ac:dyDescent="0.35">
      <c r="A192" t="s">
        <v>112</v>
      </c>
      <c r="B192" s="7" t="s">
        <v>9</v>
      </c>
      <c r="C192">
        <f>IFERROR(AVERAGEIFS(Responses!$E:$E,Responses!$A:$A,$A192,Responses!$D:$D,$B192),"")</f>
        <v>3.5</v>
      </c>
      <c r="D192">
        <f>IFERROR(AVERAGEIFS(Responses!$F:$F,Responses!$A:$A,$A192,Responses!$D:$D,$B192),"")</f>
        <v>70</v>
      </c>
      <c r="E192">
        <f>IFERROR(SUMIFS(Responses!$G:$G,Responses!$A:$A,$A192,Responses!$D:$D,$B192)/COUNTIFS(Responses!$A:$A,$A192,Responses!$D:$D,$B192),0)*100</f>
        <v>50</v>
      </c>
      <c r="F192">
        <f>COUNTIFS(Responses!$A:$A,$A192,Responses!$D:$D,$B192)</f>
        <v>4</v>
      </c>
    </row>
    <row r="193" spans="1:6" hidden="1" x14ac:dyDescent="0.35">
      <c r="A193" t="s">
        <v>112</v>
      </c>
      <c r="B193" s="7" t="s">
        <v>10</v>
      </c>
      <c r="C193">
        <f>IFERROR(AVERAGEIFS(Responses!$E:$E,Responses!$A:$A,$A193,Responses!$D:$D,$B193),"")</f>
        <v>4.25</v>
      </c>
      <c r="D193">
        <f>IFERROR(AVERAGEIFS(Responses!$F:$F,Responses!$A:$A,$A193,Responses!$D:$D,$B193),"")</f>
        <v>85</v>
      </c>
      <c r="E193">
        <f>IFERROR(SUMIFS(Responses!$G:$G,Responses!$A:$A,$A193,Responses!$D:$D,$B193)/COUNTIFS(Responses!$A:$A,$A193,Responses!$D:$D,$B193),0)*100</f>
        <v>75</v>
      </c>
      <c r="F193">
        <f>COUNTIFS(Responses!$A:$A,$A193,Responses!$D:$D,$B193)</f>
        <v>4</v>
      </c>
    </row>
    <row r="194" spans="1:6" hidden="1" x14ac:dyDescent="0.35">
      <c r="A194" t="s">
        <v>123</v>
      </c>
      <c r="B194" s="7" t="s">
        <v>0</v>
      </c>
      <c r="C194">
        <f>IFERROR(AVERAGEIFS(Responses!$E:$E,Responses!$A:$A,$A194,Responses!$D:$D,$B194),"")</f>
        <v>4</v>
      </c>
      <c r="D194">
        <f>IFERROR(AVERAGEIFS(Responses!$F:$F,Responses!$A:$A,$A194,Responses!$D:$D,$B194),"")</f>
        <v>80</v>
      </c>
      <c r="E194">
        <f>IFERROR(SUMIFS(Responses!$G:$G,Responses!$A:$A,$A194,Responses!$D:$D,$B194)/COUNTIFS(Responses!$A:$A,$A194,Responses!$D:$D,$B194),0)*100</f>
        <v>75</v>
      </c>
      <c r="F194">
        <f>COUNTIFS(Responses!$A:$A,$A194,Responses!$D:$D,$B194)</f>
        <v>4</v>
      </c>
    </row>
    <row r="195" spans="1:6" hidden="1" x14ac:dyDescent="0.35">
      <c r="A195" t="s">
        <v>123</v>
      </c>
      <c r="B195" s="7" t="s">
        <v>117</v>
      </c>
      <c r="C195">
        <f>IFERROR(AVERAGEIFS(Responses!$E:$E,Responses!$A:$A,$A195,Responses!$D:$D,$B195),"")</f>
        <v>4.5</v>
      </c>
      <c r="D195">
        <f>IFERROR(AVERAGEIFS(Responses!$F:$F,Responses!$A:$A,$A195,Responses!$D:$D,$B195),"")</f>
        <v>90</v>
      </c>
      <c r="E195">
        <f>IFERROR(SUMIFS(Responses!$G:$G,Responses!$A:$A,$A195,Responses!$D:$D,$B195)/COUNTIFS(Responses!$A:$A,$A195,Responses!$D:$D,$B195),0)*100</f>
        <v>100</v>
      </c>
      <c r="F195">
        <f>COUNTIFS(Responses!$A:$A,$A195,Responses!$D:$D,$B195)</f>
        <v>4</v>
      </c>
    </row>
    <row r="196" spans="1:6" hidden="1" x14ac:dyDescent="0.35">
      <c r="A196" t="s">
        <v>123</v>
      </c>
      <c r="B196" s="7" t="s">
        <v>3</v>
      </c>
      <c r="C196">
        <f>IFERROR(AVERAGEIFS(Responses!$E:$E,Responses!$A:$A,$A196,Responses!$D:$D,$B196),"")</f>
        <v>4</v>
      </c>
      <c r="D196">
        <f>IFERROR(AVERAGEIFS(Responses!$F:$F,Responses!$A:$A,$A196,Responses!$D:$D,$B196),"")</f>
        <v>80</v>
      </c>
      <c r="E196">
        <f>IFERROR(SUMIFS(Responses!$G:$G,Responses!$A:$A,$A196,Responses!$D:$D,$B196)/COUNTIFS(Responses!$A:$A,$A196,Responses!$D:$D,$B196),0)*100</f>
        <v>75</v>
      </c>
      <c r="F196">
        <f>COUNTIFS(Responses!$A:$A,$A196,Responses!$D:$D,$B196)</f>
        <v>4</v>
      </c>
    </row>
    <row r="197" spans="1:6" hidden="1" x14ac:dyDescent="0.35">
      <c r="A197" t="s">
        <v>123</v>
      </c>
      <c r="B197" s="7" t="s">
        <v>5</v>
      </c>
      <c r="C197">
        <f>IFERROR(AVERAGEIFS(Responses!$E:$E,Responses!$A:$A,$A197,Responses!$D:$D,$B197),"")</f>
        <v>3.5</v>
      </c>
      <c r="D197">
        <f>IFERROR(AVERAGEIFS(Responses!$F:$F,Responses!$A:$A,$A197,Responses!$D:$D,$B197),"")</f>
        <v>70</v>
      </c>
      <c r="E197">
        <f>IFERROR(SUMIFS(Responses!$G:$G,Responses!$A:$A,$A197,Responses!$D:$D,$B197)/COUNTIFS(Responses!$A:$A,$A197,Responses!$D:$D,$B197),0)*100</f>
        <v>50</v>
      </c>
      <c r="F197">
        <f>COUNTIFS(Responses!$A:$A,$A197,Responses!$D:$D,$B197)</f>
        <v>4</v>
      </c>
    </row>
    <row r="198" spans="1:6" hidden="1" x14ac:dyDescent="0.35">
      <c r="A198" t="s">
        <v>123</v>
      </c>
      <c r="B198" s="7" t="s">
        <v>7</v>
      </c>
      <c r="C198">
        <f>IFERROR(AVERAGEIFS(Responses!$E:$E,Responses!$A:$A,$A198,Responses!$D:$D,$B198),"")</f>
        <v>3.5</v>
      </c>
      <c r="D198">
        <f>IFERROR(AVERAGEIFS(Responses!$F:$F,Responses!$A:$A,$A198,Responses!$D:$D,$B198),"")</f>
        <v>70</v>
      </c>
      <c r="E198">
        <f>IFERROR(SUMIFS(Responses!$G:$G,Responses!$A:$A,$A198,Responses!$D:$D,$B198)/COUNTIFS(Responses!$A:$A,$A198,Responses!$D:$D,$B198),0)*100</f>
        <v>50</v>
      </c>
      <c r="F198">
        <f>COUNTIFS(Responses!$A:$A,$A198,Responses!$D:$D,$B198)</f>
        <v>4</v>
      </c>
    </row>
    <row r="199" spans="1:6" hidden="1" x14ac:dyDescent="0.35">
      <c r="A199" t="s">
        <v>123</v>
      </c>
      <c r="B199" s="7" t="s">
        <v>8</v>
      </c>
      <c r="C199">
        <f>IFERROR(AVERAGEIFS(Responses!$E:$E,Responses!$A:$A,$A199,Responses!$D:$D,$B199),"")</f>
        <v>4.5</v>
      </c>
      <c r="D199">
        <f>IFERROR(AVERAGEIFS(Responses!$F:$F,Responses!$A:$A,$A199,Responses!$D:$D,$B199),"")</f>
        <v>90</v>
      </c>
      <c r="E199">
        <f>IFERROR(SUMIFS(Responses!$G:$G,Responses!$A:$A,$A199,Responses!$D:$D,$B199)/COUNTIFS(Responses!$A:$A,$A199,Responses!$D:$D,$B199),0)*100</f>
        <v>100</v>
      </c>
      <c r="F199">
        <f>COUNTIFS(Responses!$A:$A,$A199,Responses!$D:$D,$B199)</f>
        <v>4</v>
      </c>
    </row>
    <row r="200" spans="1:6" hidden="1" x14ac:dyDescent="0.35">
      <c r="A200" t="s">
        <v>123</v>
      </c>
      <c r="B200" s="7" t="s">
        <v>9</v>
      </c>
      <c r="C200">
        <f>IFERROR(AVERAGEIFS(Responses!$E:$E,Responses!$A:$A,$A200,Responses!$D:$D,$B200),"")</f>
        <v>4.75</v>
      </c>
      <c r="D200">
        <f>IFERROR(AVERAGEIFS(Responses!$F:$F,Responses!$A:$A,$A200,Responses!$D:$D,$B200),"")</f>
        <v>95</v>
      </c>
      <c r="E200">
        <f>IFERROR(SUMIFS(Responses!$G:$G,Responses!$A:$A,$A200,Responses!$D:$D,$B200)/COUNTIFS(Responses!$A:$A,$A200,Responses!$D:$D,$B200),0)*100</f>
        <v>100</v>
      </c>
      <c r="F200">
        <f>COUNTIFS(Responses!$A:$A,$A200,Responses!$D:$D,$B200)</f>
        <v>4</v>
      </c>
    </row>
    <row r="201" spans="1:6" hidden="1" x14ac:dyDescent="0.35">
      <c r="A201" t="s">
        <v>123</v>
      </c>
      <c r="B201" s="7" t="s">
        <v>10</v>
      </c>
      <c r="C201">
        <f>IFERROR(AVERAGEIFS(Responses!$E:$E,Responses!$A:$A,$A201,Responses!$D:$D,$B201),"")</f>
        <v>3.5</v>
      </c>
      <c r="D201">
        <f>IFERROR(AVERAGEIFS(Responses!$F:$F,Responses!$A:$A,$A201,Responses!$D:$D,$B201),"")</f>
        <v>70</v>
      </c>
      <c r="E201">
        <f>IFERROR(SUMIFS(Responses!$G:$G,Responses!$A:$A,$A201,Responses!$D:$D,$B201)/COUNTIFS(Responses!$A:$A,$A201,Responses!$D:$D,$B201),0)*100</f>
        <v>50</v>
      </c>
      <c r="F201">
        <f>COUNTIFS(Responses!$A:$A,$A201,Responses!$D:$D,$B201)</f>
        <v>4</v>
      </c>
    </row>
    <row r="211" spans="4:4" x14ac:dyDescent="0.35">
      <c r="D211" t="s">
        <v>122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3A63-BA88-4253-9037-660649B3DB94}">
  <dimension ref="A1:F27"/>
  <sheetViews>
    <sheetView topLeftCell="A9" zoomScale="101" workbookViewId="0">
      <selection activeCell="B2" sqref="B2"/>
    </sheetView>
  </sheetViews>
  <sheetFormatPr defaultRowHeight="14.5" x14ac:dyDescent="0.35"/>
  <cols>
    <col min="1" max="1" width="34.453125" customWidth="1"/>
    <col min="2" max="2" width="24.1796875" customWidth="1"/>
    <col min="3" max="3" width="28" customWidth="1"/>
    <col min="4" max="4" width="22.453125" customWidth="1"/>
    <col min="5" max="5" width="18.08984375" customWidth="1"/>
    <col min="6" max="6" width="13.7265625" customWidth="1"/>
  </cols>
  <sheetData>
    <row r="1" spans="1:6" x14ac:dyDescent="0.35">
      <c r="A1" s="7" t="s">
        <v>1</v>
      </c>
      <c r="B1" s="7" t="s">
        <v>120</v>
      </c>
      <c r="C1" s="7" t="s">
        <v>121</v>
      </c>
      <c r="D1" s="7" t="s">
        <v>115</v>
      </c>
      <c r="E1" s="7" t="s">
        <v>116</v>
      </c>
      <c r="F1" s="7" t="s">
        <v>83</v>
      </c>
    </row>
    <row r="2" spans="1:6" x14ac:dyDescent="0.35">
      <c r="A2" s="7" t="s">
        <v>0</v>
      </c>
      <c r="B2">
        <f>AVERAGEIF(Responses!$D:$D, A2, Responses!$E:$E)</f>
        <v>3.7692307692307692</v>
      </c>
      <c r="C2">
        <f>IFERROR(ROUND(AVERAGEIF(Responses!$D:$D, A2, Responses!$F:$F), 0), "")</f>
        <v>75</v>
      </c>
      <c r="D2">
        <f>COUNTIF(FinalQuestions!C:C, A2)</f>
        <v>4</v>
      </c>
      <c r="E2">
        <f>SUMIFS(Responses!G:G, Responses!D:D, A2) / COUNTIFS(Responses!D:D, A2)*100</f>
        <v>58.653846153846153</v>
      </c>
      <c r="F2" t="str">
        <f>IF(Table9[[#This Row],[AvgScore100]]&gt;=80,"Low",IF(Table9[[#This Row],[AvgScore100]]&gt;=70,"Medium","High"))</f>
        <v>Medium</v>
      </c>
    </row>
    <row r="3" spans="1:6" x14ac:dyDescent="0.35">
      <c r="A3" s="7" t="s">
        <v>117</v>
      </c>
      <c r="B3">
        <f>AVERAGEIF(Responses!$D:$D, A3, Responses!$E:$E)</f>
        <v>3.8942307692307692</v>
      </c>
      <c r="C3">
        <f>IFERROR(ROUND(AVERAGEIF(Responses!$D:$D, A3, Responses!$F:$F), 0), "")</f>
        <v>78</v>
      </c>
      <c r="D3">
        <f>COUNTIF(FinalQuestions!C:C, A3)</f>
        <v>4</v>
      </c>
      <c r="E3">
        <f>SUMIFS(Responses!G:G, Responses!D:D, A3) / COUNTIFS(Responses!D:D, A3)*100</f>
        <v>61.53846153846154</v>
      </c>
      <c r="F3" t="str">
        <f>IF(Table9[[#This Row],[AvgScore100]]&gt;=80,"Low",IF(Table9[[#This Row],[AvgScore100]]&gt;=70,"Medium","High"))</f>
        <v>Medium</v>
      </c>
    </row>
    <row r="4" spans="1:6" x14ac:dyDescent="0.35">
      <c r="A4" s="7" t="s">
        <v>3</v>
      </c>
      <c r="B4">
        <f>AVERAGEIF(Responses!$D:$D, A4, Responses!$E:$E)</f>
        <v>3.6057692307692308</v>
      </c>
      <c r="C4">
        <f>IFERROR(ROUND(AVERAGEIF(Responses!$D:$D, A4, Responses!$F:$F), 0), "")</f>
        <v>72</v>
      </c>
      <c r="D4">
        <f>COUNTIF(FinalQuestions!C:C, A4)</f>
        <v>4</v>
      </c>
      <c r="E4">
        <f>SUMIFS(Responses!G:G, Responses!D:D, A4) / COUNTIFS(Responses!D:D, A4)*100</f>
        <v>53.846153846153847</v>
      </c>
      <c r="F4" t="str">
        <f>IF(Table9[[#This Row],[AvgScore100]]&gt;=80,"Low",IF(Table9[[#This Row],[AvgScore100]]&gt;=70,"Medium","High"))</f>
        <v>Medium</v>
      </c>
    </row>
    <row r="5" spans="1:6" x14ac:dyDescent="0.35">
      <c r="A5" s="7" t="s">
        <v>5</v>
      </c>
      <c r="B5">
        <f>AVERAGEIF(Responses!$D:$D, A5, Responses!$E:$E)</f>
        <v>3.75</v>
      </c>
      <c r="C5">
        <f>IFERROR(ROUND(AVERAGEIF(Responses!$D:$D, A5, Responses!$F:$F), 0), "")</f>
        <v>75</v>
      </c>
      <c r="D5">
        <f>COUNTIF(FinalQuestions!C:C, A5)</f>
        <v>4</v>
      </c>
      <c r="E5">
        <f>SUMIFS(Responses!G:G, Responses!D:D, A5) / COUNTIFS(Responses!D:D, A5)*100</f>
        <v>55.769230769230774</v>
      </c>
      <c r="F5" t="str">
        <f>IF(Table9[[#This Row],[AvgScore100]]&gt;=80,"Low",IF(Table9[[#This Row],[AvgScore100]]&gt;=70,"Medium","High"))</f>
        <v>Medium</v>
      </c>
    </row>
    <row r="6" spans="1:6" x14ac:dyDescent="0.35">
      <c r="A6" s="7" t="s">
        <v>7</v>
      </c>
      <c r="B6">
        <f>AVERAGEIF(Responses!$D:$D, A6, Responses!$E:$E)</f>
        <v>3.7403846153846154</v>
      </c>
      <c r="C6">
        <f>IFERROR(ROUND(AVERAGEIF(Responses!$D:$D, A6, Responses!$F:$F), 0), "")</f>
        <v>75</v>
      </c>
      <c r="D6">
        <f>COUNTIF(FinalQuestions!C:C, A6)</f>
        <v>4</v>
      </c>
      <c r="E6">
        <f>SUMIFS(Responses!G:G, Responses!D:D, A6) / COUNTIFS(Responses!D:D, A6)*100</f>
        <v>54.807692307692314</v>
      </c>
      <c r="F6" t="str">
        <f>IF(Table9[[#This Row],[AvgScore100]]&gt;=80,"Low",IF(Table9[[#This Row],[AvgScore100]]&gt;=70,"Medium","High"))</f>
        <v>Medium</v>
      </c>
    </row>
    <row r="7" spans="1:6" x14ac:dyDescent="0.35">
      <c r="A7" s="7" t="s">
        <v>8</v>
      </c>
      <c r="B7">
        <f>AVERAGEIF(Responses!$D:$D, A7, Responses!$E:$E)</f>
        <v>3.7596153846153846</v>
      </c>
      <c r="C7">
        <f>IFERROR(ROUND(AVERAGEIF(Responses!$D:$D, A7, Responses!$F:$F), 0), "")</f>
        <v>75</v>
      </c>
      <c r="D7">
        <f>COUNTIF(FinalQuestions!C:C, A7)</f>
        <v>4</v>
      </c>
      <c r="E7">
        <f>SUMIFS(Responses!G:G, Responses!D:D, A7) / COUNTIFS(Responses!D:D, A7)*100</f>
        <v>57.692307692307686</v>
      </c>
      <c r="F7" t="str">
        <f>IF(Table9[[#This Row],[AvgScore100]]&gt;=80,"Low",IF(Table9[[#This Row],[AvgScore100]]&gt;=70,"Medium","High"))</f>
        <v>Medium</v>
      </c>
    </row>
    <row r="8" spans="1:6" x14ac:dyDescent="0.35">
      <c r="A8" s="7" t="s">
        <v>9</v>
      </c>
      <c r="B8">
        <f>AVERAGEIF(Responses!$D:$D, A8, Responses!$E:$E)</f>
        <v>3.7211538461538463</v>
      </c>
      <c r="C8">
        <f>IFERROR(ROUND(AVERAGEIF(Responses!$D:$D, A8, Responses!$F:$F), 0), "")</f>
        <v>74</v>
      </c>
      <c r="D8">
        <f>COUNTIF(FinalQuestions!C:C, A8)</f>
        <v>4</v>
      </c>
      <c r="E8">
        <f>SUMIFS(Responses!G:G, Responses!D:D, A8) / COUNTIFS(Responses!D:D, A8)*100</f>
        <v>58.653846153846153</v>
      </c>
      <c r="F8" t="str">
        <f>IF(Table9[[#This Row],[AvgScore100]]&gt;=80,"Low",IF(Table9[[#This Row],[AvgScore100]]&gt;=70,"Medium","High"))</f>
        <v>Medium</v>
      </c>
    </row>
    <row r="9" spans="1:6" x14ac:dyDescent="0.35">
      <c r="A9" s="7" t="s">
        <v>118</v>
      </c>
      <c r="B9">
        <f>AVERAGEIF(Responses!$D:$D, A9, Responses!$E:$E)</f>
        <v>3.5096153846153846</v>
      </c>
      <c r="C9">
        <f>IFERROR(ROUND(AVERAGEIF(Responses!$D:$D, A9, Responses!$F:$F), 0), "")</f>
        <v>70</v>
      </c>
      <c r="D9">
        <f>COUNTIF(FinalQuestions!C:C, A9)</f>
        <v>4</v>
      </c>
      <c r="E9">
        <f>SUMIFS(Responses!G:G, Responses!D:D, A9) / COUNTIFS(Responses!D:D, A9)*100</f>
        <v>49.038461538461533</v>
      </c>
      <c r="F9" t="str">
        <f>IF(Table9[[#This Row],[AvgScore100]]&gt;=80,"Low",IF(Table9[[#This Row],[AvgScore100]]&gt;=70,"Medium","High"))</f>
        <v>Medium</v>
      </c>
    </row>
    <row r="11" spans="1:6" ht="13" customHeight="1" x14ac:dyDescent="0.35"/>
    <row r="19" spans="1:2" ht="15" thickBot="1" x14ac:dyDescent="0.4">
      <c r="A19" s="21" t="s">
        <v>1</v>
      </c>
      <c r="B19" s="43" t="s">
        <v>121</v>
      </c>
    </row>
    <row r="20" spans="1:2" ht="15" thickTop="1" x14ac:dyDescent="0.35">
      <c r="A20" s="22" t="s">
        <v>0</v>
      </c>
      <c r="B20">
        <f>IFERROR(ROUND(AVERAGEIF(Responses!$D:$D, A2, Responses!$F:$F), 0), "")</f>
        <v>75</v>
      </c>
    </row>
    <row r="21" spans="1:2" x14ac:dyDescent="0.35">
      <c r="A21" s="23" t="s">
        <v>117</v>
      </c>
      <c r="B21">
        <f>IFERROR(ROUND(AVERAGEIF(Responses!$D:$D, A3, Responses!$F:$F), 0), "")</f>
        <v>78</v>
      </c>
    </row>
    <row r="22" spans="1:2" x14ac:dyDescent="0.35">
      <c r="A22" s="22" t="s">
        <v>3</v>
      </c>
      <c r="B22">
        <f>IFERROR(ROUND(AVERAGEIF(Responses!$D:$D, A4, Responses!$F:$F), 0), "")</f>
        <v>72</v>
      </c>
    </row>
    <row r="23" spans="1:2" x14ac:dyDescent="0.35">
      <c r="A23" s="23" t="s">
        <v>5</v>
      </c>
      <c r="B23">
        <f>IFERROR(ROUND(AVERAGEIF(Responses!$D:$D, A5, Responses!$F:$F), 0), "")</f>
        <v>75</v>
      </c>
    </row>
    <row r="24" spans="1:2" x14ac:dyDescent="0.35">
      <c r="A24" s="22" t="s">
        <v>7</v>
      </c>
      <c r="B24">
        <f>IFERROR(ROUND(AVERAGEIF(Responses!$D:$D, A6, Responses!$F:$F), 0), "")</f>
        <v>75</v>
      </c>
    </row>
    <row r="25" spans="1:2" x14ac:dyDescent="0.35">
      <c r="A25" s="23" t="s">
        <v>8</v>
      </c>
      <c r="B25">
        <f>IFERROR(ROUND(AVERAGEIF(Responses!$D:$D, A7, Responses!$F:$F), 0), "")</f>
        <v>75</v>
      </c>
    </row>
    <row r="26" spans="1:2" x14ac:dyDescent="0.35">
      <c r="A26" s="22" t="s">
        <v>9</v>
      </c>
      <c r="B26">
        <f>IFERROR(ROUND(AVERAGEIF(Responses!$D:$D, A8, Responses!$F:$F), 0), "")</f>
        <v>74</v>
      </c>
    </row>
    <row r="27" spans="1:2" x14ac:dyDescent="0.35">
      <c r="A27" s="24" t="s">
        <v>118</v>
      </c>
      <c r="B27">
        <f>IFERROR(ROUND(AVERAGEIF(Responses!$D:$D, A9, Responses!$F:$F), 0), "")</f>
        <v>70</v>
      </c>
    </row>
  </sheetData>
  <conditionalFormatting sqref="C2:C9">
    <cfRule type="cellIs" dxfId="10" priority="4" operator="greaterThan">
      <formula>80</formula>
    </cfRule>
    <cfRule type="cellIs" dxfId="9" priority="5" operator="lessThan">
      <formula>70</formula>
    </cfRule>
    <cfRule type="cellIs" dxfId="8" priority="6" operator="greaterThan">
      <formula>70</formula>
    </cfRule>
    <cfRule type="cellIs" dxfId="7" priority="7" operator="greaterThan">
      <formula>80</formula>
    </cfRule>
  </conditionalFormatting>
  <conditionalFormatting sqref="E2:E9">
    <cfRule type="cellIs" dxfId="6" priority="1" operator="lessThan">
      <formula>70</formula>
    </cfRule>
    <cfRule type="cellIs" dxfId="5" priority="2" operator="greaterThan">
      <formula>70</formula>
    </cfRule>
    <cfRule type="cellIs" dxfId="4" priority="3" operator="greaterThan">
      <formula>80</formula>
    </cfRule>
  </conditionalFormatting>
  <conditionalFormatting sqref="F2:F9">
    <cfRule type="containsText" dxfId="3" priority="8" operator="containsText" text="Low">
      <formula>NOT(ISERROR(SEARCH("Low",F2)))</formula>
    </cfRule>
    <cfRule type="containsText" dxfId="2" priority="9" operator="containsText" text="Medium">
      <formula>NOT(ISERROR(SEARCH("Medium",F2)))</formula>
    </cfRule>
    <cfRule type="containsText" dxfId="1" priority="10" operator="containsText" text="High">
      <formula>NOT(ISERROR(SEARCH("High",F2)))</formula>
    </cfRule>
    <cfRule type="cellIs" dxfId="0" priority="11" operator="greaterThan">
      <formula>90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4BE0-8257-460B-89C1-75E4ED696343}">
  <dimension ref="A1:G60"/>
  <sheetViews>
    <sheetView topLeftCell="A4" zoomScale="72" workbookViewId="0">
      <selection activeCell="C45" sqref="C45"/>
    </sheetView>
  </sheetViews>
  <sheetFormatPr defaultRowHeight="14.5" x14ac:dyDescent="0.35"/>
  <cols>
    <col min="1" max="1" width="19.26953125" customWidth="1"/>
    <col min="2" max="2" width="15.81640625" customWidth="1"/>
    <col min="3" max="3" width="141" customWidth="1"/>
    <col min="4" max="4" width="30.36328125" customWidth="1"/>
    <col min="5" max="5" width="17.81640625" hidden="1" customWidth="1"/>
    <col min="6" max="6" width="25.26953125" hidden="1" customWidth="1"/>
    <col min="7" max="7" width="21.6328125" hidden="1" customWidth="1"/>
  </cols>
  <sheetData>
    <row r="1" spans="1:7" ht="73" customHeight="1" x14ac:dyDescent="0.35">
      <c r="A1" s="15" t="s">
        <v>126</v>
      </c>
      <c r="B1" s="16" t="s">
        <v>269</v>
      </c>
    </row>
    <row r="2" spans="1:7" ht="73" customHeight="1" x14ac:dyDescent="0.35">
      <c r="A2" s="15" t="s">
        <v>264</v>
      </c>
      <c r="B2" s="16" t="s">
        <v>266</v>
      </c>
    </row>
    <row r="3" spans="1:7" ht="15" thickBot="1" x14ac:dyDescent="0.4"/>
    <row r="4" spans="1:7" ht="26" customHeight="1" thickBot="1" x14ac:dyDescent="0.4">
      <c r="A4" s="12" t="s">
        <v>82</v>
      </c>
      <c r="B4" s="12" t="s">
        <v>11</v>
      </c>
      <c r="C4" s="12" t="s">
        <v>113</v>
      </c>
      <c r="D4" s="13" t="s">
        <v>125</v>
      </c>
      <c r="E4" s="12" t="s">
        <v>87</v>
      </c>
      <c r="F4" s="12" t="s">
        <v>86</v>
      </c>
      <c r="G4" s="12" t="s">
        <v>1</v>
      </c>
    </row>
    <row r="5" spans="1:7" x14ac:dyDescent="0.35">
      <c r="A5" t="str">
        <f>$B$1</f>
        <v>R030</v>
      </c>
      <c r="B5" s="14" t="str" cm="1">
        <f t="array" ref="B5">INDEX(FinalQuestions!$A:$A, ROW()-3)</f>
        <v>Q001</v>
      </c>
      <c r="C5" s="14" t="str" cm="1">
        <f t="array" ref="C5">INDEX(FinalQuestions!$B:$B, ROW()-3)</f>
        <v>I believe that my leaders and senior managers consistently act as positive role models, also when they are under time pressure or facing difficult trade‑offs.</v>
      </c>
      <c r="D5" t="s">
        <v>2</v>
      </c>
      <c r="E5">
        <f>IF(D5="","",CHOOSE(MATCH(D5,{"Strongly Agree","Agree","Neutral","Disagree","Strongly Disagree"},0),5,4,3,2,1))</f>
        <v>4</v>
      </c>
      <c r="F5">
        <f>IF(E5="","",E5*20)</f>
        <v>80</v>
      </c>
      <c r="G5" t="str">
        <f>_xlfn.XLOOKUP(B5,FinalQuestions!$A:$A,FinalQuestions!$C:$C,"")</f>
        <v>Role Modelling</v>
      </c>
    </row>
    <row r="6" spans="1:7" x14ac:dyDescent="0.35">
      <c r="A6" t="str">
        <f t="shared" ref="A6:A36" si="0">$B$1</f>
        <v>R030</v>
      </c>
      <c r="B6" t="str" cm="1">
        <f t="array" ref="B6">INDEX(FinalQuestions!$A:$A, ROW()-3)</f>
        <v>Q002</v>
      </c>
      <c r="C6" t="str" cm="1">
        <f t="array" ref="C6">INDEX(FinalQuestions!$B:$B, ROW()-3)</f>
        <v>Leaders openly emphasize the importance of doing things the right way, even under time pressure</v>
      </c>
      <c r="D6" t="s">
        <v>2</v>
      </c>
      <c r="E6">
        <f>IF(D6="","",CHOOSE(MATCH(D6,{"Strongly Agree","Agree","Neutral","Disagree","Strongly Disagree"},0),5,4,3,2,1))</f>
        <v>4</v>
      </c>
      <c r="F6">
        <f t="shared" ref="F6:F36" si="1">IF(E6="","",E6*20)</f>
        <v>80</v>
      </c>
      <c r="G6" t="str">
        <f>_xlfn.XLOOKUP(B6,FinalQuestions!$A:$A,FinalQuestions!$C:$C,"")</f>
        <v>Role Modelling</v>
      </c>
    </row>
    <row r="7" spans="1:7" x14ac:dyDescent="0.35">
      <c r="A7" t="str">
        <f t="shared" si="0"/>
        <v>R030</v>
      </c>
      <c r="B7" t="str" cm="1">
        <f t="array" ref="B7">INDEX(FinalQuestions!$A:$A, ROW()-3)</f>
        <v>Q003</v>
      </c>
      <c r="C7" t="str" cm="1">
        <f t="array" ref="C7">INDEX(FinalQuestions!$B:$B, ROW()-3)</f>
        <v>All the seniors encourage employees to identify, escalate and report all the concerns in a timely manner</v>
      </c>
      <c r="D7" t="s">
        <v>2</v>
      </c>
      <c r="E7">
        <f>IF(D7="","",CHOOSE(MATCH(D7,{"Strongly Agree","Agree","Neutral","Disagree","Strongly Disagree"},0),5,4,3,2,1))</f>
        <v>4</v>
      </c>
      <c r="F7">
        <f t="shared" si="1"/>
        <v>80</v>
      </c>
      <c r="G7" t="str">
        <f>_xlfn.XLOOKUP(B7,FinalQuestions!$A:$A,FinalQuestions!$C:$C,"")</f>
        <v>Role Modelling</v>
      </c>
    </row>
    <row r="8" spans="1:7" x14ac:dyDescent="0.35">
      <c r="A8" t="str">
        <f t="shared" si="0"/>
        <v>R030</v>
      </c>
      <c r="B8" t="str" cm="1">
        <f t="array" ref="B8">INDEX(FinalQuestions!$A:$A, ROW()-3)</f>
        <v>Q004</v>
      </c>
      <c r="C8" t="str" cm="1">
        <f t="array" ref="C8">INDEX(FinalQuestions!$B:$B, ROW()-3)</f>
        <v>When decisions are made by leaders, potential and long-term implications are usually considered.</v>
      </c>
      <c r="D8" t="s">
        <v>2</v>
      </c>
      <c r="E8">
        <f>IF(D8="","",CHOOSE(MATCH(D8,{"Strongly Agree","Agree","Neutral","Disagree","Strongly Disagree"},0),5,4,3,2,1))</f>
        <v>4</v>
      </c>
      <c r="F8">
        <f t="shared" si="1"/>
        <v>80</v>
      </c>
      <c r="G8" t="str">
        <f>_xlfn.XLOOKUP(B8,FinalQuestions!$A:$A,FinalQuestions!$C:$C,"")</f>
        <v>Role Modelling</v>
      </c>
    </row>
    <row r="9" spans="1:7" x14ac:dyDescent="0.35">
      <c r="A9" t="str">
        <f t="shared" si="0"/>
        <v>R030</v>
      </c>
      <c r="B9" t="str" cm="1">
        <f t="array" ref="B9">INDEX(FinalQuestions!$A:$A, ROW()-3)</f>
        <v>Q005</v>
      </c>
      <c r="C9" t="str" cm="1">
        <f t="array" ref="C9">INDEX(FinalQuestions!$B:$B, ROW()-3)</f>
        <v>Differences of opinion are respected during discussions about judgments or decisions</v>
      </c>
      <c r="D9" t="s">
        <v>2</v>
      </c>
      <c r="E9">
        <f>IF(D9="","",CHOOSE(MATCH(D9,{"Strongly Agree","Agree","Neutral","Disagree","Strongly Disagree"},0),5,4,3,2,1))</f>
        <v>4</v>
      </c>
      <c r="F9">
        <f t="shared" si="1"/>
        <v>80</v>
      </c>
      <c r="G9" t="str">
        <f>_xlfn.XLOOKUP(B9,FinalQuestions!$A:$A,FinalQuestions!$C:$C,"")</f>
        <v>Discussability</v>
      </c>
    </row>
    <row r="10" spans="1:7" x14ac:dyDescent="0.35">
      <c r="A10" t="str">
        <f t="shared" si="0"/>
        <v>R030</v>
      </c>
      <c r="B10" t="str" cm="1">
        <f t="array" ref="B10">INDEX(FinalQuestions!$A:$A, ROW()-3)</f>
        <v>Q006</v>
      </c>
      <c r="C10" t="str" cm="1">
        <f t="array" ref="C10">INDEX(FinalQuestions!$B:$B, ROW()-3)</f>
        <v>I can openly raise concerns without fear of negative consequences</v>
      </c>
      <c r="D10" t="s">
        <v>2</v>
      </c>
      <c r="E10">
        <f>IF(D10="","",CHOOSE(MATCH(D10,{"Strongly Agree","Agree","Neutral","Disagree","Strongly Disagree"},0),5,4,3,2,1))</f>
        <v>4</v>
      </c>
      <c r="F10">
        <f t="shared" si="1"/>
        <v>80</v>
      </c>
      <c r="G10" t="str">
        <f>_xlfn.XLOOKUP(B10,FinalQuestions!$A:$A,FinalQuestions!$C:$C,"")</f>
        <v>Discussability</v>
      </c>
    </row>
    <row r="11" spans="1:7" x14ac:dyDescent="0.35">
      <c r="A11" t="str">
        <f t="shared" si="0"/>
        <v>R030</v>
      </c>
      <c r="B11" t="str" cm="1">
        <f t="array" ref="B11">INDEX(FinalQuestions!$A:$A, ROW()-3)</f>
        <v>Q007</v>
      </c>
      <c r="C11" t="str" cm="1">
        <f t="array" ref="C11">INDEX(FinalQuestions!$B:$B, ROW()-3)</f>
        <v>Colleagues respond constructively when mistakes or concerns are raised management.</v>
      </c>
      <c r="D11" t="s">
        <v>2</v>
      </c>
      <c r="E11">
        <f>IF(D11="","",CHOOSE(MATCH(D11,{"Strongly Agree","Agree","Neutral","Disagree","Strongly Disagree"},0),5,4,3,2,1))</f>
        <v>4</v>
      </c>
      <c r="F11">
        <f t="shared" si="1"/>
        <v>80</v>
      </c>
      <c r="G11" t="str">
        <f>_xlfn.XLOOKUP(B11,FinalQuestions!$A:$A,FinalQuestions!$C:$C,"")</f>
        <v>Discussability</v>
      </c>
    </row>
    <row r="12" spans="1:7" x14ac:dyDescent="0.35">
      <c r="A12" t="str">
        <f t="shared" si="0"/>
        <v>R030</v>
      </c>
      <c r="B12" t="str" cm="1">
        <f t="array" ref="B12">INDEX(FinalQuestions!$A:$A, ROW()-3)</f>
        <v>Q008</v>
      </c>
      <c r="C12" t="str" cm="1">
        <f t="array" ref="C12">INDEX(FinalQuestions!$B:$B, ROW()-3)</f>
        <v>I feel comfortable escalating issues to Risk Management / Ethics &amp; Independence / DPP when needed</v>
      </c>
      <c r="D12" t="s">
        <v>2</v>
      </c>
      <c r="E12">
        <f>IF(D12="","",CHOOSE(MATCH(D12,{"Strongly Agree","Agree","Neutral","Disagree","Strongly Disagree"},0),5,4,3,2,1))</f>
        <v>4</v>
      </c>
      <c r="F12">
        <f t="shared" si="1"/>
        <v>80</v>
      </c>
      <c r="G12" t="str">
        <f>_xlfn.XLOOKUP(B12,FinalQuestions!$A:$A,FinalQuestions!$C:$C,"")</f>
        <v>Discussability</v>
      </c>
    </row>
    <row r="13" spans="1:7" x14ac:dyDescent="0.35">
      <c r="A13" t="str">
        <f t="shared" si="0"/>
        <v>R030</v>
      </c>
      <c r="B13" t="str" cm="1">
        <f t="array" ref="B13">INDEX(FinalQuestions!$A:$A, ROW()-3)</f>
        <v>Q009</v>
      </c>
      <c r="C13" t="str" cm="1">
        <f t="array" ref="C13">INDEX(FinalQuestions!$B:$B, ROW()-3)</f>
        <v>I have received enough training to handle job‑related challenges effectively.</v>
      </c>
      <c r="D13" t="s">
        <v>2</v>
      </c>
      <c r="E13">
        <f>IF(D13="","",CHOOSE(MATCH(D13,{"Strongly Agree","Agree","Neutral","Disagree","Strongly Disagree"},0),5,4,3,2,1))</f>
        <v>4</v>
      </c>
      <c r="F13">
        <f t="shared" si="1"/>
        <v>80</v>
      </c>
      <c r="G13" t="str">
        <f>_xlfn.XLOOKUP(B13,FinalQuestions!$A:$A,FinalQuestions!$C:$C,"")</f>
        <v>Achievability</v>
      </c>
    </row>
    <row r="14" spans="1:7" x14ac:dyDescent="0.35">
      <c r="A14" t="str">
        <f t="shared" si="0"/>
        <v>R030</v>
      </c>
      <c r="B14" t="str" cm="1">
        <f t="array" ref="B14">INDEX(FinalQuestions!$A:$A, ROW()-3)</f>
        <v>Q010</v>
      </c>
      <c r="C14" t="str" cm="1">
        <f t="array" ref="C14">INDEX(FinalQuestions!$B:$B, ROW()-3)</f>
        <v>Within my team or department people have enough time and resources to do their job without taking unacceptable risks</v>
      </c>
      <c r="D14" t="s">
        <v>2</v>
      </c>
      <c r="E14">
        <f>IF(D14="","",CHOOSE(MATCH(D14,{"Strongly Agree","Agree","Neutral","Disagree","Strongly Disagree"},0),5,4,3,2,1))</f>
        <v>4</v>
      </c>
      <c r="F14">
        <f t="shared" si="1"/>
        <v>80</v>
      </c>
      <c r="G14" t="str">
        <f>_xlfn.XLOOKUP(B14,FinalQuestions!$A:$A,FinalQuestions!$C:$C,"")</f>
        <v>Achievability</v>
      </c>
    </row>
    <row r="15" spans="1:7" x14ac:dyDescent="0.35">
      <c r="A15" t="str">
        <f t="shared" si="0"/>
        <v>R030</v>
      </c>
      <c r="B15" t="str" cm="1">
        <f t="array" ref="B15">INDEX(FinalQuestions!$A:$A, ROW()-3)</f>
        <v>Q011</v>
      </c>
      <c r="C15" t="str" cm="1">
        <f t="array" ref="C15">INDEX(FinalQuestions!$B:$B, ROW()-3)</f>
        <v>People set targets that are achievable without compromising risk management policies, guidelines and procedures.</v>
      </c>
      <c r="D15" t="s">
        <v>2</v>
      </c>
      <c r="E15">
        <f>IF(D15="","",CHOOSE(MATCH(D15,{"Strongly Agree","Agree","Neutral","Disagree","Strongly Disagree"},0),5,4,3,2,1))</f>
        <v>4</v>
      </c>
      <c r="F15">
        <f t="shared" si="1"/>
        <v>80</v>
      </c>
      <c r="G15" t="str">
        <f>_xlfn.XLOOKUP(B15,FinalQuestions!$A:$A,FinalQuestions!$C:$C,"")</f>
        <v>Achievability</v>
      </c>
    </row>
    <row r="16" spans="1:7" x14ac:dyDescent="0.35">
      <c r="A16" t="str">
        <f t="shared" si="0"/>
        <v>R030</v>
      </c>
      <c r="B16" t="str" cm="1">
        <f t="array" ref="B16">INDEX(FinalQuestions!$A:$A, ROW()-3)</f>
        <v>Q012</v>
      </c>
      <c r="C16" t="str" cm="1">
        <f t="array" ref="C16">INDEX(FinalQuestions!$B:$B, ROW()-3)</f>
        <v>People visibly consider potential risks when making strategic decisions</v>
      </c>
      <c r="D16" t="s">
        <v>2</v>
      </c>
      <c r="E16">
        <f>IF(D16="","",CHOOSE(MATCH(D16,{"Strongly Agree","Agree","Neutral","Disagree","Strongly Disagree"},0),5,4,3,2,1))</f>
        <v>4</v>
      </c>
      <c r="F16">
        <f t="shared" si="1"/>
        <v>80</v>
      </c>
      <c r="G16" t="str">
        <f>_xlfn.XLOOKUP(B16,FinalQuestions!$A:$A,FinalQuestions!$C:$C,"")</f>
        <v>Achievability</v>
      </c>
    </row>
    <row r="17" spans="1:7" x14ac:dyDescent="0.35">
      <c r="A17" t="str">
        <f t="shared" si="0"/>
        <v>R030</v>
      </c>
      <c r="B17" t="str" cm="1">
        <f t="array" ref="B17">INDEX(FinalQuestions!$A:$A, ROW()-3)</f>
        <v>Q013</v>
      </c>
      <c r="C17" t="str" cm="1">
        <f t="array" ref="C17">INDEX(FinalQuestions!$B:$B, ROW()-3)</f>
        <v>I have observed changes implemented as a result of past issues or incidents.</v>
      </c>
      <c r="D17" t="s">
        <v>2</v>
      </c>
      <c r="E17">
        <f>IF(D17="","",CHOOSE(MATCH(D17,{"Strongly Agree","Agree","Neutral","Disagree","Strongly Disagree"},0),5,4,3,2,1))</f>
        <v>4</v>
      </c>
      <c r="F17">
        <f t="shared" si="1"/>
        <v>80</v>
      </c>
      <c r="G17" t="str">
        <f>_xlfn.XLOOKUP(B17,FinalQuestions!$A:$A,FinalQuestions!$C:$C,"")</f>
        <v>Enforcement</v>
      </c>
    </row>
    <row r="18" spans="1:7" x14ac:dyDescent="0.35">
      <c r="A18" t="str">
        <f t="shared" si="0"/>
        <v>R030</v>
      </c>
      <c r="B18" t="str" cm="1">
        <f t="array" ref="B18">INDEX(FinalQuestions!$A:$A, ROW()-3)</f>
        <v>Q014</v>
      </c>
      <c r="C18" t="str" cm="1">
        <f t="array" ref="C18">INDEX(FinalQuestions!$B:$B, ROW()-3)</f>
        <v>Ways of handling work challenges are followed consistently across the organization.</v>
      </c>
      <c r="D18" t="s">
        <v>2</v>
      </c>
      <c r="E18">
        <f>IF(D18="","",CHOOSE(MATCH(D18,{"Strongly Agree","Agree","Neutral","Disagree","Strongly Disagree"},0),5,4,3,2,1))</f>
        <v>4</v>
      </c>
      <c r="F18">
        <f t="shared" si="1"/>
        <v>80</v>
      </c>
      <c r="G18" t="str">
        <f>_xlfn.XLOOKUP(B18,FinalQuestions!$A:$A,FinalQuestions!$C:$C,"")</f>
        <v>Enforcement</v>
      </c>
    </row>
    <row r="19" spans="1:7" x14ac:dyDescent="0.35">
      <c r="A19" t="str">
        <f t="shared" si="0"/>
        <v>R030</v>
      </c>
      <c r="B19" t="str" cm="1">
        <f t="array" ref="B19">INDEX(FinalQuestions!$A:$A, ROW()-3)</f>
        <v>Q015</v>
      </c>
      <c r="C19" t="str" cm="1">
        <f t="array" ref="C19">INDEX(FinalQuestions!$B:$B, ROW()-3)</f>
        <v>Good behaviors related to quality and ethics are recognized and appreciated.</v>
      </c>
      <c r="D19" t="s">
        <v>2</v>
      </c>
      <c r="E19">
        <f>IF(D19="","",CHOOSE(MATCH(D19,{"Strongly Agree","Agree","Neutral","Disagree","Strongly Disagree"},0),5,4,3,2,1))</f>
        <v>4</v>
      </c>
      <c r="F19">
        <f t="shared" si="1"/>
        <v>80</v>
      </c>
      <c r="G19" t="str">
        <f>_xlfn.XLOOKUP(B19,FinalQuestions!$A:$A,FinalQuestions!$C:$C,"")</f>
        <v>Enforcement</v>
      </c>
    </row>
    <row r="20" spans="1:7" x14ac:dyDescent="0.35">
      <c r="A20" t="str">
        <f t="shared" si="0"/>
        <v>R030</v>
      </c>
      <c r="B20" t="str" cm="1">
        <f t="array" ref="B20">INDEX(FinalQuestions!$A:$A, ROW()-3)</f>
        <v>Q016</v>
      </c>
      <c r="C20" t="str" cm="1">
        <f t="array" ref="C20">INDEX(FinalQuestions!$B:$B, ROW()-3)</f>
        <v>I feel confident and supported to make important decisions within my role.</v>
      </c>
      <c r="D20" t="s">
        <v>2</v>
      </c>
      <c r="E20">
        <f>IF(D20="","",CHOOSE(MATCH(D20,{"Strongly Agree","Agree","Neutral","Disagree","Strongly Disagree"},0),5,4,3,2,1))</f>
        <v>4</v>
      </c>
      <c r="F20">
        <f t="shared" si="1"/>
        <v>80</v>
      </c>
      <c r="G20" t="str">
        <f>_xlfn.XLOOKUP(B20,FinalQuestions!$A:$A,FinalQuestions!$C:$C,"")</f>
        <v>Enforcement</v>
      </c>
    </row>
    <row r="21" spans="1:7" x14ac:dyDescent="0.35">
      <c r="A21" t="str">
        <f t="shared" si="0"/>
        <v>R030</v>
      </c>
      <c r="B21" t="str" cm="1">
        <f t="array" ref="B21">INDEX(FinalQuestions!$A:$A, ROW()-3)</f>
        <v>Q017</v>
      </c>
      <c r="C21" t="str" cm="1">
        <f t="array" ref="C21">INDEX(FinalQuestions!$B:$B, ROW()-3)</f>
        <v>I understand the purpose of my roles and responsibilities</v>
      </c>
      <c r="D21" t="s">
        <v>2</v>
      </c>
      <c r="E21">
        <f>IF(D21="","",CHOOSE(MATCH(D21,{"Strongly Agree","Agree","Neutral","Disagree","Strongly Disagree"},0),5,4,3,2,1))</f>
        <v>4</v>
      </c>
      <c r="F21">
        <f t="shared" si="1"/>
        <v>80</v>
      </c>
      <c r="G21" t="str">
        <f>_xlfn.XLOOKUP(B21,FinalQuestions!$A:$A,FinalQuestions!$C:$C,"")</f>
        <v>Clarity</v>
      </c>
    </row>
    <row r="22" spans="1:7" x14ac:dyDescent="0.35">
      <c r="A22" t="str">
        <f t="shared" si="0"/>
        <v>R030</v>
      </c>
      <c r="B22" t="str" cm="1">
        <f t="array" ref="B22">INDEX(FinalQuestions!$A:$A, ROW()-3)</f>
        <v>Q018</v>
      </c>
      <c r="C22" t="str" cm="1">
        <f t="array" ref="C22">INDEX(FinalQuestions!$B:$B, ROW()-3)</f>
        <v>Within my team or department the level of understanding of our policies, procedures or guidelines for risk management is high.</v>
      </c>
      <c r="D22" t="s">
        <v>2</v>
      </c>
      <c r="E22">
        <f>IF(D22="","",CHOOSE(MATCH(D22,{"Strongly Agree","Agree","Neutral","Disagree","Strongly Disagree"},0),5,4,3,2,1))</f>
        <v>4</v>
      </c>
      <c r="F22">
        <f t="shared" ref="F22:F33" si="2">IF(E22="","",E22*20)</f>
        <v>80</v>
      </c>
      <c r="G22" t="str">
        <f>_xlfn.XLOOKUP(B22,FinalQuestions!$A:$A,FinalQuestions!$C:$C,"")</f>
        <v>Clarity</v>
      </c>
    </row>
    <row r="23" spans="1:7" x14ac:dyDescent="0.35">
      <c r="A23" t="str">
        <f t="shared" si="0"/>
        <v>R030</v>
      </c>
      <c r="B23" t="str" cm="1">
        <f t="array" ref="B23">INDEX(FinalQuestions!$A:$A, ROW()-3)</f>
        <v>Q019</v>
      </c>
      <c r="C23" t="str" cm="1">
        <f t="array" ref="C23">INDEX(FinalQuestions!$B:$B, ROW()-3)</f>
        <v xml:space="preserve">I understand the consequences of not following the firm policies </v>
      </c>
      <c r="D23" t="s">
        <v>2</v>
      </c>
      <c r="E23">
        <f>IF(D23="","",CHOOSE(MATCH(D23,{"Strongly Agree","Agree","Neutral","Disagree","Strongly Disagree"},0),5,4,3,2,1))</f>
        <v>4</v>
      </c>
      <c r="F23">
        <f t="shared" si="2"/>
        <v>80</v>
      </c>
      <c r="G23" t="str">
        <f>_xlfn.XLOOKUP(B23,FinalQuestions!$A:$A,FinalQuestions!$C:$C,"")</f>
        <v>Clarity</v>
      </c>
    </row>
    <row r="24" spans="1:7" x14ac:dyDescent="0.35">
      <c r="A24" t="str">
        <f t="shared" si="0"/>
        <v>R030</v>
      </c>
      <c r="B24" t="str" cm="1">
        <f t="array" ref="B24">INDEX(FinalQuestions!$A:$A, ROW()-3)</f>
        <v>Q020</v>
      </c>
      <c r="C24" t="str" cm="1">
        <f t="array" ref="C24">INDEX(FinalQuestions!$B:$B, ROW()-3)</f>
        <v>The guidance and training I receive are clear and help me make good decisions.</v>
      </c>
      <c r="D24" t="s">
        <v>85</v>
      </c>
      <c r="E24">
        <f>IF(D24="","",CHOOSE(MATCH(D24,{"Strongly Agree","Agree","Neutral","Disagree","Strongly Disagree"},0),5,4,3,2,1))</f>
        <v>5</v>
      </c>
      <c r="F24">
        <f t="shared" si="2"/>
        <v>100</v>
      </c>
      <c r="G24" t="str">
        <f>_xlfn.XLOOKUP(B24,FinalQuestions!$A:$A,FinalQuestions!$C:$C,"")</f>
        <v>Clarity</v>
      </c>
    </row>
    <row r="25" spans="1:7" x14ac:dyDescent="0.35">
      <c r="A25" t="str">
        <f t="shared" si="0"/>
        <v>R030</v>
      </c>
      <c r="B25" t="str" cm="1">
        <f t="array" ref="B25">INDEX(FinalQuestions!$A:$A, ROW()-3)</f>
        <v>Q021</v>
      </c>
      <c r="C25" t="str" cm="1">
        <f t="array" ref="C25">INDEX(FinalQuestions!$B:$B, ROW()-3)</f>
        <v>I understand what is expected of me and it is clearly available to me in form of a policy</v>
      </c>
      <c r="D25" t="s">
        <v>85</v>
      </c>
      <c r="E25">
        <f>IF(D25="","",CHOOSE(MATCH(D25,{"Strongly Agree","Agree","Neutral","Disagree","Strongly Disagree"},0),5,4,3,2,1))</f>
        <v>5</v>
      </c>
      <c r="F25">
        <f t="shared" si="2"/>
        <v>100</v>
      </c>
      <c r="G25" t="str">
        <f>_xlfn.XLOOKUP(B25,FinalQuestions!$A:$A,FinalQuestions!$C:$C,"")</f>
        <v>Transparency</v>
      </c>
    </row>
    <row r="26" spans="1:7" x14ac:dyDescent="0.35">
      <c r="A26" t="str">
        <f t="shared" si="0"/>
        <v>R030</v>
      </c>
      <c r="B26" t="str" cm="1">
        <f t="array" ref="B26">INDEX(FinalQuestions!$A:$A, ROW()-3)</f>
        <v>Q022</v>
      </c>
      <c r="C26" t="str" cm="1">
        <f t="array" ref="C26">INDEX(FinalQuestions!$B:$B, ROW()-3)</f>
        <v>How key decisions are made within my team is transparent</v>
      </c>
      <c r="D26" t="s">
        <v>85</v>
      </c>
      <c r="E26">
        <f>IF(D26="","",CHOOSE(MATCH(D26,{"Strongly Agree","Agree","Neutral","Disagree","Strongly Disagree"},0),5,4,3,2,1))</f>
        <v>5</v>
      </c>
      <c r="F26">
        <f t="shared" si="2"/>
        <v>100</v>
      </c>
      <c r="G26" t="str">
        <f>_xlfn.XLOOKUP(B26,FinalQuestions!$A:$A,FinalQuestions!$C:$C,"")</f>
        <v>Transparency</v>
      </c>
    </row>
    <row r="27" spans="1:7" x14ac:dyDescent="0.35">
      <c r="A27" t="str">
        <f t="shared" si="0"/>
        <v>R030</v>
      </c>
      <c r="B27" t="str" cm="1">
        <f t="array" ref="B27">INDEX(FinalQuestions!$A:$A, ROW()-3)</f>
        <v>Q023</v>
      </c>
      <c r="C27" t="str" cm="1">
        <f t="array" ref="C27">INDEX(FinalQuestions!$B:$B, ROW()-3)</f>
        <v>Expectations are applied consistently across team members.</v>
      </c>
      <c r="D27" t="s">
        <v>85</v>
      </c>
      <c r="E27">
        <f>IF(D27="","",CHOOSE(MATCH(D27,{"Strongly Agree","Agree","Neutral","Disagree","Strongly Disagree"},0),5,4,3,2,1))</f>
        <v>5</v>
      </c>
      <c r="F27">
        <f t="shared" si="2"/>
        <v>100</v>
      </c>
      <c r="G27" t="str">
        <f>_xlfn.XLOOKUP(B27,FinalQuestions!$A:$A,FinalQuestions!$C:$C,"")</f>
        <v>Transparency</v>
      </c>
    </row>
    <row r="28" spans="1:7" x14ac:dyDescent="0.35">
      <c r="A28" t="str">
        <f t="shared" si="0"/>
        <v>R030</v>
      </c>
      <c r="B28" t="str" cm="1">
        <f t="array" ref="B28">INDEX(FinalQuestions!$A:$A, ROW()-3)</f>
        <v>Q024</v>
      </c>
      <c r="C28" t="str" cm="1">
        <f t="array" ref="C28">INDEX(FinalQuestions!$B:$B, ROW()-3)</f>
        <v>Managers have a good understanding of what is happening within the team.</v>
      </c>
      <c r="D28" t="s">
        <v>85</v>
      </c>
      <c r="E28">
        <f>IF(D28="","",CHOOSE(MATCH(D28,{"Strongly Agree","Agree","Neutral","Disagree","Strongly Disagree"},0),5,4,3,2,1))</f>
        <v>5</v>
      </c>
      <c r="F28">
        <f t="shared" si="2"/>
        <v>100</v>
      </c>
      <c r="G28" t="str">
        <f>_xlfn.XLOOKUP(B28,FinalQuestions!$A:$A,FinalQuestions!$C:$C,"")</f>
        <v>Transparency</v>
      </c>
    </row>
    <row r="29" spans="1:7" x14ac:dyDescent="0.35">
      <c r="A29" t="str">
        <f t="shared" si="0"/>
        <v>R030</v>
      </c>
      <c r="B29" t="str" cm="1">
        <f t="array" ref="B29">INDEX(FinalQuestions!$A:$A, ROW()-3)</f>
        <v>Q025</v>
      </c>
      <c r="C29" t="str" cm="1">
        <f t="array" ref="C29">INDEX(FinalQuestions!$B:$B, ROW()-3)</f>
        <v>People in my team feel motivated to handle challenges responsibly.</v>
      </c>
      <c r="D29" t="s">
        <v>85</v>
      </c>
      <c r="E29">
        <f>IF(D29="","",CHOOSE(MATCH(D29,{"Strongly Agree","Agree","Neutral","Disagree","Strongly Disagree"},0),5,4,3,2,1))</f>
        <v>5</v>
      </c>
      <c r="F29">
        <f t="shared" si="2"/>
        <v>100</v>
      </c>
      <c r="G29" t="str">
        <f>_xlfn.XLOOKUP(B29,FinalQuestions!$A:$A,FinalQuestions!$C:$C,"")</f>
        <v>Commitment</v>
      </c>
    </row>
    <row r="30" spans="1:7" x14ac:dyDescent="0.35">
      <c r="A30" t="str">
        <f t="shared" si="0"/>
        <v>R030</v>
      </c>
      <c r="B30" t="str" cm="1">
        <f t="array" ref="B30">INDEX(FinalQuestions!$A:$A, ROW()-3)</f>
        <v>Q026</v>
      </c>
      <c r="C30" t="str" cm="1">
        <f t="array" ref="C30">INDEX(FinalQuestions!$B:$B, ROW()-3)</f>
        <v>Feedback from team members is considered when improving ways of working.</v>
      </c>
      <c r="D30" t="s">
        <v>85</v>
      </c>
      <c r="E30">
        <f>IF(D30="","",CHOOSE(MATCH(D30,{"Strongly Agree","Agree","Neutral","Disagree","Strongly Disagree"},0),5,4,3,2,1))</f>
        <v>5</v>
      </c>
      <c r="F30">
        <f t="shared" si="2"/>
        <v>100</v>
      </c>
      <c r="G30" t="str">
        <f>_xlfn.XLOOKUP(B30,FinalQuestions!$A:$A,FinalQuestions!$C:$C,"")</f>
        <v>Commitment</v>
      </c>
    </row>
    <row r="31" spans="1:7" x14ac:dyDescent="0.35">
      <c r="A31" t="str">
        <f t="shared" si="0"/>
        <v>R030</v>
      </c>
      <c r="B31" t="str" cm="1">
        <f t="array" ref="B31">INDEX(FinalQuestions!$A:$A, ROW()-3)</f>
        <v>Q027</v>
      </c>
      <c r="C31" t="str" cm="1">
        <f t="array" ref="C31">INDEX(FinalQuestions!$B:$B, ROW()-3)</f>
        <v>I consider the impact on others before failing to meet commitments of my own tasks.</v>
      </c>
      <c r="D31" t="s">
        <v>85</v>
      </c>
      <c r="E31">
        <f>IF(D31="","",CHOOSE(MATCH(D31,{"Strongly Agree","Agree","Neutral","Disagree","Strongly Disagree"},0),5,4,3,2,1))</f>
        <v>5</v>
      </c>
      <c r="F31">
        <f t="shared" si="2"/>
        <v>100</v>
      </c>
      <c r="G31" t="str">
        <f>_xlfn.XLOOKUP(B31,FinalQuestions!$A:$A,FinalQuestions!$C:$C,"")</f>
        <v>Commitment</v>
      </c>
    </row>
    <row r="32" spans="1:7" x14ac:dyDescent="0.35">
      <c r="A32" t="str">
        <f t="shared" si="0"/>
        <v>R030</v>
      </c>
      <c r="B32" t="str" cm="1">
        <f t="array" ref="B32">INDEX(FinalQuestions!$A:$A, ROW()-3)</f>
        <v>Q028</v>
      </c>
      <c r="C32" t="str" cm="1">
        <f t="array" ref="C32">INDEX(FinalQuestions!$B:$B, ROW()-3)</f>
        <v>I feel involved in decisions that affect how work is carried out.</v>
      </c>
      <c r="D32" t="s">
        <v>85</v>
      </c>
      <c r="E32">
        <f>IF(D32="","",CHOOSE(MATCH(D32,{"Strongly Agree","Agree","Neutral","Disagree","Strongly Disagree"},0),5,4,3,2,1))</f>
        <v>5</v>
      </c>
      <c r="F32">
        <f t="shared" si="2"/>
        <v>100</v>
      </c>
      <c r="G32" t="str">
        <f>_xlfn.XLOOKUP(B32,FinalQuestions!$A:$A,FinalQuestions!$C:$C,"")</f>
        <v>Commitment</v>
      </c>
    </row>
    <row r="33" spans="1:7" x14ac:dyDescent="0.35">
      <c r="A33" t="str">
        <f t="shared" si="0"/>
        <v>R030</v>
      </c>
      <c r="B33" t="str" cm="1">
        <f t="array" ref="B33">INDEX(FinalQuestions!$A:$A, ROW()-3)</f>
        <v>Q029</v>
      </c>
      <c r="C33" t="str" cm="1">
        <f t="array" ref="C33">INDEX(FinalQuestions!$B:$B, ROW()-3)</f>
        <v>I feel responsible for speaking up if I observe behavior that does not align with my organizations values</v>
      </c>
      <c r="D33" t="s">
        <v>85</v>
      </c>
      <c r="E33">
        <f>IF(D33="","",CHOOSE(MATCH(D33,{"Strongly Agree","Agree","Neutral","Disagree","Strongly Disagree"},0),5,4,3,2,1))</f>
        <v>5</v>
      </c>
      <c r="F33">
        <f t="shared" si="2"/>
        <v>100</v>
      </c>
      <c r="G33" t="str">
        <f>_xlfn.XLOOKUP(B33,FinalQuestions!$A:$A,FinalQuestions!$C:$C,"")</f>
        <v>Call someone to account</v>
      </c>
    </row>
    <row r="34" spans="1:7" x14ac:dyDescent="0.35">
      <c r="A34" t="str">
        <f t="shared" si="0"/>
        <v>R030</v>
      </c>
      <c r="B34" t="str" cm="1">
        <f t="array" ref="B34">INDEX(FinalQuestions!$A:$A, ROW()-3)</f>
        <v>Q030</v>
      </c>
      <c r="C34" t="str" cm="1">
        <f t="array" ref="C34">INDEX(FinalQuestions!$B:$B, ROW()-3)</f>
        <v>Accountability issues are addressed soon after they arise in my team</v>
      </c>
      <c r="D34" t="s">
        <v>85</v>
      </c>
      <c r="E34">
        <f>IF(D34="","",CHOOSE(MATCH(D34,{"Strongly Agree","Agree","Neutral","Disagree","Strongly Disagree"},0),5,4,3,2,1))</f>
        <v>5</v>
      </c>
      <c r="F34">
        <f t="shared" si="1"/>
        <v>100</v>
      </c>
      <c r="G34" t="str">
        <f>_xlfn.XLOOKUP(B34,FinalQuestions!$A:$A,FinalQuestions!$C:$C,"")</f>
        <v>Call someone to account</v>
      </c>
    </row>
    <row r="35" spans="1:7" x14ac:dyDescent="0.35">
      <c r="A35" t="str">
        <f t="shared" si="0"/>
        <v>R030</v>
      </c>
      <c r="B35" t="str" cm="1">
        <f t="array" ref="B35">INDEX(FinalQuestions!$A:$A, ROW()-3)</f>
        <v>Q031</v>
      </c>
      <c r="C35" t="str" cm="1">
        <f t="array" ref="C35">INDEX(FinalQuestions!$B:$B, ROW()-3)</f>
        <v>I feel comfortable to report when someone is non-compliant with regard to policies, procedures or guidelines</v>
      </c>
      <c r="D35" t="s">
        <v>85</v>
      </c>
      <c r="E35">
        <f>IF(D35="","",CHOOSE(MATCH(D35,{"Strongly Agree","Agree","Neutral","Disagree","Strongly Disagree"},0),5,4,3,2,1))</f>
        <v>5</v>
      </c>
      <c r="F35">
        <f t="shared" si="1"/>
        <v>100</v>
      </c>
      <c r="G35" t="str">
        <f>_xlfn.XLOOKUP(B35,FinalQuestions!$A:$A,FinalQuestions!$C:$C,"")</f>
        <v>Call someone to account</v>
      </c>
    </row>
    <row r="36" spans="1:7" x14ac:dyDescent="0.35">
      <c r="A36" t="str">
        <f t="shared" si="0"/>
        <v>R030</v>
      </c>
      <c r="B36" t="str" cm="1">
        <f t="array" ref="B36">INDEX(FinalQuestions!$A:$A, ROW()-3)</f>
        <v>Q032</v>
      </c>
      <c r="C36" t="str" cm="1">
        <f t="array" ref="C36">INDEX(FinalQuestions!$B:$B, ROW()-3)</f>
        <v>Team members are held to the same behavioral standards, no matter who they are.</v>
      </c>
      <c r="D36" t="s">
        <v>85</v>
      </c>
      <c r="E36">
        <f>IF(D36="","",CHOOSE(MATCH(D36,{"Strongly Agree","Agree","Neutral","Disagree","Strongly Disagree"},0),5,4,3,2,1))</f>
        <v>5</v>
      </c>
      <c r="F36">
        <f t="shared" si="1"/>
        <v>100</v>
      </c>
      <c r="G36" t="str">
        <f>_xlfn.XLOOKUP(B36,FinalQuestions!$A:$A,FinalQuestions!$C:$C,"")</f>
        <v>Call someone to account</v>
      </c>
    </row>
    <row r="55" spans="1:1" ht="18.5" x14ac:dyDescent="0.35">
      <c r="A55" s="39"/>
    </row>
    <row r="56" spans="1:1" ht="18.5" x14ac:dyDescent="0.45">
      <c r="A56" s="40"/>
    </row>
    <row r="57" spans="1:1" ht="18.5" x14ac:dyDescent="0.45">
      <c r="A57" s="40"/>
    </row>
    <row r="58" spans="1:1" ht="18.5" x14ac:dyDescent="0.45">
      <c r="A58" s="40"/>
    </row>
    <row r="59" spans="1:1" ht="18.5" x14ac:dyDescent="0.45">
      <c r="A59" s="40"/>
    </row>
    <row r="60" spans="1:1" ht="18.5" x14ac:dyDescent="0.45">
      <c r="A60" s="40"/>
    </row>
  </sheetData>
  <dataValidations count="2">
    <dataValidation type="list" allowBlank="1" showInputMessage="1" showErrorMessage="1" sqref="D4:D36" xr:uid="{EC100872-1A4A-4611-B8C0-E376982C98FF}">
      <formula1>"Strongly Agree,Agree,Neutral,Disagree,Strongly Disagree"</formula1>
    </dataValidation>
    <dataValidation type="list" allowBlank="1" showInputMessage="1" showErrorMessage="1" sqref="B2" xr:uid="{26AE7123-580A-4F30-937E-D67C9F79ED9D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C349-0DEC-4B38-B174-27DC7951FEF1}">
  <dimension ref="A1:B26"/>
  <sheetViews>
    <sheetView topLeftCell="A9" zoomScale="112" workbookViewId="0">
      <selection activeCell="B2" sqref="B2"/>
    </sheetView>
  </sheetViews>
  <sheetFormatPr defaultRowHeight="14.5" x14ac:dyDescent="0.35"/>
  <cols>
    <col min="1" max="1" width="19.453125" customWidth="1"/>
    <col min="2" max="2" width="11.1796875" customWidth="1"/>
  </cols>
  <sheetData>
    <row r="1" spans="1:2" x14ac:dyDescent="0.35">
      <c r="A1" s="7" t="s">
        <v>82</v>
      </c>
      <c r="B1" s="7" t="s">
        <v>264</v>
      </c>
    </row>
    <row r="2" spans="1:2" x14ac:dyDescent="0.35">
      <c r="A2" t="s">
        <v>89</v>
      </c>
      <c r="B2" t="s">
        <v>262</v>
      </c>
    </row>
    <row r="3" spans="1:2" x14ac:dyDescent="0.35">
      <c r="A3" t="s">
        <v>90</v>
      </c>
      <c r="B3" t="s">
        <v>266</v>
      </c>
    </row>
    <row r="4" spans="1:2" x14ac:dyDescent="0.35">
      <c r="A4" t="s">
        <v>91</v>
      </c>
      <c r="B4" t="s">
        <v>272</v>
      </c>
    </row>
    <row r="5" spans="1:2" x14ac:dyDescent="0.35">
      <c r="A5" t="s">
        <v>92</v>
      </c>
      <c r="B5" t="s">
        <v>261</v>
      </c>
    </row>
    <row r="6" spans="1:2" x14ac:dyDescent="0.35">
      <c r="A6" t="s">
        <v>93</v>
      </c>
      <c r="B6" t="s">
        <v>261</v>
      </c>
    </row>
    <row r="7" spans="1:2" x14ac:dyDescent="0.35">
      <c r="A7" t="s">
        <v>94</v>
      </c>
      <c r="B7" t="s">
        <v>263</v>
      </c>
    </row>
    <row r="8" spans="1:2" x14ac:dyDescent="0.35">
      <c r="A8" t="s">
        <v>95</v>
      </c>
      <c r="B8" t="s">
        <v>266</v>
      </c>
    </row>
    <row r="9" spans="1:2" x14ac:dyDescent="0.35">
      <c r="A9" t="s">
        <v>96</v>
      </c>
      <c r="B9" t="s">
        <v>262</v>
      </c>
    </row>
    <row r="10" spans="1:2" x14ac:dyDescent="0.35">
      <c r="A10" t="s">
        <v>97</v>
      </c>
      <c r="B10" t="s">
        <v>263</v>
      </c>
    </row>
    <row r="11" spans="1:2" x14ac:dyDescent="0.35">
      <c r="A11" t="s">
        <v>98</v>
      </c>
      <c r="B11" t="s">
        <v>267</v>
      </c>
    </row>
    <row r="12" spans="1:2" x14ac:dyDescent="0.35">
      <c r="A12" t="s">
        <v>99</v>
      </c>
      <c r="B12" t="s">
        <v>268</v>
      </c>
    </row>
    <row r="13" spans="1:2" x14ac:dyDescent="0.35">
      <c r="A13" t="s">
        <v>100</v>
      </c>
      <c r="B13" t="s">
        <v>261</v>
      </c>
    </row>
    <row r="14" spans="1:2" x14ac:dyDescent="0.35">
      <c r="A14" t="s">
        <v>101</v>
      </c>
      <c r="B14" t="s">
        <v>266</v>
      </c>
    </row>
    <row r="15" spans="1:2" x14ac:dyDescent="0.35">
      <c r="A15" t="s">
        <v>102</v>
      </c>
      <c r="B15" t="s">
        <v>267</v>
      </c>
    </row>
    <row r="16" spans="1:2" x14ac:dyDescent="0.35">
      <c r="A16" t="s">
        <v>103</v>
      </c>
      <c r="B16" t="s">
        <v>267</v>
      </c>
    </row>
    <row r="17" spans="1:2" x14ac:dyDescent="0.35">
      <c r="A17" t="s">
        <v>104</v>
      </c>
      <c r="B17" t="s">
        <v>261</v>
      </c>
    </row>
    <row r="18" spans="1:2" x14ac:dyDescent="0.35">
      <c r="A18" t="s">
        <v>105</v>
      </c>
      <c r="B18" t="s">
        <v>262</v>
      </c>
    </row>
    <row r="19" spans="1:2" x14ac:dyDescent="0.35">
      <c r="A19" t="s">
        <v>106</v>
      </c>
      <c r="B19" t="s">
        <v>263</v>
      </c>
    </row>
    <row r="20" spans="1:2" x14ac:dyDescent="0.35">
      <c r="A20" t="s">
        <v>107</v>
      </c>
      <c r="B20" t="s">
        <v>267</v>
      </c>
    </row>
    <row r="21" spans="1:2" x14ac:dyDescent="0.35">
      <c r="A21" t="s">
        <v>108</v>
      </c>
      <c r="B21" t="s">
        <v>263</v>
      </c>
    </row>
    <row r="22" spans="1:2" x14ac:dyDescent="0.35">
      <c r="A22" t="s">
        <v>109</v>
      </c>
      <c r="B22" t="s">
        <v>268</v>
      </c>
    </row>
    <row r="23" spans="1:2" x14ac:dyDescent="0.35">
      <c r="A23" t="s">
        <v>110</v>
      </c>
      <c r="B23" t="s">
        <v>267</v>
      </c>
    </row>
    <row r="24" spans="1:2" x14ac:dyDescent="0.35">
      <c r="A24" t="s">
        <v>111</v>
      </c>
      <c r="B24" t="s">
        <v>268</v>
      </c>
    </row>
    <row r="25" spans="1:2" x14ac:dyDescent="0.35">
      <c r="A25" t="s">
        <v>112</v>
      </c>
      <c r="B25" t="s">
        <v>268</v>
      </c>
    </row>
    <row r="26" spans="1:2" x14ac:dyDescent="0.35">
      <c r="A26" t="s">
        <v>123</v>
      </c>
      <c r="B26" t="s">
        <v>266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1F28-202F-410B-AE36-19493784AB05}">
  <dimension ref="A1:AB49"/>
  <sheetViews>
    <sheetView zoomScale="82" zoomScaleNormal="76" workbookViewId="0">
      <selection activeCell="B3" sqref="B3"/>
    </sheetView>
  </sheetViews>
  <sheetFormatPr defaultRowHeight="14.5" x14ac:dyDescent="0.35"/>
  <cols>
    <col min="1" max="1" width="43.54296875" customWidth="1"/>
    <col min="2" max="2" width="18.26953125" customWidth="1"/>
    <col min="3" max="3" width="21.81640625" style="37" customWidth="1"/>
    <col min="4" max="5" width="14.54296875" style="37" customWidth="1"/>
    <col min="6" max="6" width="28" customWidth="1"/>
    <col min="7" max="7" width="17.36328125" customWidth="1"/>
    <col min="9" max="9" width="8.7265625" customWidth="1"/>
    <col min="10" max="10" width="10.54296875" customWidth="1"/>
    <col min="11" max="11" width="19.6328125" customWidth="1"/>
    <col min="12" max="12" width="21" customWidth="1"/>
  </cols>
  <sheetData>
    <row r="1" spans="1:12" x14ac:dyDescent="0.35">
      <c r="A1" s="7" t="s">
        <v>254</v>
      </c>
      <c r="B1" s="7" t="s">
        <v>255</v>
      </c>
      <c r="C1" s="36" t="s">
        <v>116</v>
      </c>
      <c r="D1" s="36" t="s">
        <v>256</v>
      </c>
      <c r="E1" s="36" t="s">
        <v>363</v>
      </c>
      <c r="F1" s="7" t="s">
        <v>257</v>
      </c>
      <c r="G1" s="7" t="s">
        <v>258</v>
      </c>
      <c r="K1" s="7"/>
      <c r="L1" s="7"/>
    </row>
    <row r="2" spans="1:12" x14ac:dyDescent="0.35">
      <c r="A2" t="str">
        <f>_xlfn.XLOOKUP(Table7[[#This Row],[QuestionID]], FinalQuestions!$A:$A, FinalQuestions!$D:$D,"")</f>
        <v xml:space="preserve">Leadership Example‑Setting in Risk Management </v>
      </c>
      <c r="B2">
        <f>IFERROR(ROUND(AVERAGEIFS(Responses!$F:$F,Responses!$H:$H,$A2),0),0)</f>
        <v>71</v>
      </c>
      <c r="C2" s="37">
        <f>IFERROR(SUMIFS(Responses!$G:$G,Responses!$H:$H,$A2)/COUNTIFS(Responses!$H:$H,$A2),0)</f>
        <v>0.46153846153846156</v>
      </c>
      <c r="D2" s="37">
        <f>IFERROR((COUNTIFS(Responses!$H:$H,$A2,Responses!$C:$C,"Disagree")+COUNTIFS(Responses!$H:$H,$A2,Responses!$C:$C,"Strongly Disagree"))/COUNTIFS(Responses!$H:$H,$A2),0)</f>
        <v>0.11538461538461539</v>
      </c>
      <c r="E2" s="37">
        <f t="shared" ref="E2:E33" si="0">1-C2-D2</f>
        <v>0.42307692307692302</v>
      </c>
      <c r="F2" cm="1">
        <f t="array" ref="F2">_xlfn.LET(_xlpm.dim,$A2,_xlpm.bad,_xlfn._xlws.FILTER(Responses!$A:$A,(Responses!$H:$H=_xlpm.dim)*((Responses!$C:$C="Disagree")+(Responses!$C:$C="Strongly Disagree"))),COUNTA(_xlfn.UNIQUE(_xlpm.bad)))</f>
        <v>3</v>
      </c>
      <c r="G2">
        <f>COUNTIFS(Responses!$H:$H,$A2)</f>
        <v>26</v>
      </c>
    </row>
    <row r="3" spans="1:12" x14ac:dyDescent="0.35">
      <c r="A3" t="str">
        <f>_xlfn.XLOOKUP(Table7[[#This Row],[QuestionID]], FinalQuestions!$A:$A, FinalQuestions!$D:$D,"")</f>
        <v>Executive Commitment to Risk Culture</v>
      </c>
      <c r="B3">
        <f>IFERROR(ROUND(AVERAGEIFS(Responses!$F:$F,Responses!$H:$H,$A3),0),0)</f>
        <v>76</v>
      </c>
      <c r="C3" s="37">
        <f>IFERROR(SUMIFS(Responses!$G:$G,Responses!$H:$H,$A3)/COUNTIFS(Responses!$H:$H,$A3),0)</f>
        <v>0.61538461538461542</v>
      </c>
      <c r="D3" s="37">
        <f>IFERROR((COUNTIFS(Responses!$H:$H,$A3,Responses!$C:$C,"Disagree")+COUNTIFS(Responses!$H:$H,$A3,Responses!$C:$C,"Strongly Disagree"))/COUNTIFS(Responses!$H:$H,$A3),0)</f>
        <v>7.6923076923076927E-2</v>
      </c>
      <c r="E3" s="37">
        <f t="shared" si="0"/>
        <v>0.30769230769230765</v>
      </c>
      <c r="F3" cm="1">
        <f t="array" ref="F3">_xlfn.LET(_xlpm.dim,$A3,_xlpm.bad,_xlfn._xlws.FILTER(Responses!$A:$A,(Responses!$H:$H=_xlpm.dim)*((Responses!$C:$C="Disagree")+(Responses!$C:$C="Strongly Disagree"))),COUNTA(_xlfn.UNIQUE(_xlpm.bad)))</f>
        <v>2</v>
      </c>
      <c r="G3">
        <f>COUNTIFS(Responses!$H:$H,$A3)</f>
        <v>26</v>
      </c>
    </row>
    <row r="4" spans="1:12" x14ac:dyDescent="0.35">
      <c r="A4" t="str">
        <f>_xlfn.XLOOKUP(Table7[[#This Row],[QuestionID]], FinalQuestions!$A:$A, FinalQuestions!$D:$D,"")</f>
        <v>Leadership Encouragement to Escalate Risks</v>
      </c>
      <c r="B4">
        <f>IFERROR(ROUND(AVERAGEIFS(Responses!$F:$F,Responses!$H:$H,$A4),0),0)</f>
        <v>82</v>
      </c>
      <c r="C4" s="37">
        <f>IFERROR(SUMIFS(Responses!$G:$G,Responses!$H:$H,$A4)/COUNTIFS(Responses!$H:$H,$A4),0)</f>
        <v>0.73076923076923073</v>
      </c>
      <c r="D4" s="37">
        <f>IFERROR((COUNTIFS(Responses!$H:$H,$A4,Responses!$C:$C,"Disagree")+COUNTIFS(Responses!$H:$H,$A4,Responses!$C:$C,"Strongly Disagree"))/COUNTIFS(Responses!$H:$H,$A4),0)</f>
        <v>0</v>
      </c>
      <c r="E4" s="37">
        <f t="shared" si="0"/>
        <v>0.26923076923076927</v>
      </c>
      <c r="F4" cm="1">
        <f t="array" ref="F4">_xlfn.LET(_xlpm.dim,$A4,_xlpm.bad,_xlfn._xlws.FILTER(Responses!$A:$A,(Responses!$H:$H=_xlpm.dim)*((Responses!$C:$C="Disagree")+(Responses!$C:$C="Strongly Disagree"))),COUNTA(_xlfn.UNIQUE(_xlpm.bad)))</f>
        <v>1</v>
      </c>
      <c r="G4">
        <f>COUNTIFS(Responses!$H:$H,$A4)</f>
        <v>26</v>
      </c>
    </row>
    <row r="5" spans="1:12" x14ac:dyDescent="0.35">
      <c r="A5" t="str">
        <f>_xlfn.XLOOKUP(Table7[[#This Row],[QuestionID]], FinalQuestions!$A:$A, FinalQuestions!$D:$D,"")</f>
        <v>Long-Term Decision Awareness</v>
      </c>
      <c r="B5">
        <f>IFERROR(ROUND(AVERAGEIFS(Responses!$F:$F,Responses!$H:$H,$A5),0),0)</f>
        <v>73</v>
      </c>
      <c r="C5" s="37">
        <f>IFERROR(SUMIFS(Responses!$G:$G,Responses!$H:$H,$A5)/COUNTIFS(Responses!$H:$H,$A5),0)</f>
        <v>0.53846153846153844</v>
      </c>
      <c r="D5" s="37">
        <f>IFERROR((COUNTIFS(Responses!$H:$H,$A5,Responses!$C:$C,"Disagree")+COUNTIFS(Responses!$H:$H,$A5,Responses!$C:$C,"Strongly Disagree"))/COUNTIFS(Responses!$H:$H,$A5),0)</f>
        <v>0.15384615384615385</v>
      </c>
      <c r="E5" s="37">
        <f t="shared" si="0"/>
        <v>0.30769230769230771</v>
      </c>
      <c r="F5" cm="1">
        <f t="array" ref="F5">_xlfn.LET(_xlpm.dim,$A5,_xlpm.bad,_xlfn._xlws.FILTER(Responses!$A:$A,(Responses!$H:$H=_xlpm.dim)*((Responses!$C:$C="Disagree")+(Responses!$C:$C="Strongly Disagree"))),COUNTA(_xlfn.UNIQUE(_xlpm.bad)))</f>
        <v>4</v>
      </c>
      <c r="G5">
        <f>COUNTIFS(Responses!$H:$H,$A5)</f>
        <v>26</v>
      </c>
    </row>
    <row r="6" spans="1:12" x14ac:dyDescent="0.35">
      <c r="A6" t="str">
        <f>_xlfn.XLOOKUP(Table7[[#This Row],[QuestionID]], FinalQuestions!$A:$A, FinalQuestions!$D:$D,"")</f>
        <v>Openness to Discussions</v>
      </c>
      <c r="B6">
        <f>IFERROR(ROUND(AVERAGEIFS(Responses!$F:$F,Responses!$H:$H,$A6),0),0)</f>
        <v>72</v>
      </c>
      <c r="C6" s="37">
        <f>IFERROR(SUMIFS(Responses!$G:$G,Responses!$H:$H,$A6)/COUNTIFS(Responses!$H:$H,$A6),0)</f>
        <v>0.5</v>
      </c>
      <c r="D6" s="37">
        <f>IFERROR((COUNTIFS(Responses!$H:$H,$A6,Responses!$C:$C,"Disagree")+COUNTIFS(Responses!$H:$H,$A6,Responses!$C:$C,"Strongly Disagree"))/COUNTIFS(Responses!$H:$H,$A6),0)</f>
        <v>0.11538461538461539</v>
      </c>
      <c r="E6" s="37">
        <f t="shared" si="0"/>
        <v>0.38461538461538458</v>
      </c>
      <c r="F6" cm="1">
        <f t="array" ref="F6">_xlfn.LET(_xlpm.dim,$A6,_xlpm.bad,_xlfn._xlws.FILTER(Responses!$A:$A,(Responses!$H:$H=_xlpm.dim)*((Responses!$C:$C="Disagree")+(Responses!$C:$C="Strongly Disagree"))),COUNTA(_xlfn.UNIQUE(_xlpm.bad)))</f>
        <v>3</v>
      </c>
      <c r="G6">
        <f>COUNTIFS(Responses!$H:$H, $A3)</f>
        <v>26</v>
      </c>
    </row>
    <row r="7" spans="1:12" x14ac:dyDescent="0.35">
      <c r="A7" t="str">
        <f>_xlfn.XLOOKUP(Table7[[#This Row],[QuestionID]], FinalQuestions!$A:$A, FinalQuestions!$D:$D,"")</f>
        <v>Access to Guidance</v>
      </c>
      <c r="B7">
        <f>IFERROR(ROUND(AVERAGEIFS(Responses!$F:$F,Responses!$H:$H,$A7),0),0)</f>
        <v>78</v>
      </c>
      <c r="C7" s="37">
        <f>IFERROR(SUMIFS(Responses!$G:$G,Responses!$H:$H,$A7)/COUNTIFS(Responses!$H:$H,$A7),0)</f>
        <v>0.53846153846153844</v>
      </c>
      <c r="D7" s="37">
        <f>IFERROR((COUNTIFS(Responses!$H:$H,$A7,Responses!$C:$C,"Disagree")+COUNTIFS(Responses!$H:$H,$A7,Responses!$C:$C,"Strongly Disagree"))/COUNTIFS(Responses!$H:$H,$A7),0)</f>
        <v>3.8461538461538464E-2</v>
      </c>
      <c r="E7" s="37">
        <f t="shared" si="0"/>
        <v>0.42307692307692313</v>
      </c>
      <c r="F7" cm="1">
        <f t="array" ref="F7">_xlfn.LET(_xlpm.dim,$A7,_xlpm.bad,_xlfn._xlws.FILTER(Responses!$A:$A,(Responses!$H:$H=_xlpm.dim)*((Responses!$C:$C="Disagree")+(Responses!$C:$C="Strongly Disagree"))),COUNTA(_xlfn.UNIQUE(_xlpm.bad)))</f>
        <v>1</v>
      </c>
      <c r="G7">
        <f>COUNTIFS(Responses!$H:$H, $A4)</f>
        <v>26</v>
      </c>
    </row>
    <row r="8" spans="1:12" x14ac:dyDescent="0.35">
      <c r="A8" t="str">
        <f>_xlfn.XLOOKUP(Table7[[#This Row],[QuestionID]], FinalQuestions!$A:$A, FinalQuestions!$D:$D,"")</f>
        <v>Openness to Sharing Opinions</v>
      </c>
      <c r="B8">
        <f>IFERROR(ROUND(AVERAGEIFS(Responses!$F:$F,Responses!$H:$H,$A8),0),0)</f>
        <v>82</v>
      </c>
      <c r="C8" s="37">
        <f>IFERROR(SUMIFS(Responses!$G:$G,Responses!$H:$H,$A8)/COUNTIFS(Responses!$H:$H,$A8),0)</f>
        <v>0.73076923076923073</v>
      </c>
      <c r="D8" s="37">
        <f>IFERROR((COUNTIFS(Responses!$H:$H,$A8,Responses!$C:$C,"Disagree")+COUNTIFS(Responses!$H:$H,$A8,Responses!$C:$C,"Strongly Disagree"))/COUNTIFS(Responses!$H:$H,$A8),0)</f>
        <v>3.8461538461538464E-2</v>
      </c>
      <c r="E8" s="37">
        <f t="shared" si="0"/>
        <v>0.23076923076923081</v>
      </c>
      <c r="F8" cm="1">
        <f t="array" ref="F8">_xlfn.LET(_xlpm.dim,$A8,_xlpm.bad,_xlfn._xlws.FILTER(Responses!$A:$A,(Responses!$H:$H=_xlpm.dim)*((Responses!$C:$C="Disagree")+(Responses!$C:$C="Strongly Disagree"))),COUNTA(_xlfn.UNIQUE(_xlpm.bad)))</f>
        <v>1</v>
      </c>
      <c r="G8">
        <f>COUNTIFS(Responses!$H:$H, $A5)</f>
        <v>26</v>
      </c>
    </row>
    <row r="9" spans="1:12" x14ac:dyDescent="0.35">
      <c r="A9" t="str">
        <f>_xlfn.XLOOKUP(Table7[[#This Row],[QuestionID]], FinalQuestions!$A:$A, FinalQuestions!$D:$D,"")</f>
        <v>Comfort in Reporting Risk Dilemmas</v>
      </c>
      <c r="B9">
        <f>IFERROR(ROUND(AVERAGEIFS(Responses!$F:$F,Responses!$H:$H,$A9),0),0)</f>
        <v>80</v>
      </c>
      <c r="C9" s="37">
        <f>IFERROR(SUMIFS(Responses!$G:$G,Responses!$H:$H,$A9)/COUNTIFS(Responses!$H:$H,$A9),0)</f>
        <v>0.69230769230769229</v>
      </c>
      <c r="D9" s="37">
        <f>IFERROR((COUNTIFS(Responses!$H:$H,$A9,Responses!$C:$C,"Disagree")+COUNTIFS(Responses!$H:$H,$A9,Responses!$C:$C,"Strongly Disagree"))/COUNTIFS(Responses!$H:$H,$A9),0)</f>
        <v>7.6923076923076927E-2</v>
      </c>
      <c r="E9" s="37">
        <f t="shared" si="0"/>
        <v>0.23076923076923078</v>
      </c>
      <c r="F9" cm="1">
        <f t="array" ref="F9">_xlfn.LET(_xlpm.dim,$A9,_xlpm.bad,_xlfn._xlws.FILTER(Responses!$A:$A,(Responses!$H:$H=_xlpm.dim)*((Responses!$C:$C="Disagree")+(Responses!$C:$C="Strongly Disagree"))),COUNTA(_xlfn.UNIQUE(_xlpm.bad)))</f>
        <v>2</v>
      </c>
      <c r="G9">
        <f>COUNTIFS(Responses!$H:$H, $A6)</f>
        <v>26</v>
      </c>
    </row>
    <row r="10" spans="1:12" x14ac:dyDescent="0.35">
      <c r="A10" t="str">
        <f>_xlfn.XLOOKUP(Table7[[#This Row],[QuestionID]], FinalQuestions!$A:$A, FinalQuestions!$D:$D,"")</f>
        <v>Adequacy of Risk Management Training</v>
      </c>
      <c r="B10">
        <f>IFERROR(ROUND(AVERAGEIFS(Responses!$F:$F,Responses!$H:$H,$A10),0),0)</f>
        <v>75</v>
      </c>
      <c r="C10" s="37">
        <f>IFERROR(SUMIFS(Responses!$G:$G,Responses!$H:$H,$A10)/COUNTIFS(Responses!$H:$H,$A10),0)</f>
        <v>0.57692307692307687</v>
      </c>
      <c r="D10" s="37">
        <f>IFERROR((COUNTIFS(Responses!$H:$H,$A10,Responses!$C:$C,"Disagree")+COUNTIFS(Responses!$H:$H,$A10,Responses!$C:$C,"Strongly Disagree"))/COUNTIFS(Responses!$H:$H,$A10),0)</f>
        <v>0.23076923076923078</v>
      </c>
      <c r="E10" s="37">
        <f t="shared" si="0"/>
        <v>0.19230769230769235</v>
      </c>
      <c r="F10" cm="1">
        <f t="array" ref="F10">_xlfn.LET(_xlpm.dim,$A10,_xlpm.bad,_xlfn._xlws.FILTER(Responses!$A:$A,(Responses!$H:$H=_xlpm.dim)*((Responses!$C:$C="Disagree")+(Responses!$C:$C="Strongly Disagree"))),COUNTA(_xlfn.UNIQUE(_xlpm.bad)))</f>
        <v>6</v>
      </c>
      <c r="G10">
        <f>COUNTIFS(Responses!$H:$H, $A7)</f>
        <v>26</v>
      </c>
    </row>
    <row r="11" spans="1:12" x14ac:dyDescent="0.35">
      <c r="A11" t="str">
        <f>_xlfn.XLOOKUP(Table7[[#This Row],[QuestionID]], FinalQuestions!$A:$A, FinalQuestions!$D:$D,"")</f>
        <v>Workload Balance &amp; Resource Sufficiency</v>
      </c>
      <c r="B11">
        <f>IFERROR(ROUND(AVERAGEIFS(Responses!$F:$F,Responses!$H:$H,$A11),0),0)</f>
        <v>72</v>
      </c>
      <c r="C11" s="37">
        <f>IFERROR(SUMIFS(Responses!$G:$G,Responses!$H:$H,$A11)/COUNTIFS(Responses!$H:$H,$A11),0)</f>
        <v>0.5</v>
      </c>
      <c r="D11" s="37">
        <f>IFERROR((COUNTIFS(Responses!$H:$H,$A11,Responses!$C:$C,"Disagree")+COUNTIFS(Responses!$H:$H,$A11,Responses!$C:$C,"Strongly Disagree"))/COUNTIFS(Responses!$H:$H,$A11),0)</f>
        <v>0.11538461538461539</v>
      </c>
      <c r="E11" s="37">
        <f t="shared" si="0"/>
        <v>0.38461538461538458</v>
      </c>
      <c r="F11" cm="1">
        <f t="array" ref="F11">_xlfn.LET(_xlpm.dim,$A11,_xlpm.bad,_xlfn._xlws.FILTER(Responses!$A:$A,(Responses!$H:$H=_xlpm.dim)*((Responses!$C:$C="Disagree")+(Responses!$C:$C="Strongly Disagree"))),COUNTA(_xlfn.UNIQUE(_xlpm.bad)))</f>
        <v>3</v>
      </c>
      <c r="G11">
        <f>COUNTIFS(Responses!$H:$H, $A8)</f>
        <v>26</v>
      </c>
    </row>
    <row r="12" spans="1:12" x14ac:dyDescent="0.35">
      <c r="A12" t="str">
        <f>_xlfn.XLOOKUP(Table7[[#This Row],[QuestionID]], FinalQuestions!$A:$A, FinalQuestions!$D:$D,"")</f>
        <v>Realistic Target Setting</v>
      </c>
      <c r="B12">
        <f>IFERROR(ROUND(AVERAGEIFS(Responses!$F:$F,Responses!$H:$H,$A12),0),0)</f>
        <v>74</v>
      </c>
      <c r="C12" s="37">
        <f>IFERROR(SUMIFS(Responses!$G:$G,Responses!$H:$H,$A12)/COUNTIFS(Responses!$H:$H,$A12),0)</f>
        <v>0.61538461538461542</v>
      </c>
      <c r="D12" s="37">
        <f>IFERROR((COUNTIFS(Responses!$H:$H,$A12,Responses!$C:$C,"Disagree")+COUNTIFS(Responses!$H:$H,$A12,Responses!$C:$C,"Strongly Disagree"))/COUNTIFS(Responses!$H:$H,$A12),0)</f>
        <v>0.15384615384615385</v>
      </c>
      <c r="E12" s="37">
        <f t="shared" si="0"/>
        <v>0.23076923076923073</v>
      </c>
      <c r="F12" cm="1">
        <f t="array" ref="F12">_xlfn.LET(_xlpm.dim,$A12,_xlpm.bad,_xlfn._xlws.FILTER(Responses!$A:$A,(Responses!$H:$H=_xlpm.dim)*((Responses!$C:$C="Disagree")+(Responses!$C:$C="Strongly Disagree"))),COUNTA(_xlfn.UNIQUE(_xlpm.bad)))</f>
        <v>4</v>
      </c>
      <c r="G12">
        <f>COUNTIFS(Responses!$H:$H, $A9)</f>
        <v>26</v>
      </c>
    </row>
    <row r="13" spans="1:12" x14ac:dyDescent="0.35">
      <c r="A13" t="str">
        <f>_xlfn.XLOOKUP(Table7[[#This Row],[QuestionID]], FinalQuestions!$A:$A, FinalQuestions!$D:$D,"")</f>
        <v>Risk Insight in Decision Making</v>
      </c>
      <c r="B13">
        <f>IFERROR(ROUND(AVERAGEIFS(Responses!$F:$F,Responses!$H:$H,$A13),0),0)</f>
        <v>68</v>
      </c>
      <c r="C13" s="37">
        <f>IFERROR(SUMIFS(Responses!$G:$G,Responses!$H:$H,$A13)/COUNTIFS(Responses!$H:$H,$A13),0)</f>
        <v>0.46153846153846156</v>
      </c>
      <c r="D13" s="37">
        <f>IFERROR((COUNTIFS(Responses!$H:$H,$A13,Responses!$C:$C,"Disagree")+COUNTIFS(Responses!$H:$H,$A13,Responses!$C:$C,"Strongly Disagree"))/COUNTIFS(Responses!$H:$H,$A13),0)</f>
        <v>0.26923076923076922</v>
      </c>
      <c r="E13" s="37">
        <f t="shared" si="0"/>
        <v>0.26923076923076922</v>
      </c>
      <c r="F13" cm="1">
        <f t="array" ref="F13">_xlfn.LET(_xlpm.dim,$A13,_xlpm.bad,_xlfn._xlws.FILTER(Responses!$A:$A,(Responses!$H:$H=_xlpm.dim)*((Responses!$C:$C="Disagree")+(Responses!$C:$C="Strongly Disagree"))),COUNTA(_xlfn.UNIQUE(_xlpm.bad)))</f>
        <v>7</v>
      </c>
      <c r="G13">
        <f>COUNTIFS(Responses!$H:$H, $A10)</f>
        <v>26</v>
      </c>
    </row>
    <row r="14" spans="1:12" x14ac:dyDescent="0.35">
      <c r="A14" t="str">
        <f>_xlfn.XLOOKUP(Table7[[#This Row],[QuestionID]], FinalQuestions!$A:$A, FinalQuestions!$D:$D,"")</f>
        <v>Learning Culture from Non‑Compliance Cases</v>
      </c>
      <c r="B14">
        <f>IFERROR(ROUND(AVERAGEIFS(Responses!$F:$F,Responses!$H:$H,$A14),0),0)</f>
        <v>70</v>
      </c>
      <c r="C14" s="37">
        <f>IFERROR(SUMIFS(Responses!$G:$G,Responses!$H:$H,$A14)/COUNTIFS(Responses!$H:$H,$A14),0)</f>
        <v>0.38461538461538464</v>
      </c>
      <c r="D14" s="37">
        <f>IFERROR((COUNTIFS(Responses!$H:$H,$A14,Responses!$C:$C,"Disagree")+COUNTIFS(Responses!$H:$H,$A14,Responses!$C:$C,"Strongly Disagree"))/COUNTIFS(Responses!$H:$H,$A14),0)</f>
        <v>0.15384615384615385</v>
      </c>
      <c r="E14" s="37">
        <f t="shared" si="0"/>
        <v>0.46153846153846156</v>
      </c>
      <c r="F14" cm="1">
        <f t="array" ref="F14">_xlfn.LET(_xlpm.dim,$A14,_xlpm.bad,_xlfn._xlws.FILTER(Responses!$A:$A,(Responses!$H:$H=_xlpm.dim)*((Responses!$C:$C="Disagree")+(Responses!$C:$C="Strongly Disagree"))),COUNTA(_xlfn.UNIQUE(_xlpm.bad)))</f>
        <v>4</v>
      </c>
      <c r="G14">
        <f>COUNTIFS(Responses!$H:$H, $A11)</f>
        <v>26</v>
      </c>
    </row>
    <row r="15" spans="1:12" x14ac:dyDescent="0.35">
      <c r="A15" t="str">
        <f>_xlfn.XLOOKUP(Table7[[#This Row],[QuestionID]], FinalQuestions!$A:$A, FinalQuestions!$D:$D,"")</f>
        <v>Organizational View on Risk Culture</v>
      </c>
      <c r="B15">
        <f>IFERROR(ROUND(AVERAGEIFS(Responses!$F:$F,Responses!$H:$H,$A15),0),0)</f>
        <v>84</v>
      </c>
      <c r="C15" s="37">
        <f>IFERROR(SUMIFS(Responses!$G:$G,Responses!$H:$H,$A15)/COUNTIFS(Responses!$H:$H,$A15),0)</f>
        <v>0.73076923076923073</v>
      </c>
      <c r="D15" s="37">
        <f>IFERROR((COUNTIFS(Responses!$H:$H,$A15,Responses!$C:$C,"Disagree")+COUNTIFS(Responses!$H:$H,$A15,Responses!$C:$C,"Strongly Disagree"))/COUNTIFS(Responses!$H:$H,$A15),0)</f>
        <v>0</v>
      </c>
      <c r="E15" s="37">
        <f t="shared" si="0"/>
        <v>0.26923076923076927</v>
      </c>
      <c r="F15" cm="1">
        <f t="array" ref="F15">_xlfn.LET(_xlpm.dim,$A15,_xlpm.bad,_xlfn._xlws.FILTER(Responses!$A:$A,(Responses!$H:$H=_xlpm.dim)*((Responses!$C:$C="Disagree")+(Responses!$C:$C="Strongly Disagree"))),COUNTA(_xlfn.UNIQUE(_xlpm.bad)))</f>
        <v>1</v>
      </c>
      <c r="G15">
        <f>COUNTIFS(Responses!$H:$H, $A12)</f>
        <v>26</v>
      </c>
    </row>
    <row r="16" spans="1:12" x14ac:dyDescent="0.35">
      <c r="A16" t="str">
        <f>_xlfn.XLOOKUP(Table7[[#This Row],[QuestionID]], FinalQuestions!$A:$A, FinalQuestions!$D:$D,"")</f>
        <v>Compliance Recognition &amp; enforcement</v>
      </c>
      <c r="B16">
        <f>IFERROR(ROUND(AVERAGEIFS(Responses!$F:$F,Responses!$H:$H,$A16),0),0)</f>
        <v>78</v>
      </c>
      <c r="C16" s="37">
        <f>IFERROR(SUMIFS(Responses!$G:$G,Responses!$H:$H,$A16)/COUNTIFS(Responses!$H:$H,$A16),0)</f>
        <v>0.65384615384615385</v>
      </c>
      <c r="D16" s="37">
        <f>IFERROR((COUNTIFS(Responses!$H:$H,$A16,Responses!$C:$C,"Disagree")+COUNTIFS(Responses!$H:$H,$A16,Responses!$C:$C,"Strongly Disagree"))/COUNTIFS(Responses!$H:$H,$A16),0)</f>
        <v>0.11538461538461539</v>
      </c>
      <c r="E16" s="37">
        <f t="shared" si="0"/>
        <v>0.23076923076923075</v>
      </c>
      <c r="F16" cm="1">
        <f t="array" ref="F16">_xlfn.LET(_xlpm.dim,$A16,_xlpm.bad,_xlfn._xlws.FILTER(Responses!$A:$A,(Responses!$H:$H=_xlpm.dim)*((Responses!$C:$C="Disagree")+(Responses!$C:$C="Strongly Disagree"))),COUNTA(_xlfn.UNIQUE(_xlpm.bad)))</f>
        <v>3</v>
      </c>
      <c r="G16">
        <f>COUNTIFS(Responses!$H:$H, $A13)</f>
        <v>26</v>
      </c>
    </row>
    <row r="17" spans="1:7" x14ac:dyDescent="0.35">
      <c r="A17" t="str">
        <f>_xlfn.XLOOKUP(Table7[[#This Row],[QuestionID]], FinalQuestions!$A:$A, FinalQuestions!$D:$D,"")</f>
        <v>Sense of Ownership</v>
      </c>
      <c r="B17">
        <f>IFERROR(ROUND(AVERAGEIFS(Responses!$F:$F,Responses!$H:$H,$A17),0),0)</f>
        <v>68</v>
      </c>
      <c r="C17" s="37">
        <f>IFERROR(SUMIFS(Responses!$G:$G,Responses!$H:$H,$A17)/COUNTIFS(Responses!$H:$H,$A17),0)</f>
        <v>0.46153846153846156</v>
      </c>
      <c r="D17" s="37">
        <f>IFERROR((COUNTIFS(Responses!$H:$H,$A17,Responses!$C:$C,"Disagree")+COUNTIFS(Responses!$H:$H,$A17,Responses!$C:$C,"Strongly Disagree"))/COUNTIFS(Responses!$H:$H,$A17),0)</f>
        <v>0.26923076923076922</v>
      </c>
      <c r="E17" s="37">
        <f t="shared" si="0"/>
        <v>0.26923076923076922</v>
      </c>
      <c r="F17" cm="1">
        <f t="array" ref="F17">_xlfn.LET(_xlpm.dim,$A17,_xlpm.bad,_xlfn._xlws.FILTER(Responses!$A:$A,(Responses!$H:$H=_xlpm.dim)*((Responses!$C:$C="Disagree")+(Responses!$C:$C="Strongly Disagree"))),COUNTA(_xlfn.UNIQUE(_xlpm.bad)))</f>
        <v>7</v>
      </c>
      <c r="G17">
        <f>COUNTIFS(Responses!$H:$H, $A14)</f>
        <v>26</v>
      </c>
    </row>
    <row r="18" spans="1:7" x14ac:dyDescent="0.35">
      <c r="A18" t="str">
        <f>_xlfn.XLOOKUP(Table7[[#This Row],[QuestionID]], FinalQuestions!$A:$A, FinalQuestions!$D:$D,"")</f>
        <v>Clarity of Role and Responsibilities</v>
      </c>
      <c r="B18">
        <f>IFERROR(ROUND(AVERAGEIFS(Responses!$F:$F,Responses!$H:$H,$A18),0),0)</f>
        <v>68</v>
      </c>
      <c r="C18" s="37">
        <f>IFERROR(SUMIFS(Responses!$G:$G,Responses!$H:$H,$A18)/COUNTIFS(Responses!$H:$H,$A18),0)</f>
        <v>0.38461538461538464</v>
      </c>
      <c r="D18" s="37">
        <f>IFERROR((COUNTIFS(Responses!$H:$H,$A18,Responses!$C:$C,"Disagree")+COUNTIFS(Responses!$H:$H,$A18,Responses!$C:$C,"Strongly Disagree"))/COUNTIFS(Responses!$H:$H,$A18),0)</f>
        <v>0.23076923076923078</v>
      </c>
      <c r="E18" s="37">
        <f t="shared" si="0"/>
        <v>0.38461538461538464</v>
      </c>
      <c r="F18" cm="1">
        <f t="array" ref="F18">_xlfn.LET(_xlpm.dim,$A18,_xlpm.bad,_xlfn._xlws.FILTER(Responses!$A:$A,(Responses!$H:$H=_xlpm.dim)*((Responses!$C:$C="Disagree")+(Responses!$C:$C="Strongly Disagree"))),COUNTA(_xlfn.UNIQUE(_xlpm.bad)))</f>
        <v>6</v>
      </c>
      <c r="G18">
        <f>COUNTIFS(Responses!$H:$H, $A15)</f>
        <v>26</v>
      </c>
    </row>
    <row r="19" spans="1:7" x14ac:dyDescent="0.35">
      <c r="A19" t="str">
        <f>_xlfn.XLOOKUP(Table7[[#This Row],[QuestionID]], FinalQuestions!$A:$A, FinalQuestions!$D:$D,"")</f>
        <v>Understanding of Risk Policies &amp; Procedures</v>
      </c>
      <c r="B19">
        <f>IFERROR(ROUND(AVERAGEIFS(Responses!$F:$F,Responses!$H:$H,$A19),0),0)</f>
        <v>76</v>
      </c>
      <c r="C19" s="37">
        <f>IFERROR(SUMIFS(Responses!$G:$G,Responses!$H:$H,$A19)/COUNTIFS(Responses!$H:$H,$A19),0)</f>
        <v>0.53846153846153844</v>
      </c>
      <c r="D19" s="37">
        <f>IFERROR((COUNTIFS(Responses!$H:$H,$A19,Responses!$C:$C,"Disagree")+COUNTIFS(Responses!$H:$H,$A19,Responses!$C:$C,"Strongly Disagree"))/COUNTIFS(Responses!$H:$H,$A19),0)</f>
        <v>3.8461538461538464E-2</v>
      </c>
      <c r="E19" s="37">
        <f t="shared" si="0"/>
        <v>0.42307692307692313</v>
      </c>
      <c r="F19" cm="1">
        <f t="array" ref="F19">_xlfn.LET(_xlpm.dim,$A19,_xlpm.bad,_xlfn._xlws.FILTER(Responses!$A:$A,(Responses!$H:$H=_xlpm.dim)*((Responses!$C:$C="Disagree")+(Responses!$C:$C="Strongly Disagree"))),COUNTA(_xlfn.UNIQUE(_xlpm.bad)))</f>
        <v>1</v>
      </c>
      <c r="G19">
        <f>COUNTIFS(Responses!$H:$H, $A16)</f>
        <v>26</v>
      </c>
    </row>
    <row r="20" spans="1:7" x14ac:dyDescent="0.35">
      <c r="A20" t="str">
        <f>_xlfn.XLOOKUP(Table7[[#This Row],[QuestionID]], FinalQuestions!$A:$A, FinalQuestions!$D:$D,"")</f>
        <v>Clarity of Personal Risk Boundaries</v>
      </c>
      <c r="B20">
        <f>IFERROR(ROUND(AVERAGEIFS(Responses!$F:$F,Responses!$H:$H,$A20),0),0)</f>
        <v>80</v>
      </c>
      <c r="C20" s="37">
        <f>IFERROR(SUMIFS(Responses!$G:$G,Responses!$H:$H,$A20)/COUNTIFS(Responses!$H:$H,$A20),0)</f>
        <v>0.65384615384615385</v>
      </c>
      <c r="D20" s="37">
        <f>IFERROR((COUNTIFS(Responses!$H:$H,$A20,Responses!$C:$C,"Disagree")+COUNTIFS(Responses!$H:$H,$A20,Responses!$C:$C,"Strongly Disagree"))/COUNTIFS(Responses!$H:$H,$A20),0)</f>
        <v>0.11538461538461539</v>
      </c>
      <c r="E20" s="37">
        <f t="shared" si="0"/>
        <v>0.23076923076923075</v>
      </c>
      <c r="F20" cm="1">
        <f t="array" ref="F20">_xlfn.LET(_xlpm.dim,$A20,_xlpm.bad,_xlfn._xlws.FILTER(Responses!$A:$A,(Responses!$H:$H=_xlpm.dim)*((Responses!$C:$C="Disagree")+(Responses!$C:$C="Strongly Disagree"))),COUNTA(_xlfn.UNIQUE(_xlpm.bad)))</f>
        <v>3</v>
      </c>
      <c r="G20">
        <f>COUNTIFS(Responses!$H:$H, $A17)</f>
        <v>26</v>
      </c>
    </row>
    <row r="21" spans="1:7" x14ac:dyDescent="0.35">
      <c r="A21" t="str">
        <f>_xlfn.XLOOKUP(Table7[[#This Row],[QuestionID]], FinalQuestions!$A:$A, FinalQuestions!$D:$D,"")</f>
        <v>Effectiveness of Risk Communication &amp; Training</v>
      </c>
      <c r="B21">
        <f>IFERROR(ROUND(AVERAGEIFS(Responses!$F:$F,Responses!$H:$H,$A21),0),0)</f>
        <v>75</v>
      </c>
      <c r="C21" s="37">
        <f>IFERROR(SUMIFS(Responses!$G:$G,Responses!$H:$H,$A21)/COUNTIFS(Responses!$H:$H,$A21),0)</f>
        <v>0.61538461538461542</v>
      </c>
      <c r="D21" s="37">
        <f>IFERROR((COUNTIFS(Responses!$H:$H,$A21,Responses!$C:$C,"Disagree")+COUNTIFS(Responses!$H:$H,$A21,Responses!$C:$C,"Strongly Disagree"))/COUNTIFS(Responses!$H:$H,$A21),0)</f>
        <v>0.11538461538461539</v>
      </c>
      <c r="E21" s="37">
        <f t="shared" si="0"/>
        <v>0.26923076923076916</v>
      </c>
      <c r="F21" cm="1">
        <f t="array" ref="F21">_xlfn.LET(_xlpm.dim,$A21,_xlpm.bad,_xlfn._xlws.FILTER(Responses!$A:$A,(Responses!$H:$H=_xlpm.dim)*((Responses!$C:$C="Disagree")+(Responses!$C:$C="Strongly Disagree"))),COUNTA(_xlfn.UNIQUE(_xlpm.bad)))</f>
        <v>3</v>
      </c>
      <c r="G21">
        <f>COUNTIFS(Responses!$H:$H, $A18)</f>
        <v>26</v>
      </c>
    </row>
    <row r="22" spans="1:7" x14ac:dyDescent="0.35">
      <c r="A22" t="str">
        <f>_xlfn.XLOOKUP(Table7[[#This Row],[QuestionID]], FinalQuestions!$A:$A, FinalQuestions!$D:$D,"")</f>
        <v>Compliance Confidence in team</v>
      </c>
      <c r="B22">
        <f>IFERROR(ROUND(AVERAGEIFS(Responses!$F:$F,Responses!$H:$H,$A22),0),0)</f>
        <v>72</v>
      </c>
      <c r="C22" s="37">
        <f>IFERROR(SUMIFS(Responses!$G:$G,Responses!$H:$H,$A22)/COUNTIFS(Responses!$H:$H,$A22),0)</f>
        <v>0.53846153846153844</v>
      </c>
      <c r="D22" s="37">
        <f>IFERROR((COUNTIFS(Responses!$H:$H,$A22,Responses!$C:$C,"Disagree")+COUNTIFS(Responses!$H:$H,$A22,Responses!$C:$C,"Strongly Disagree"))/COUNTIFS(Responses!$H:$H,$A22),0)</f>
        <v>0.19230769230769232</v>
      </c>
      <c r="E22" s="37">
        <f t="shared" si="0"/>
        <v>0.26923076923076927</v>
      </c>
      <c r="F22" cm="1">
        <f t="array" ref="F22">_xlfn.LET(_xlpm.dim,$A22,_xlpm.bad,_xlfn._xlws.FILTER(Responses!$A:$A,(Responses!$H:$H=_xlpm.dim)*((Responses!$C:$C="Disagree")+(Responses!$C:$C="Strongly Disagree"))),COUNTA(_xlfn.UNIQUE(_xlpm.bad)))</f>
        <v>5</v>
      </c>
      <c r="G22">
        <f>COUNTIFS(Responses!$H:$H, $A19)</f>
        <v>26</v>
      </c>
    </row>
    <row r="23" spans="1:7" x14ac:dyDescent="0.35">
      <c r="A23" t="str">
        <f>_xlfn.XLOOKUP(Table7[[#This Row],[QuestionID]], FinalQuestions!$A:$A, FinalQuestions!$D:$D,"")</f>
        <v>Transparency in Decision‑Making</v>
      </c>
      <c r="B23">
        <f>IFERROR(ROUND(AVERAGEIFS(Responses!$F:$F,Responses!$H:$H,$A23),0),0)</f>
        <v>73</v>
      </c>
      <c r="C23" s="37">
        <f>IFERROR(SUMIFS(Responses!$G:$G,Responses!$H:$H,$A23)/COUNTIFS(Responses!$H:$H,$A23),0)</f>
        <v>0.5</v>
      </c>
      <c r="D23" s="37">
        <f>IFERROR((COUNTIFS(Responses!$H:$H,$A23,Responses!$C:$C,"Disagree")+COUNTIFS(Responses!$H:$H,$A23,Responses!$C:$C,"Strongly Disagree"))/COUNTIFS(Responses!$H:$H,$A23),0)</f>
        <v>0.11538461538461539</v>
      </c>
      <c r="E23" s="37">
        <f t="shared" si="0"/>
        <v>0.38461538461538458</v>
      </c>
      <c r="F23" cm="1">
        <f t="array" ref="F23">_xlfn.LET(_xlpm.dim,$A23,_xlpm.bad,_xlfn._xlws.FILTER(Responses!$A:$A,(Responses!$H:$H=_xlpm.dim)*((Responses!$C:$C="Disagree")+(Responses!$C:$C="Strongly Disagree"))),COUNTA(_xlfn.UNIQUE(_xlpm.bad)))</f>
        <v>3</v>
      </c>
      <c r="G23">
        <f>COUNTIFS(Responses!$H:$H, $A20)</f>
        <v>26</v>
      </c>
    </row>
    <row r="24" spans="1:7" x14ac:dyDescent="0.35">
      <c r="A24" t="str">
        <f>_xlfn.XLOOKUP(Table7[[#This Row],[QuestionID]], FinalQuestions!$A:$A, FinalQuestions!$D:$D,"")</f>
        <v>Fairness &amp; Equity of Expectations</v>
      </c>
      <c r="B24">
        <f>IFERROR(ROUND(AVERAGEIFS(Responses!$F:$F,Responses!$H:$H,$A24),0),0)</f>
        <v>81</v>
      </c>
      <c r="C24" s="37">
        <f>IFERROR(SUMIFS(Responses!$G:$G,Responses!$H:$H,$A24)/COUNTIFS(Responses!$H:$H,$A24),0)</f>
        <v>0.69230769230769229</v>
      </c>
      <c r="D24" s="37">
        <f>IFERROR((COUNTIFS(Responses!$H:$H,$A24,Responses!$C:$C,"Disagree")+COUNTIFS(Responses!$H:$H,$A24,Responses!$C:$C,"Strongly Disagree"))/COUNTIFS(Responses!$H:$H,$A24),0)</f>
        <v>0</v>
      </c>
      <c r="E24" s="37">
        <f t="shared" si="0"/>
        <v>0.30769230769230771</v>
      </c>
      <c r="F24" cm="1">
        <f t="array" ref="F24">_xlfn.LET(_xlpm.dim,$A24,_xlpm.bad,_xlfn._xlws.FILTER(Responses!$A:$A,(Responses!$H:$H=_xlpm.dim)*((Responses!$C:$C="Disagree")+(Responses!$C:$C="Strongly Disagree"))),COUNTA(_xlfn.UNIQUE(_xlpm.bad)))</f>
        <v>1</v>
      </c>
      <c r="G24">
        <f>COUNTIFS(Responses!$H:$H, $A21)</f>
        <v>26</v>
      </c>
    </row>
    <row r="25" spans="1:7" x14ac:dyDescent="0.35">
      <c r="A25" t="str">
        <f>_xlfn.XLOOKUP(Table7[[#This Row],[QuestionID]], FinalQuestions!$A:$A, FinalQuestions!$D:$D,"")</f>
        <v>Leadership Awareness in the team</v>
      </c>
      <c r="B25">
        <f>IFERROR(ROUND(AVERAGEIFS(Responses!$F:$F,Responses!$H:$H,$A25),0),0)</f>
        <v>75</v>
      </c>
      <c r="C25" s="37">
        <f>IFERROR(SUMIFS(Responses!$G:$G,Responses!$H:$H,$A25)/COUNTIFS(Responses!$H:$H,$A25),0)</f>
        <v>0.57692307692307687</v>
      </c>
      <c r="D25" s="37">
        <f>IFERROR((COUNTIFS(Responses!$H:$H,$A25,Responses!$C:$C,"Disagree")+COUNTIFS(Responses!$H:$H,$A25,Responses!$C:$C,"Strongly Disagree"))/COUNTIFS(Responses!$H:$H,$A25),0)</f>
        <v>0.19230769230769232</v>
      </c>
      <c r="E25" s="37">
        <f t="shared" si="0"/>
        <v>0.23076923076923081</v>
      </c>
      <c r="F25" cm="1">
        <f t="array" ref="F25">_xlfn.LET(_xlpm.dim,$A25,_xlpm.bad,_xlfn._xlws.FILTER(Responses!$A:$A,(Responses!$H:$H=_xlpm.dim)*((Responses!$C:$C="Disagree")+(Responses!$C:$C="Strongly Disagree"))),COUNTA(_xlfn.UNIQUE(_xlpm.bad)))</f>
        <v>5</v>
      </c>
      <c r="G25">
        <f>COUNTIFS(Responses!$H:$H, $A22)</f>
        <v>26</v>
      </c>
    </row>
    <row r="26" spans="1:7" x14ac:dyDescent="0.35">
      <c r="A26" t="str">
        <f>_xlfn.XLOOKUP(Table7[[#This Row],[QuestionID]], FinalQuestions!$A:$A, FinalQuestions!$D:$D,"")</f>
        <v>Motivation for Risk Ownership</v>
      </c>
      <c r="B26">
        <f>IFERROR(ROUND(AVERAGEIFS(Responses!$F:$F,Responses!$H:$H,$A26),0),0)</f>
        <v>72</v>
      </c>
      <c r="C26" s="37">
        <f>IFERROR(SUMIFS(Responses!$G:$G,Responses!$H:$H,$A26)/COUNTIFS(Responses!$H:$H,$A26),0)</f>
        <v>0.53846153846153844</v>
      </c>
      <c r="D26" s="37">
        <f>IFERROR((COUNTIFS(Responses!$H:$H,$A26,Responses!$C:$C,"Disagree")+COUNTIFS(Responses!$H:$H,$A26,Responses!$C:$C,"Strongly Disagree"))/COUNTIFS(Responses!$H:$H,$A26),0)</f>
        <v>0.11538461538461539</v>
      </c>
      <c r="E26" s="37">
        <f t="shared" si="0"/>
        <v>0.34615384615384615</v>
      </c>
      <c r="F26" cm="1">
        <f t="array" ref="F26">_xlfn.LET(_xlpm.dim,$A26,_xlpm.bad,_xlfn._xlws.FILTER(Responses!$A:$A,(Responses!$H:$H=_xlpm.dim)*((Responses!$C:$C="Disagree")+(Responses!$C:$C="Strongly Disagree"))),COUNTA(_xlfn.UNIQUE(_xlpm.bad)))</f>
        <v>3</v>
      </c>
      <c r="G26">
        <f>COUNTIFS(Responses!$H:$H, $A23)</f>
        <v>26</v>
      </c>
    </row>
    <row r="27" spans="1:7" x14ac:dyDescent="0.35">
      <c r="A27" t="str">
        <f>_xlfn.XLOOKUP(Table7[[#This Row],[QuestionID]], FinalQuestions!$A:$A, FinalQuestions!$D:$D,"")</f>
        <v>Sense of Belonging to the Organization</v>
      </c>
      <c r="B27">
        <f>IFERROR(ROUND(AVERAGEIFS(Responses!$F:$F,Responses!$H:$H,$A27),0),0)</f>
        <v>77</v>
      </c>
      <c r="C27" s="37">
        <f>IFERROR(SUMIFS(Responses!$G:$G,Responses!$H:$H,$A27)/COUNTIFS(Responses!$H:$H,$A27),0)</f>
        <v>0.61538461538461542</v>
      </c>
      <c r="D27" s="37">
        <f>IFERROR((COUNTIFS(Responses!$H:$H,$A27,Responses!$C:$C,"Disagree")+COUNTIFS(Responses!$H:$H,$A27,Responses!$C:$C,"Strongly Disagree"))/COUNTIFS(Responses!$H:$H,$A27),0)</f>
        <v>3.8461538461538464E-2</v>
      </c>
      <c r="E27" s="37">
        <f t="shared" si="0"/>
        <v>0.34615384615384615</v>
      </c>
      <c r="F27" cm="1">
        <f t="array" ref="F27">_xlfn.LET(_xlpm.dim,$A27,_xlpm.bad,_xlfn._xlws.FILTER(Responses!$A:$A,(Responses!$H:$H=_xlpm.dim)*((Responses!$C:$C="Disagree")+(Responses!$C:$C="Strongly Disagree"))),COUNTA(_xlfn.UNIQUE(_xlpm.bad)))</f>
        <v>1</v>
      </c>
      <c r="G27">
        <f>COUNTIFS(Responses!$H:$H, $A24)</f>
        <v>26</v>
      </c>
    </row>
    <row r="28" spans="1:7" x14ac:dyDescent="0.35">
      <c r="A28" t="str">
        <f>_xlfn.XLOOKUP(Table7[[#This Row],[QuestionID]], FinalQuestions!$A:$A, FinalQuestions!$D:$D,"")</f>
        <v>Consideration of Impact on Others</v>
      </c>
      <c r="B28">
        <f>IFERROR(ROUND(AVERAGEIFS(Responses!$F:$F,Responses!$H:$H,$A28),0),0)</f>
        <v>75</v>
      </c>
      <c r="C28" s="37">
        <f>IFERROR(SUMIFS(Responses!$G:$G,Responses!$H:$H,$A28)/COUNTIFS(Responses!$H:$H,$A28),0)</f>
        <v>0.61538461538461542</v>
      </c>
      <c r="D28" s="37">
        <f>IFERROR((COUNTIFS(Responses!$H:$H,$A28,Responses!$C:$C,"Disagree")+COUNTIFS(Responses!$H:$H,$A28,Responses!$C:$C,"Strongly Disagree"))/COUNTIFS(Responses!$H:$H,$A28),0)</f>
        <v>0.15384615384615385</v>
      </c>
      <c r="E28" s="37">
        <f t="shared" si="0"/>
        <v>0.23076923076923073</v>
      </c>
      <c r="F28" cm="1">
        <f t="array" ref="F28">_xlfn.LET(_xlpm.dim,$A28,_xlpm.bad,_xlfn._xlws.FILTER(Responses!$A:$A,(Responses!$H:$H=_xlpm.dim)*((Responses!$C:$C="Disagree")+(Responses!$C:$C="Strongly Disagree"))),COUNTA(_xlfn.UNIQUE(_xlpm.bad)))</f>
        <v>4</v>
      </c>
      <c r="G28">
        <f>COUNTIFS(Responses!$H:$H, $A25)</f>
        <v>26</v>
      </c>
    </row>
    <row r="29" spans="1:7" x14ac:dyDescent="0.35">
      <c r="A29" t="str">
        <f>_xlfn.XLOOKUP(Table7[[#This Row],[QuestionID]], FinalQuestions!$A:$A, FinalQuestions!$D:$D,"")</f>
        <v>Accountability for Risk Actions</v>
      </c>
      <c r="B29">
        <f>IFERROR(ROUND(AVERAGEIFS(Responses!$F:$F,Responses!$H:$H,$A29),0),0)</f>
        <v>73</v>
      </c>
      <c r="C29" s="37">
        <f>IFERROR(SUMIFS(Responses!$G:$G,Responses!$H:$H,$A29)/COUNTIFS(Responses!$H:$H,$A29),0)</f>
        <v>0.57692307692307687</v>
      </c>
      <c r="D29" s="37">
        <f>IFERROR((COUNTIFS(Responses!$H:$H,$A29,Responses!$C:$C,"Disagree")+COUNTIFS(Responses!$H:$H,$A29,Responses!$C:$C,"Strongly Disagree"))/COUNTIFS(Responses!$H:$H,$A29),0)</f>
        <v>0.11538461538461539</v>
      </c>
      <c r="E29" s="37">
        <f t="shared" si="0"/>
        <v>0.30769230769230771</v>
      </c>
      <c r="F29" cm="1">
        <f t="array" ref="F29">_xlfn.LET(_xlpm.dim,$A29,_xlpm.bad,_xlfn._xlws.FILTER(Responses!$A:$A,(Responses!$H:$H=_xlpm.dim)*((Responses!$C:$C="Disagree")+(Responses!$C:$C="Strongly Disagree"))),COUNTA(_xlfn.UNIQUE(_xlpm.bad)))</f>
        <v>3</v>
      </c>
      <c r="G29">
        <f>COUNTIFS(Responses!$H:$H, $A26)</f>
        <v>26</v>
      </c>
    </row>
    <row r="30" spans="1:7" x14ac:dyDescent="0.35">
      <c r="A30" t="str">
        <f>_xlfn.XLOOKUP(Table7[[#This Row],[QuestionID]], FinalQuestions!$A:$A, FinalQuestions!$D:$D,"")</f>
        <v xml:space="preserve">Peer to peer Accountability </v>
      </c>
      <c r="B30">
        <f>IFERROR(ROUND(AVERAGEIFS(Responses!$F:$F,Responses!$H:$H,$A30),0),0)</f>
        <v>66</v>
      </c>
      <c r="C30" s="37">
        <f>IFERROR(SUMIFS(Responses!$G:$G,Responses!$H:$H,$A30)/COUNTIFS(Responses!$H:$H,$A30),0)</f>
        <v>0.42307692307692307</v>
      </c>
      <c r="D30" s="37">
        <f>IFERROR((COUNTIFS(Responses!$H:$H,$A30,Responses!$C:$C,"Disagree")+COUNTIFS(Responses!$H:$H,$A30,Responses!$C:$C,"Strongly Disagree"))/COUNTIFS(Responses!$H:$H,$A30),0)</f>
        <v>0.34615384615384615</v>
      </c>
      <c r="E30" s="37">
        <f t="shared" si="0"/>
        <v>0.23076923076923073</v>
      </c>
      <c r="F30" cm="1">
        <f t="array" ref="F30">_xlfn.LET(_xlpm.dim,$A30,_xlpm.bad,_xlfn._xlws.FILTER(Responses!$A:$A,(Responses!$H:$H=_xlpm.dim)*((Responses!$C:$C="Disagree")+(Responses!$C:$C="Strongly Disagree"))),COUNTA(_xlfn.UNIQUE(_xlpm.bad)))</f>
        <v>9</v>
      </c>
      <c r="G30">
        <f>COUNTIFS(Responses!$H:$H, $A27)</f>
        <v>26</v>
      </c>
    </row>
    <row r="31" spans="1:7" x14ac:dyDescent="0.35">
      <c r="A31" t="str">
        <f>_xlfn.XLOOKUP(Table7[[#This Row],[QuestionID]], FinalQuestions!$A:$A, FinalQuestions!$D:$D,"")</f>
        <v>Timely Resolution of Accountability Issues</v>
      </c>
      <c r="B31">
        <f>IFERROR(ROUND(AVERAGEIFS(Responses!$F:$F,Responses!$H:$H,$A31),0),0)</f>
        <v>67</v>
      </c>
      <c r="C31" s="37">
        <f>IFERROR(SUMIFS(Responses!$G:$G,Responses!$H:$H,$A31)/COUNTIFS(Responses!$H:$H,$A31),0)</f>
        <v>0.38461538461538464</v>
      </c>
      <c r="D31" s="37">
        <f>IFERROR((COUNTIFS(Responses!$H:$H,$A31,Responses!$C:$C,"Disagree")+COUNTIFS(Responses!$H:$H,$A31,Responses!$C:$C,"Strongly Disagree"))/COUNTIFS(Responses!$H:$H,$A31),0)</f>
        <v>0.15384615384615385</v>
      </c>
      <c r="E31" s="37">
        <f t="shared" si="0"/>
        <v>0.46153846153846156</v>
      </c>
      <c r="F31" cm="1">
        <f t="array" ref="F31">_xlfn.LET(_xlpm.dim,$A31,_xlpm.bad,_xlfn._xlws.FILTER(Responses!$A:$A,(Responses!$H:$H=_xlpm.dim)*((Responses!$C:$C="Disagree")+(Responses!$C:$C="Strongly Disagree"))),COUNTA(_xlfn.UNIQUE(_xlpm.bad)))</f>
        <v>4</v>
      </c>
      <c r="G31">
        <f>COUNTIFS(Responses!$H:$H, $A28)</f>
        <v>26</v>
      </c>
    </row>
    <row r="32" spans="1:7" x14ac:dyDescent="0.35">
      <c r="A32" t="str">
        <f>_xlfn.XLOOKUP(Table7[[#This Row],[QuestionID]], FinalQuestions!$A:$A, FinalQuestions!$D:$D,"")</f>
        <v>Comfort for Reporting Non‑Compliance.</v>
      </c>
      <c r="B32">
        <f>IFERROR(ROUND(AVERAGEIFS(Responses!$F:$F,Responses!$H:$H,$A32),0),0)</f>
        <v>76</v>
      </c>
      <c r="C32" s="37">
        <f>IFERROR(SUMIFS(Responses!$G:$G,Responses!$H:$H,$A32)/COUNTIFS(Responses!$H:$H,$A32),0)</f>
        <v>0.61538461538461542</v>
      </c>
      <c r="D32" s="37">
        <f>IFERROR((COUNTIFS(Responses!$H:$H,$A32,Responses!$C:$C,"Disagree")+COUNTIFS(Responses!$H:$H,$A32,Responses!$C:$C,"Strongly Disagree"))/COUNTIFS(Responses!$H:$H,$A32),0)</f>
        <v>0.15384615384615385</v>
      </c>
      <c r="E32" s="37">
        <f t="shared" si="0"/>
        <v>0.23076923076923073</v>
      </c>
      <c r="F32" cm="1">
        <f t="array" ref="F32">_xlfn.LET(_xlpm.dim,$A32,_xlpm.bad,_xlfn._xlws.FILTER(Responses!$A:$A,(Responses!$H:$H=_xlpm.dim)*((Responses!$C:$C="Disagree")+(Responses!$C:$C="Strongly Disagree"))),COUNTA(_xlfn.UNIQUE(_xlpm.bad)))</f>
        <v>4</v>
      </c>
      <c r="G32">
        <f>COUNTIFS(Responses!$H:$H, $A29)</f>
        <v>26</v>
      </c>
    </row>
    <row r="33" spans="1:7" x14ac:dyDescent="0.35">
      <c r="A33" t="str">
        <f>_xlfn.XLOOKUP(Table7[[#This Row],[QuestionID]], FinalQuestions!$A:$A, FinalQuestions!$D:$D,"")</f>
        <v>Consistency of Conduct Enforcement</v>
      </c>
      <c r="B33">
        <f>IFERROR(ROUND(AVERAGEIFS(Responses!$F:$F,Responses!$H:$H,$A33),0),0)</f>
        <v>72</v>
      </c>
      <c r="C33" s="37">
        <f>IFERROR(SUMIFS(Responses!$G:$G,Responses!$H:$H,$A33)/COUNTIFS(Responses!$H:$H,$A33),0)</f>
        <v>0.53846153846153844</v>
      </c>
      <c r="D33" s="37">
        <f>IFERROR((COUNTIFS(Responses!$H:$H,$A33,Responses!$C:$C,"Disagree")+COUNTIFS(Responses!$H:$H,$A33,Responses!$C:$C,"Strongly Disagree"))/COUNTIFS(Responses!$H:$H,$A33),0)</f>
        <v>0.11538461538461539</v>
      </c>
      <c r="E33" s="37">
        <f t="shared" si="0"/>
        <v>0.34615384615384615</v>
      </c>
      <c r="F33" cm="1">
        <f t="array" ref="F33">_xlfn.LET(_xlpm.dim,$A33,_xlpm.bad,_xlfn._xlws.FILTER(Responses!$A:$A,(Responses!$H:$H=_xlpm.dim)*((Responses!$C:$C="Disagree")+(Responses!$C:$C="Strongly Disagree"))),COUNTA(_xlfn.UNIQUE(_xlpm.bad)))</f>
        <v>3</v>
      </c>
      <c r="G33">
        <f>COUNTIFS(Responses!$H:$H, $A30)</f>
        <v>26</v>
      </c>
    </row>
    <row r="37" spans="1:7" ht="23.5" x14ac:dyDescent="0.55000000000000004">
      <c r="A37" s="33" t="str">
        <f>INDEX($A$2:$A$33, MATCH(SMALL($B$2:$B$33,1), $B$2:$B$33, 0))</f>
        <v xml:space="preserve">Peer to peer Accountability </v>
      </c>
      <c r="B37" s="34"/>
    </row>
    <row r="38" spans="1:7" ht="23.5" x14ac:dyDescent="0.55000000000000004">
      <c r="A38" s="33" t="str">
        <f>INDEX($A$2:$A$33,MATCH(SMALL($B$2:$B$33,3),$B$2:$B$33,0))</f>
        <v>Risk Insight in Decision Making</v>
      </c>
      <c r="B38" s="34"/>
    </row>
    <row r="49" spans="1:28" ht="23.5" x14ac:dyDescent="0.55000000000000004">
      <c r="A49" s="32" t="str">
        <f>"Top risk root-cause areas include: " &amp;
INDEX($A$2:$A$33,MATCH(SMALL($B$2:$B$33,1),$B$2:$B$33,0))&amp; "," &amp;
INDEX($A$2:$A$33,MATCH(SMALL($B$2:$B$33,2),$B$2:$B$33,0))&amp; ",and " &amp;
INDEX($A$2:$A$33,MATCH(SMALL($B$2:$B$33,3),$B$2:$B$33,0))&amp;
". These are influenced by low favorable responses and require targeted interventions."</f>
        <v>Top risk root-cause areas include: Peer to peer Accountability ,Timely Resolution of Accountability Issues,and Risk Insight in Decision Making. These are influenced by low favorable responses and require targeted interventions.</v>
      </c>
      <c r="B49" s="32"/>
      <c r="C49" s="38"/>
      <c r="D49" s="38"/>
      <c r="E49" s="38"/>
      <c r="F49" s="32"/>
      <c r="G49" s="32"/>
      <c r="H49" s="32"/>
      <c r="I49" s="32"/>
      <c r="J49" s="32"/>
      <c r="K49" s="32"/>
      <c r="L49" s="32"/>
      <c r="M49" s="32"/>
      <c r="N49" s="32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5928-BF71-4B65-85A7-FD38AE44DDFF}">
  <dimension ref="A1:E18"/>
  <sheetViews>
    <sheetView workbookViewId="0">
      <selection activeCell="G16" sqref="G16"/>
    </sheetView>
  </sheetViews>
  <sheetFormatPr defaultRowHeight="14.5" x14ac:dyDescent="0.35"/>
  <cols>
    <col min="1" max="1" width="11.26953125" customWidth="1"/>
    <col min="2" max="2" width="19.54296875" customWidth="1"/>
    <col min="3" max="3" width="16" customWidth="1"/>
    <col min="4" max="4" width="17.26953125" customWidth="1"/>
    <col min="5" max="5" width="13.26953125" customWidth="1"/>
  </cols>
  <sheetData>
    <row r="1" spans="1:5" x14ac:dyDescent="0.35">
      <c r="A1" s="59" t="s">
        <v>11</v>
      </c>
      <c r="B1" s="59" t="s">
        <v>359</v>
      </c>
      <c r="C1" s="59" t="s">
        <v>364</v>
      </c>
      <c r="D1" s="59" t="s">
        <v>365</v>
      </c>
      <c r="E1" s="62"/>
    </row>
    <row r="2" spans="1:5" x14ac:dyDescent="0.35">
      <c r="A2" s="14" t="e" cm="1" vm="1">
        <f t="array" ref="A2">_xlfn._xlws.FILTER(FinalQuestions!$A$2:$A$198,FinalQuestions!$H$2:$H$198="Yes")</f>
        <v>#VALUE!</v>
      </c>
      <c r="B2" s="14" t="str">
        <f>IFERROR(ROUND(AVERAGEIFS(Responses!$F:$F,Responses!$B:$B,$A2),0),"")</f>
        <v/>
      </c>
      <c r="C2" s="42">
        <f>IFERROR(AVERAGEIFS(Responses!$G:$G,Responses!$B:$B,$A2),0)*100</f>
        <v>0</v>
      </c>
      <c r="D2" s="61">
        <f>IFERROR((COUNTIFS(Responses!$B:$B,$A2,Responses!$C:$C,"Disagree")+COUNTIFS(Responses!$B:$B,$A2,Responses!$C:$C,"Strongly Disagree"))/COUNTIF(Responses!$B:$B,$A2),0)*100</f>
        <v>0</v>
      </c>
      <c r="E2" s="60"/>
    </row>
    <row r="3" spans="1:5" x14ac:dyDescent="0.35">
      <c r="A3" s="14"/>
      <c r="B3" s="14" t="str">
        <f>IFERROR(ROUND(AVERAGEIFS(Responses!$F:$F,Responses!$B:$B,$A3),0),"")</f>
        <v/>
      </c>
      <c r="C3" s="42">
        <f>IFERROR(AVERAGEIFS(Responses!$G:$G,Responses!$B:$B,$A3),0)*100</f>
        <v>0</v>
      </c>
      <c r="D3" s="61">
        <f>IFERROR((COUNTIFS(Responses!$B:$B,$A3,Responses!$C:$C,"Disagree")+COUNTIFS(Responses!$B:$B,$A3,Responses!$C:$C,"Strongly Disagree"))/COUNTIF(Responses!$B:$B,$A3),0)*100</f>
        <v>0</v>
      </c>
    </row>
    <row r="4" spans="1:5" x14ac:dyDescent="0.35">
      <c r="A4" s="14"/>
      <c r="B4" s="14" t="str">
        <f>IFERROR(ROUND(AVERAGEIFS(Responses!$F:$F,Responses!$B:$B,$A4),0),"")</f>
        <v/>
      </c>
      <c r="C4" s="42">
        <f>IFERROR(AVERAGEIFS(Responses!$G:$G,Responses!$B:$B,$A4),0)*100</f>
        <v>0</v>
      </c>
      <c r="D4" s="61">
        <f>IFERROR((COUNTIFS(Responses!$B:$B,$A4,Responses!$C:$C,"Disagree")+COUNTIFS(Responses!$B:$B,$A4,Responses!$C:$C,"Strongly Disagree"))/COUNTIF(Responses!$B:$B,$A4),0)*100</f>
        <v>0</v>
      </c>
    </row>
    <row r="5" spans="1:5" x14ac:dyDescent="0.35">
      <c r="A5" s="14"/>
      <c r="B5" s="14" t="str">
        <f>IFERROR(ROUND(AVERAGEIFS(Responses!$F:$F,Responses!$B:$B,$A5),0),"")</f>
        <v/>
      </c>
      <c r="C5" s="42">
        <f>IFERROR(AVERAGEIFS(Responses!$G:$G,Responses!$B:$B,$A5),0)*100</f>
        <v>0</v>
      </c>
      <c r="D5" s="61">
        <f>IFERROR((COUNTIFS(Responses!$B:$B,$A5,Responses!$C:$C,"Disagree")+COUNTIFS(Responses!$B:$B,$A5,Responses!$C:$C,"Strongly Disagree"))/COUNTIF(Responses!$B:$B,$A5),0)*100</f>
        <v>0</v>
      </c>
    </row>
    <row r="6" spans="1:5" x14ac:dyDescent="0.35">
      <c r="A6" s="14"/>
      <c r="B6" s="14" t="str">
        <f>IFERROR(ROUND(AVERAGEIFS(Responses!$F:$F,Responses!$B:$B,$A6),0),"")</f>
        <v/>
      </c>
      <c r="C6" s="42">
        <f>IFERROR(AVERAGEIFS(Responses!$G:$G,Responses!$B:$B,$A6),0)*100</f>
        <v>0</v>
      </c>
      <c r="D6" s="61">
        <f>IFERROR((COUNTIFS(Responses!$B:$B,$A6,Responses!$C:$C,"Disagree")+COUNTIFS(Responses!$B:$B,$A6,Responses!$C:$C,"Strongly Disagree"))/COUNTIF(Responses!$B:$B,$A6),0)*100</f>
        <v>0</v>
      </c>
    </row>
    <row r="7" spans="1:5" x14ac:dyDescent="0.35">
      <c r="A7" s="14"/>
      <c r="B7" s="14" t="str">
        <f>IFERROR(ROUND(AVERAGEIFS(Responses!$F:$F,Responses!$B:$B,$A7),0),"")</f>
        <v/>
      </c>
      <c r="C7" s="42">
        <f>IFERROR(AVERAGEIFS(Responses!$G:$G,Responses!$B:$B,$A7),0)*100</f>
        <v>0</v>
      </c>
      <c r="D7" s="61">
        <f>IFERROR((COUNTIFS(Responses!$B:$B,$A7,Responses!$C:$C,"Disagree")+COUNTIFS(Responses!$B:$B,$A7,Responses!$C:$C,"Strongly Disagree"))/COUNTIF(Responses!$B:$B,$A7),0)*100</f>
        <v>0</v>
      </c>
    </row>
    <row r="8" spans="1:5" x14ac:dyDescent="0.35">
      <c r="A8" s="14"/>
      <c r="B8" s="14" t="str">
        <f>IFERROR(ROUND(AVERAGEIFS(Responses!$F:$F,Responses!$B:$B,$A8),0),"")</f>
        <v/>
      </c>
      <c r="C8" s="42">
        <f>IFERROR(AVERAGEIFS(Responses!$G:$G,Responses!$B:$B,$A8),0)*100</f>
        <v>0</v>
      </c>
      <c r="D8" s="61">
        <f>IFERROR((COUNTIFS(Responses!$B:$B,$A8,Responses!$C:$C,"Disagree")+COUNTIFS(Responses!$B:$B,$A8,Responses!$C:$C,"Strongly Disagree"))/COUNTIF(Responses!$B:$B,$A8),0)*100</f>
        <v>0</v>
      </c>
    </row>
    <row r="9" spans="1:5" x14ac:dyDescent="0.35">
      <c r="A9" s="14"/>
      <c r="B9" s="14" t="str">
        <f>IFERROR(ROUND(AVERAGEIFS(Responses!$F:$F,Responses!$B:$B,$A9),0),"")</f>
        <v/>
      </c>
      <c r="C9" s="42">
        <f>IFERROR(AVERAGEIFS(Responses!$G:$G,Responses!$B:$B,$A9),0)*100</f>
        <v>0</v>
      </c>
      <c r="D9" s="61">
        <f>IFERROR((COUNTIFS(Responses!$B:$B,$A9,Responses!$C:$C,"Disagree")+COUNTIFS(Responses!$B:$B,$A9,Responses!$C:$C,"Strongly Disagree"))/COUNTIF(Responses!$B:$B,$A9),0)*100</f>
        <v>0</v>
      </c>
    </row>
    <row r="10" spans="1:5" x14ac:dyDescent="0.35">
      <c r="A10" s="14"/>
      <c r="B10" s="14" t="str">
        <f>IFERROR(ROUND(AVERAGEIFS(Responses!$F:$F,Responses!$B:$B,$A10),0),"")</f>
        <v/>
      </c>
      <c r="C10" s="42">
        <f>IFERROR(AVERAGEIFS(Responses!$G:$G,Responses!$B:$B,$A10),0)*100</f>
        <v>0</v>
      </c>
      <c r="D10" s="61">
        <f>IFERROR((COUNTIFS(Responses!$B:$B,$A10,Responses!$C:$C,"Disagree")+COUNTIFS(Responses!$B:$B,$A10,Responses!$C:$C,"Strongly Disagree"))/COUNTIF(Responses!$B:$B,$A10),0)*100</f>
        <v>0</v>
      </c>
    </row>
    <row r="11" spans="1:5" x14ac:dyDescent="0.35">
      <c r="A11" s="14"/>
      <c r="B11" s="14" t="str">
        <f>IFERROR(ROUND(AVERAGEIFS(Responses!$F:$F,Responses!$B:$B,$A11),0),"")</f>
        <v/>
      </c>
      <c r="C11" s="42">
        <f>IFERROR(AVERAGEIFS(Responses!$G:$G,Responses!$B:$B,$A11),0)*100</f>
        <v>0</v>
      </c>
      <c r="D11" s="61">
        <f>IFERROR((COUNTIFS(Responses!$B:$B,$A11,Responses!$C:$C,"Disagree")+COUNTIFS(Responses!$B:$B,$A11,Responses!$C:$C,"Strongly Disagree"))/COUNTIF(Responses!$B:$B,$A11),0)*100</f>
        <v>0</v>
      </c>
    </row>
    <row r="12" spans="1:5" x14ac:dyDescent="0.35">
      <c r="A12" s="14"/>
      <c r="B12" s="14" t="str">
        <f>IFERROR(ROUND(AVERAGEIFS(Responses!$F:$F,Responses!$B:$B,$A12),0),"")</f>
        <v/>
      </c>
      <c r="C12" s="42">
        <f>IFERROR(AVERAGEIFS(Responses!$G:$G,Responses!$B:$B,$A12),0)*100</f>
        <v>0</v>
      </c>
      <c r="D12" s="61">
        <f>IFERROR((COUNTIFS(Responses!$B:$B,$A12,Responses!$C:$C,"Disagree")+COUNTIFS(Responses!$B:$B,$A12,Responses!$C:$C,"Strongly Disagree"))/COUNTIF(Responses!$B:$B,$A12),0)*100</f>
        <v>0</v>
      </c>
    </row>
    <row r="13" spans="1:5" x14ac:dyDescent="0.35">
      <c r="A13" s="14"/>
      <c r="B13" s="14" t="str">
        <f>IFERROR(ROUND(AVERAGEIFS(Responses!$F:$F,Responses!$B:$B,$A13),0),"")</f>
        <v/>
      </c>
      <c r="C13" s="42">
        <f>IFERROR(AVERAGEIFS(Responses!$G:$G,Responses!$B:$B,$A13),0)*100</f>
        <v>0</v>
      </c>
      <c r="D13" s="61">
        <f>IFERROR((COUNTIFS(Responses!$B:$B,$A13,Responses!$C:$C,"Disagree")+COUNTIFS(Responses!$B:$B,$A13,Responses!$C:$C,"Strongly Disagree"))/COUNTIF(Responses!$B:$B,$A13),0)*100</f>
        <v>0</v>
      </c>
    </row>
    <row r="14" spans="1:5" x14ac:dyDescent="0.35">
      <c r="A14" s="14"/>
      <c r="B14" s="14" t="str">
        <f>IFERROR(ROUND(AVERAGEIFS(Responses!$F:$F,Responses!$B:$B,$A14),0),"")</f>
        <v/>
      </c>
      <c r="C14" s="42">
        <f>IFERROR(AVERAGEIFS(Responses!$G:$G,Responses!$B:$B,$A14),0)*100</f>
        <v>0</v>
      </c>
      <c r="D14" s="61">
        <f>IFERROR((COUNTIFS(Responses!$B:$B,$A14,Responses!$C:$C,"Disagree")+COUNTIFS(Responses!$B:$B,$A14,Responses!$C:$C,"Strongly Disagree"))/COUNTIF(Responses!$B:$B,$A14),0)*100</f>
        <v>0</v>
      </c>
    </row>
    <row r="15" spans="1:5" x14ac:dyDescent="0.35">
      <c r="A15" s="14"/>
      <c r="B15" s="14" t="str">
        <f>IFERROR(ROUND(AVERAGEIFS(Responses!$F:$F,Responses!$B:$B,$A15),0),"")</f>
        <v/>
      </c>
      <c r="C15" s="42">
        <f>IFERROR(AVERAGEIFS(Responses!$G:$G,Responses!$B:$B,$A15),0)*100</f>
        <v>0</v>
      </c>
      <c r="D15" s="61">
        <f>IFERROR((COUNTIFS(Responses!$B:$B,$A15,Responses!$C:$C,"Disagree")+COUNTIFS(Responses!$B:$B,$A15,Responses!$C:$C,"Strongly Disagree"))/COUNTIF(Responses!$B:$B,$A15),0)*100</f>
        <v>0</v>
      </c>
    </row>
    <row r="16" spans="1:5" x14ac:dyDescent="0.35">
      <c r="A16" s="14"/>
      <c r="B16" s="14" t="str">
        <f>IFERROR(ROUND(AVERAGEIFS(Responses!$F:$F,Responses!$B:$B,$A16),0),"")</f>
        <v/>
      </c>
      <c r="C16" s="42">
        <f>IFERROR(AVERAGEIFS(Responses!$G:$G,Responses!$B:$B,$A16),0)*100</f>
        <v>0</v>
      </c>
      <c r="D16" s="61">
        <f>IFERROR((COUNTIFS(Responses!$B:$B,$A16,Responses!$C:$C,"Disagree")+COUNTIFS(Responses!$B:$B,$A16,Responses!$C:$C,"Strongly Disagree"))/COUNTIF(Responses!$B:$B,$A16),0)*100</f>
        <v>0</v>
      </c>
    </row>
    <row r="17" spans="1:4" x14ac:dyDescent="0.35">
      <c r="A17" s="14"/>
      <c r="B17" s="14" t="str">
        <f>IFERROR(ROUND(AVERAGEIFS(Responses!$F:$F,Responses!$B:$B,$A17),0),"")</f>
        <v/>
      </c>
      <c r="C17" s="42">
        <f>IFERROR(AVERAGEIFS(Responses!$G:$G,Responses!$B:$B,$A17),0)*100</f>
        <v>0</v>
      </c>
      <c r="D17" s="61">
        <f>IFERROR((COUNTIFS(Responses!$B:$B,$A17,Responses!$C:$C,"Disagree")+COUNTIFS(Responses!$B:$B,$A17,Responses!$C:$C,"Strongly Disagree"))/COUNTIF(Responses!$B:$B,$A17),0)*100</f>
        <v>0</v>
      </c>
    </row>
    <row r="18" spans="1:4" x14ac:dyDescent="0.35">
      <c r="A18" s="14"/>
      <c r="B18" s="14" t="str">
        <f>IFERROR(ROUND(AVERAGEIFS(Responses!$F:$F,Responses!$B:$B,$A18),0),"")</f>
        <v/>
      </c>
      <c r="C18" s="42">
        <f>IFERROR(AVERAGEIFS(Responses!$G:$G,Responses!$B:$B,$A18),0)*100</f>
        <v>0</v>
      </c>
      <c r="D18" s="61">
        <f>IFERROR((COUNTIFS(Responses!$B:$B,$A18,Responses!$C:$C,"Disagree")+COUNTIFS(Responses!$B:$B,$A18,Responses!$C:$C,"Strongly Disagree"))/COUNTIF(Responses!$B:$B,$A18),0)*100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E4B0-2E88-4836-B0F0-9C1A64E47FCC}">
  <dimension ref="A1:D57"/>
  <sheetViews>
    <sheetView zoomScale="75" workbookViewId="0">
      <selection activeCell="E1" sqref="E1:E1048576"/>
    </sheetView>
  </sheetViews>
  <sheetFormatPr defaultRowHeight="14.5" x14ac:dyDescent="0.35"/>
  <cols>
    <col min="1" max="1" width="27.81640625" customWidth="1"/>
    <col min="2" max="2" width="78.453125" customWidth="1"/>
    <col min="3" max="3" width="94.36328125" customWidth="1"/>
    <col min="4" max="4" width="43.90625" hidden="1" customWidth="1"/>
  </cols>
  <sheetData>
    <row r="1" spans="1:4" x14ac:dyDescent="0.35">
      <c r="A1" s="31" t="s">
        <v>1</v>
      </c>
      <c r="B1" s="31" t="s">
        <v>146</v>
      </c>
      <c r="C1" s="31" t="s">
        <v>147</v>
      </c>
      <c r="D1" s="31" t="s">
        <v>148</v>
      </c>
    </row>
    <row r="2" spans="1:4" x14ac:dyDescent="0.35">
      <c r="A2" t="s">
        <v>149</v>
      </c>
      <c r="B2" t="s">
        <v>150</v>
      </c>
      <c r="C2" t="s">
        <v>151</v>
      </c>
      <c r="D2" t="s">
        <v>152</v>
      </c>
    </row>
    <row r="3" spans="1:4" x14ac:dyDescent="0.35">
      <c r="A3" t="s">
        <v>149</v>
      </c>
      <c r="B3" t="s">
        <v>153</v>
      </c>
      <c r="C3" t="s">
        <v>154</v>
      </c>
      <c r="D3" t="s">
        <v>155</v>
      </c>
    </row>
    <row r="4" spans="1:4" x14ac:dyDescent="0.35">
      <c r="A4" t="s">
        <v>149</v>
      </c>
      <c r="B4" t="s">
        <v>156</v>
      </c>
      <c r="C4" t="s">
        <v>157</v>
      </c>
      <c r="D4" t="s">
        <v>158</v>
      </c>
    </row>
    <row r="5" spans="1:4" x14ac:dyDescent="0.35">
      <c r="A5" t="s">
        <v>8</v>
      </c>
      <c r="B5" t="s">
        <v>159</v>
      </c>
      <c r="C5" t="s">
        <v>160</v>
      </c>
      <c r="D5" t="s">
        <v>161</v>
      </c>
    </row>
    <row r="6" spans="1:4" x14ac:dyDescent="0.35">
      <c r="A6" t="s">
        <v>8</v>
      </c>
      <c r="B6" t="s">
        <v>162</v>
      </c>
      <c r="C6" t="s">
        <v>163</v>
      </c>
      <c r="D6" t="s">
        <v>164</v>
      </c>
    </row>
    <row r="7" spans="1:4" x14ac:dyDescent="0.35">
      <c r="A7" t="s">
        <v>8</v>
      </c>
      <c r="B7" t="s">
        <v>165</v>
      </c>
      <c r="C7" t="s">
        <v>166</v>
      </c>
      <c r="D7" t="s">
        <v>167</v>
      </c>
    </row>
    <row r="8" spans="1:4" x14ac:dyDescent="0.35">
      <c r="A8" t="s">
        <v>10</v>
      </c>
      <c r="B8" t="s">
        <v>168</v>
      </c>
      <c r="C8" t="s">
        <v>169</v>
      </c>
      <c r="D8" t="s">
        <v>170</v>
      </c>
    </row>
    <row r="9" spans="1:4" x14ac:dyDescent="0.35">
      <c r="A9" t="s">
        <v>10</v>
      </c>
      <c r="B9" t="s">
        <v>171</v>
      </c>
      <c r="C9" t="s">
        <v>172</v>
      </c>
      <c r="D9" t="s">
        <v>173</v>
      </c>
    </row>
    <row r="10" spans="1:4" x14ac:dyDescent="0.35">
      <c r="A10" t="s">
        <v>10</v>
      </c>
      <c r="B10" t="s">
        <v>174</v>
      </c>
      <c r="C10" t="s">
        <v>175</v>
      </c>
      <c r="D10" t="s">
        <v>161</v>
      </c>
    </row>
    <row r="11" spans="1:4" x14ac:dyDescent="0.35">
      <c r="A11" t="s">
        <v>3</v>
      </c>
      <c r="B11" t="s">
        <v>176</v>
      </c>
      <c r="C11" t="s">
        <v>177</v>
      </c>
      <c r="D11" t="s">
        <v>178</v>
      </c>
    </row>
    <row r="12" spans="1:4" x14ac:dyDescent="0.35">
      <c r="A12" t="s">
        <v>3</v>
      </c>
      <c r="B12" t="s">
        <v>179</v>
      </c>
      <c r="C12" t="s">
        <v>180</v>
      </c>
      <c r="D12" t="s">
        <v>181</v>
      </c>
    </row>
    <row r="13" spans="1:4" x14ac:dyDescent="0.35">
      <c r="A13" t="s">
        <v>3</v>
      </c>
      <c r="B13" t="s">
        <v>182</v>
      </c>
      <c r="C13" t="s">
        <v>183</v>
      </c>
      <c r="D13" t="s">
        <v>184</v>
      </c>
    </row>
    <row r="14" spans="1:4" x14ac:dyDescent="0.35">
      <c r="A14" t="s">
        <v>5</v>
      </c>
      <c r="B14" t="s">
        <v>185</v>
      </c>
      <c r="C14" t="s">
        <v>186</v>
      </c>
      <c r="D14" t="s">
        <v>187</v>
      </c>
    </row>
    <row r="15" spans="1:4" x14ac:dyDescent="0.35">
      <c r="A15" t="s">
        <v>5</v>
      </c>
      <c r="B15" t="s">
        <v>188</v>
      </c>
      <c r="C15" t="s">
        <v>189</v>
      </c>
      <c r="D15" t="s">
        <v>190</v>
      </c>
    </row>
    <row r="16" spans="1:4" x14ac:dyDescent="0.35">
      <c r="A16" t="s">
        <v>5</v>
      </c>
      <c r="B16" t="s">
        <v>191</v>
      </c>
      <c r="C16" t="s">
        <v>192</v>
      </c>
      <c r="D16" t="s">
        <v>193</v>
      </c>
    </row>
    <row r="17" spans="1:4" x14ac:dyDescent="0.35">
      <c r="A17" t="s">
        <v>7</v>
      </c>
      <c r="B17" t="s">
        <v>194</v>
      </c>
      <c r="C17" t="s">
        <v>195</v>
      </c>
      <c r="D17" t="s">
        <v>196</v>
      </c>
    </row>
    <row r="18" spans="1:4" x14ac:dyDescent="0.35">
      <c r="A18" t="s">
        <v>7</v>
      </c>
      <c r="B18" t="s">
        <v>197</v>
      </c>
      <c r="C18" t="s">
        <v>198</v>
      </c>
      <c r="D18" t="s">
        <v>187</v>
      </c>
    </row>
    <row r="19" spans="1:4" x14ac:dyDescent="0.35">
      <c r="A19" t="s">
        <v>7</v>
      </c>
      <c r="B19" t="s">
        <v>199</v>
      </c>
      <c r="C19" t="s">
        <v>200</v>
      </c>
      <c r="D19" t="s">
        <v>161</v>
      </c>
    </row>
    <row r="20" spans="1:4" x14ac:dyDescent="0.35">
      <c r="A20" t="s">
        <v>201</v>
      </c>
      <c r="B20" t="s">
        <v>202</v>
      </c>
      <c r="C20" t="s">
        <v>203</v>
      </c>
      <c r="D20" t="s">
        <v>204</v>
      </c>
    </row>
    <row r="21" spans="1:4" x14ac:dyDescent="0.35">
      <c r="A21" t="s">
        <v>201</v>
      </c>
      <c r="B21" t="s">
        <v>205</v>
      </c>
      <c r="C21" t="s">
        <v>206</v>
      </c>
      <c r="D21" t="s">
        <v>207</v>
      </c>
    </row>
    <row r="22" spans="1:4" x14ac:dyDescent="0.35">
      <c r="A22" t="s">
        <v>201</v>
      </c>
      <c r="B22" t="s">
        <v>208</v>
      </c>
      <c r="C22" t="s">
        <v>209</v>
      </c>
      <c r="D22" t="s">
        <v>210</v>
      </c>
    </row>
    <row r="23" spans="1:4" x14ac:dyDescent="0.35">
      <c r="A23" t="s">
        <v>9</v>
      </c>
      <c r="B23" t="s">
        <v>211</v>
      </c>
      <c r="C23" t="s">
        <v>212</v>
      </c>
      <c r="D23" t="s">
        <v>213</v>
      </c>
    </row>
    <row r="24" spans="1:4" x14ac:dyDescent="0.35">
      <c r="A24" t="s">
        <v>9</v>
      </c>
      <c r="B24" t="s">
        <v>214</v>
      </c>
      <c r="C24" t="s">
        <v>215</v>
      </c>
      <c r="D24" t="s">
        <v>216</v>
      </c>
    </row>
    <row r="25" spans="1:4" x14ac:dyDescent="0.35">
      <c r="A25" t="s">
        <v>9</v>
      </c>
      <c r="B25" t="s">
        <v>217</v>
      </c>
      <c r="C25" t="s">
        <v>218</v>
      </c>
      <c r="D25" t="s">
        <v>219</v>
      </c>
    </row>
    <row r="26" spans="1:4" x14ac:dyDescent="0.35">
      <c r="A26" t="s">
        <v>3</v>
      </c>
      <c r="B26" s="45" t="s">
        <v>294</v>
      </c>
      <c r="C26" s="45" t="s">
        <v>295</v>
      </c>
    </row>
    <row r="27" spans="1:4" x14ac:dyDescent="0.35">
      <c r="A27" t="s">
        <v>3</v>
      </c>
      <c r="B27" s="45" t="s">
        <v>296</v>
      </c>
      <c r="C27" s="45" t="s">
        <v>297</v>
      </c>
    </row>
    <row r="28" spans="1:4" x14ac:dyDescent="0.35">
      <c r="A28" t="s">
        <v>3</v>
      </c>
      <c r="B28" s="45" t="s">
        <v>298</v>
      </c>
      <c r="C28" s="45" t="s">
        <v>299</v>
      </c>
    </row>
    <row r="29" spans="1:4" x14ac:dyDescent="0.35">
      <c r="A29" t="s">
        <v>3</v>
      </c>
      <c r="B29" s="45" t="s">
        <v>300</v>
      </c>
      <c r="C29" s="45" t="s">
        <v>301</v>
      </c>
    </row>
    <row r="30" spans="1:4" ht="29" x14ac:dyDescent="0.35">
      <c r="A30" t="s">
        <v>10</v>
      </c>
      <c r="B30" s="45" t="s">
        <v>302</v>
      </c>
      <c r="C30" s="45" t="s">
        <v>303</v>
      </c>
    </row>
    <row r="31" spans="1:4" x14ac:dyDescent="0.35">
      <c r="A31" t="s">
        <v>10</v>
      </c>
      <c r="B31" s="45" t="s">
        <v>304</v>
      </c>
      <c r="C31" s="45" t="s">
        <v>305</v>
      </c>
    </row>
    <row r="32" spans="1:4" x14ac:dyDescent="0.35">
      <c r="A32" t="s">
        <v>10</v>
      </c>
      <c r="B32" s="45" t="s">
        <v>306</v>
      </c>
      <c r="C32" s="45" t="s">
        <v>307</v>
      </c>
    </row>
    <row r="33" spans="1:3" x14ac:dyDescent="0.35">
      <c r="A33" t="s">
        <v>10</v>
      </c>
      <c r="B33" s="45" t="s">
        <v>308</v>
      </c>
      <c r="C33" s="45" t="s">
        <v>309</v>
      </c>
    </row>
    <row r="34" spans="1:3" x14ac:dyDescent="0.35">
      <c r="A34" t="s">
        <v>7</v>
      </c>
      <c r="B34" s="45" t="s">
        <v>310</v>
      </c>
      <c r="C34" s="45" t="s">
        <v>311</v>
      </c>
    </row>
    <row r="35" spans="1:3" x14ac:dyDescent="0.35">
      <c r="A35" t="s">
        <v>7</v>
      </c>
      <c r="B35" s="45" t="s">
        <v>312</v>
      </c>
      <c r="C35" s="45" t="s">
        <v>313</v>
      </c>
    </row>
    <row r="36" spans="1:3" x14ac:dyDescent="0.35">
      <c r="A36" t="s">
        <v>7</v>
      </c>
      <c r="B36" s="45" t="s">
        <v>314</v>
      </c>
      <c r="C36" s="45" t="s">
        <v>315</v>
      </c>
    </row>
    <row r="37" spans="1:3" x14ac:dyDescent="0.35">
      <c r="A37" t="s">
        <v>7</v>
      </c>
      <c r="B37" s="45" t="s">
        <v>316</v>
      </c>
      <c r="C37" s="45" t="s">
        <v>317</v>
      </c>
    </row>
    <row r="38" spans="1:3" x14ac:dyDescent="0.35">
      <c r="A38" t="s">
        <v>9</v>
      </c>
      <c r="B38" s="45" t="s">
        <v>318</v>
      </c>
      <c r="C38" s="45" t="s">
        <v>319</v>
      </c>
    </row>
    <row r="39" spans="1:3" x14ac:dyDescent="0.35">
      <c r="A39" t="s">
        <v>9</v>
      </c>
      <c r="B39" s="45" t="s">
        <v>320</v>
      </c>
      <c r="C39" s="45" t="s">
        <v>321</v>
      </c>
    </row>
    <row r="40" spans="1:3" x14ac:dyDescent="0.35">
      <c r="A40" t="s">
        <v>9</v>
      </c>
      <c r="B40" s="45" t="s">
        <v>322</v>
      </c>
      <c r="C40" s="45" t="s">
        <v>323</v>
      </c>
    </row>
    <row r="41" spans="1:3" x14ac:dyDescent="0.35">
      <c r="A41" t="s">
        <v>9</v>
      </c>
      <c r="B41" s="45" t="s">
        <v>324</v>
      </c>
      <c r="C41" s="45" t="s">
        <v>325</v>
      </c>
    </row>
    <row r="42" spans="1:3" ht="29" x14ac:dyDescent="0.35">
      <c r="A42" t="s">
        <v>117</v>
      </c>
      <c r="B42" s="45" t="s">
        <v>326</v>
      </c>
      <c r="C42" s="45" t="s">
        <v>327</v>
      </c>
    </row>
    <row r="43" spans="1:3" ht="29" x14ac:dyDescent="0.35">
      <c r="A43" t="s">
        <v>117</v>
      </c>
      <c r="B43" s="45" t="s">
        <v>328</v>
      </c>
      <c r="C43" s="45" t="s">
        <v>329</v>
      </c>
    </row>
    <row r="44" spans="1:3" x14ac:dyDescent="0.35">
      <c r="A44" t="s">
        <v>117</v>
      </c>
      <c r="B44" s="45" t="s">
        <v>330</v>
      </c>
      <c r="C44" s="45" t="s">
        <v>331</v>
      </c>
    </row>
    <row r="45" spans="1:3" x14ac:dyDescent="0.35">
      <c r="A45" t="s">
        <v>117</v>
      </c>
      <c r="B45" s="45" t="s">
        <v>332</v>
      </c>
      <c r="C45" s="45" t="s">
        <v>333</v>
      </c>
    </row>
    <row r="46" spans="1:3" x14ac:dyDescent="0.35">
      <c r="A46" t="s">
        <v>5</v>
      </c>
      <c r="B46" s="45" t="s">
        <v>334</v>
      </c>
      <c r="C46" s="45" t="s">
        <v>335</v>
      </c>
    </row>
    <row r="47" spans="1:3" x14ac:dyDescent="0.35">
      <c r="A47" t="s">
        <v>5</v>
      </c>
      <c r="B47" s="45" t="s">
        <v>336</v>
      </c>
      <c r="C47" s="45" t="s">
        <v>337</v>
      </c>
    </row>
    <row r="48" spans="1:3" x14ac:dyDescent="0.35">
      <c r="A48" t="s">
        <v>5</v>
      </c>
      <c r="B48" s="45" t="s">
        <v>338</v>
      </c>
      <c r="C48" s="45" t="s">
        <v>339</v>
      </c>
    </row>
    <row r="49" spans="1:3" x14ac:dyDescent="0.35">
      <c r="A49" t="s">
        <v>5</v>
      </c>
      <c r="B49" s="45" t="s">
        <v>340</v>
      </c>
      <c r="C49" s="45" t="s">
        <v>341</v>
      </c>
    </row>
    <row r="50" spans="1:3" x14ac:dyDescent="0.35">
      <c r="A50" t="s">
        <v>201</v>
      </c>
      <c r="B50" s="45" t="s">
        <v>342</v>
      </c>
      <c r="C50" s="45" t="s">
        <v>343</v>
      </c>
    </row>
    <row r="51" spans="1:3" x14ac:dyDescent="0.35">
      <c r="A51" t="s">
        <v>201</v>
      </c>
      <c r="B51" s="45" t="s">
        <v>344</v>
      </c>
      <c r="C51" s="45" t="s">
        <v>345</v>
      </c>
    </row>
    <row r="52" spans="1:3" x14ac:dyDescent="0.35">
      <c r="A52" t="s">
        <v>201</v>
      </c>
      <c r="B52" s="45" t="s">
        <v>346</v>
      </c>
      <c r="C52" s="45" t="s">
        <v>347</v>
      </c>
    </row>
    <row r="53" spans="1:3" x14ac:dyDescent="0.35">
      <c r="A53" t="s">
        <v>201</v>
      </c>
      <c r="B53" s="45" t="s">
        <v>348</v>
      </c>
      <c r="C53" s="45" t="s">
        <v>349</v>
      </c>
    </row>
    <row r="54" spans="1:3" x14ac:dyDescent="0.35">
      <c r="A54" t="s">
        <v>8</v>
      </c>
      <c r="B54" s="45" t="s">
        <v>350</v>
      </c>
      <c r="C54" s="45" t="s">
        <v>351</v>
      </c>
    </row>
    <row r="55" spans="1:3" x14ac:dyDescent="0.35">
      <c r="A55" t="s">
        <v>8</v>
      </c>
      <c r="B55" s="45" t="s">
        <v>352</v>
      </c>
      <c r="C55" s="45" t="s">
        <v>353</v>
      </c>
    </row>
    <row r="56" spans="1:3" x14ac:dyDescent="0.35">
      <c r="A56" t="s">
        <v>8</v>
      </c>
      <c r="B56" s="45" t="s">
        <v>354</v>
      </c>
      <c r="C56" s="45" t="s">
        <v>355</v>
      </c>
    </row>
    <row r="57" spans="1:3" x14ac:dyDescent="0.35">
      <c r="A57" t="s">
        <v>8</v>
      </c>
      <c r="B57" s="45" t="s">
        <v>356</v>
      </c>
      <c r="C57" s="45" t="s">
        <v>357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1FDD-A124-470A-BF06-6231E15D0C72}">
  <dimension ref="A1:E56"/>
  <sheetViews>
    <sheetView zoomScale="69" workbookViewId="0">
      <selection activeCell="F1" sqref="F1:F1048576"/>
    </sheetView>
  </sheetViews>
  <sheetFormatPr defaultRowHeight="14.5" x14ac:dyDescent="0.35"/>
  <cols>
    <col min="1" max="1" width="22.1796875" customWidth="1"/>
    <col min="2" max="2" width="10.36328125" customWidth="1"/>
    <col min="3" max="3" width="12.1796875" customWidth="1"/>
    <col min="4" max="4" width="58.90625" customWidth="1"/>
    <col min="5" max="5" width="103.1796875" customWidth="1"/>
  </cols>
  <sheetData>
    <row r="1" spans="1:5" ht="15" thickBot="1" x14ac:dyDescent="0.4">
      <c r="A1" s="53" t="s">
        <v>1</v>
      </c>
      <c r="B1" s="54" t="s">
        <v>358</v>
      </c>
      <c r="C1" s="54" t="s">
        <v>83</v>
      </c>
      <c r="D1" s="54" t="s">
        <v>146</v>
      </c>
      <c r="E1" s="54" t="s">
        <v>147</v>
      </c>
    </row>
    <row r="2" spans="1:5" ht="15" thickTop="1" x14ac:dyDescent="0.35">
      <c r="A2" s="55" t="s">
        <v>0</v>
      </c>
      <c r="B2" s="56">
        <f>VLOOKUP($A2,'SOFT CONTROL SCORECARD'!$A:$F,3,FALSE)</f>
        <v>75</v>
      </c>
      <c r="C2" s="56" t="str">
        <f>VLOOKUP($A2,'SOFT CONTROL SCORECARD'!$A:$F,6,FALSE)</f>
        <v>Medium</v>
      </c>
      <c r="D2" s="56" t="str" cm="1">
        <f t="array" ref="D2:D8">IF(OR($C2="Low",$C2="Medium"),_xlfn._xlws.FILTER(Recommendations!$B:$B,Recommendations!$A:$A=$A2),"No Recommendations – High Score")</f>
        <v>Leaders share real examples of tough choices and lessons.</v>
      </c>
      <c r="E2" s="14" t="str" cm="1">
        <f t="array" ref="E2:E8">IF(OR($C2="Low",$C2="Medium"),_xlfn._xlws.FILTER(Recommendations!$C:$C,Recommendations!$A:$A=$A2),"")</f>
        <v>10‑min segment at staff meetings or a short video; focus on what changed after mistakes.</v>
      </c>
    </row>
    <row r="3" spans="1:5" x14ac:dyDescent="0.35">
      <c r="A3" s="57"/>
      <c r="B3" s="28"/>
      <c r="C3" s="28"/>
      <c r="D3" s="28" t="str">
        <v>Let selected employees observe key meetings and debrief behaviours.</v>
      </c>
      <c r="E3" s="58" t="str">
        <v>1 meeting/month; 15‑min debrief on listening, respect, and inviting challenge.</v>
      </c>
    </row>
    <row r="4" spans="1:5" x14ac:dyDescent="0.35">
      <c r="A4" s="51"/>
      <c r="B4" s="52"/>
      <c r="C4" s="52"/>
      <c r="D4" s="52" t="str">
        <v>Provide simple 360° behaviour feedback to leaders.</v>
      </c>
      <c r="E4" s="14" t="str">
        <v>5–7 questions on listening, inclusion, inviting challenge; agree 2–3 actions.</v>
      </c>
    </row>
    <row r="5" spans="1:5" x14ac:dyDescent="0.35">
      <c r="A5" s="51"/>
      <c r="B5" s="52"/>
      <c r="C5" s="52"/>
      <c r="D5" s="52" t="str">
        <v>Start monthly ‘Leader Reality Checks’.</v>
      </c>
      <c r="E5" s="14" t="str">
        <v>Leaders visit one team (virtual/on‑site) for 20 min; ask 3 fixed questions; share learnings.</v>
      </c>
    </row>
    <row r="6" spans="1:5" x14ac:dyDescent="0.35">
      <c r="A6" s="51"/>
      <c r="B6" s="52"/>
      <c r="C6" s="52"/>
      <c r="D6" s="52" t="str">
        <v>Introduce ‘Show Your Work’ leadership notes.</v>
      </c>
      <c r="E6" s="14" t="str">
        <v>Leaders publish short notes after key decisions showing risks considered and trade‑offs.</v>
      </c>
    </row>
    <row r="7" spans="1:5" x14ac:dyDescent="0.35">
      <c r="A7" s="51"/>
      <c r="B7" s="52"/>
      <c r="C7" s="52"/>
      <c r="D7" s="52" t="str">
        <v>Set up a rotating leader Q&amp;A carousel.</v>
      </c>
      <c r="E7" s="14" t="str">
        <v>Each month a different leader hosts a 15‑min open Q&amp;A; anonymous submissions.</v>
      </c>
    </row>
    <row r="8" spans="1:5" x14ac:dyDescent="0.35">
      <c r="A8" s="57"/>
      <c r="B8" s="28"/>
      <c r="C8" s="28"/>
      <c r="D8" s="28" t="str">
        <v>Embed values moments in leader briefings.</v>
      </c>
      <c r="E8" s="28" t="str">
        <v>Leaders open each briefing with a 1‑minute story of a value demonstrated internally.</v>
      </c>
    </row>
    <row r="9" spans="1:5" x14ac:dyDescent="0.35">
      <c r="A9" s="57" t="s">
        <v>117</v>
      </c>
      <c r="B9" s="28">
        <f>VLOOKUP($A9,'SOFT CONTROL SCORECARD'!$A:$F,3,FALSE)</f>
        <v>78</v>
      </c>
      <c r="C9" s="28" t="str">
        <f>VLOOKUP($A9,'SOFT CONTROL SCORECARD'!$A:$F,6,FALSE)</f>
        <v>Medium</v>
      </c>
      <c r="D9" s="28" t="str" cm="1">
        <f t="array" ref="D9:D12">IF(OR($C9="Low",$C9="Medium"),_xlfn._xlws.FILTER(Recommendations!$B:$B,Recommendations!$A:$A=$A9),"No Recommendations – High Score")</f>
        <v>Start weekly ‘5‑Minute Clarity Checks’.</v>
      </c>
      <c r="E9" s="28" t="str" cm="1">
        <f t="array" ref="E9:E12">IF(OR($C9="Low",$C9="Medium"),_xlfn._xlws.FILTER(Recommendations!$C:$C,Recommendations!$A:$A=$A9),"")</f>
        <v>Managers ask 2 fixed prompts: ‘What’s unclear?’ and ‘Where did we hesitate last week?’; note 1 action and share in team chat.</v>
      </c>
    </row>
    <row r="10" spans="1:5" x14ac:dyDescent="0.35">
      <c r="A10" s="51"/>
      <c r="B10" s="52"/>
      <c r="C10" s="52"/>
      <c r="D10" s="52" t="str">
        <v>Introduce ‘anonymous dilemma slips’ in team meetings.</v>
      </c>
      <c r="E10" s="52" t="str">
        <v>Set up a quick QR form; manager picks 1 dilemma each week and explains how it would be handled; share guidance note.</v>
      </c>
    </row>
    <row r="11" spans="1:5" x14ac:dyDescent="0.35">
      <c r="A11" s="57"/>
      <c r="B11" s="28"/>
      <c r="C11" s="28"/>
      <c r="D11" s="28" t="str">
        <v>Run cross‑function mini‑panels every month.</v>
      </c>
      <c r="E11" s="28" t="str">
        <v>Bring 3 functions for a 20‑minute rapid‑fire Q&amp;A on risk/ethics; record takeaways and distribute.</v>
      </c>
    </row>
    <row r="12" spans="1:5" x14ac:dyDescent="0.35">
      <c r="A12" s="51"/>
      <c r="B12" s="52"/>
      <c r="C12" s="52"/>
      <c r="D12" s="52" t="str">
        <v>Launch ‘What Would You Do?’ shorts.</v>
      </c>
      <c r="E12" s="52" t="str">
        <v>Upload a 60‑second case video bi‑weekly; employees vote on options; publish the correct escalation path.</v>
      </c>
    </row>
    <row r="13" spans="1:5" x14ac:dyDescent="0.35">
      <c r="A13" s="57"/>
      <c r="B13" s="28"/>
      <c r="C13" s="28"/>
      <c r="D13" s="28"/>
      <c r="E13" s="28"/>
    </row>
    <row r="14" spans="1:5" x14ac:dyDescent="0.35">
      <c r="A14" s="51" t="s">
        <v>3</v>
      </c>
      <c r="B14" s="52">
        <f>VLOOKUP($A14,'SOFT CONTROL SCORECARD'!$A:$F,3,FALSE)</f>
        <v>72</v>
      </c>
      <c r="C14" s="52" t="str">
        <f>VLOOKUP($A14,'SOFT CONTROL SCORECARD'!$A:$F,6,FALSE)</f>
        <v>Medium</v>
      </c>
      <c r="D14" s="52" t="str" cm="1">
        <f t="array" ref="D14:D20">IF(OR($C14="Low",$C14="Medium"),_xlfn._xlws.FILTER(Recommendations!$B:$B,Recommendations!$A:$A=$A14),"No Recommendations – High Score")</f>
        <v>Review targets to ensure they are realistic.</v>
      </c>
      <c r="E14" s="52" t="str" cm="1">
        <f t="array" ref="E14:E20">IF(OR($C14="Low",$C14="Medium"),_xlfn._xlws.FILTER(Recommendations!$C:$C,Recommendations!$A:$A=$A14),"")</f>
        <v>Check workload, skills, resources; adjust targets or add support.</v>
      </c>
    </row>
    <row r="15" spans="1:5" x14ac:dyDescent="0.35">
      <c r="A15" s="57"/>
      <c r="B15" s="28"/>
      <c r="C15" s="28"/>
      <c r="D15" s="28" t="str">
        <v>Map workloads every two months to spot overload.</v>
      </c>
      <c r="E15" s="28" t="str">
        <v>Simple RAG per person/team; drop, delay, or reassign low‑priority work.</v>
      </c>
    </row>
    <row r="16" spans="1:5" x14ac:dyDescent="0.35">
      <c r="A16" s="51"/>
      <c r="B16" s="52"/>
      <c r="C16" s="52"/>
      <c r="D16" s="52" t="str">
        <v>Add a short ‘pressure check’ to performance conversations.</v>
      </c>
      <c r="E16" s="52" t="str">
        <v>Ask about blockers, deadlines, support needed; note 1–2 actions.</v>
      </c>
    </row>
    <row r="17" spans="1:5" x14ac:dyDescent="0.35">
      <c r="A17" s="57"/>
      <c r="B17" s="28"/>
      <c r="C17" s="28"/>
      <c r="D17" s="28" t="str">
        <v>Start ‘Workload Forecast Fridays’.</v>
      </c>
      <c r="E17" s="28" t="str">
        <v>Team predicts next week’s workload with R/Y/G tags; manager reallocates tasks as needed.</v>
      </c>
    </row>
    <row r="18" spans="1:5" x14ac:dyDescent="0.35">
      <c r="A18" s="57"/>
      <c r="B18" s="28"/>
      <c r="C18" s="28"/>
      <c r="D18" s="28" t="str">
        <v>Build a 30‑day skill booster for weak areas.</v>
      </c>
      <c r="E18" s="28" t="str">
        <v>L&amp;D creates bite‑sized training for the 2 most common skill gaps; track completion and application.</v>
      </c>
    </row>
    <row r="19" spans="1:5" x14ac:dyDescent="0.35">
      <c r="A19" s="57"/>
      <c r="B19" s="28"/>
      <c r="C19" s="28"/>
      <c r="D19" s="28" t="str">
        <v>Introduce ‘Priority Swap Logs’.</v>
      </c>
      <c r="E19" s="28" t="str">
        <v>When a new task arrives, list which lower‑priority task will pause; share weekly.</v>
      </c>
    </row>
    <row r="20" spans="1:5" x14ac:dyDescent="0.35">
      <c r="A20" s="51"/>
      <c r="B20" s="52"/>
      <c r="C20" s="52"/>
      <c r="D20" s="52" t="str">
        <v>Create a monthly resourcing checkpoint.</v>
      </c>
      <c r="E20" s="52" t="str">
        <v>BU reviews capacity, backlog, and blockers with HR; temporarily redistribute resources.</v>
      </c>
    </row>
    <row r="21" spans="1:5" x14ac:dyDescent="0.35">
      <c r="A21" s="57" t="s">
        <v>5</v>
      </c>
      <c r="B21" s="28">
        <f>VLOOKUP($A21,'SOFT CONTROL SCORECARD'!$A:$F,3,FALSE)</f>
        <v>75</v>
      </c>
      <c r="C21" s="28" t="str">
        <f>VLOOKUP($A21,'SOFT CONTROL SCORECARD'!$A:$F,6,FALSE)</f>
        <v>Medium</v>
      </c>
      <c r="D21" s="28" t="str" cm="1">
        <f t="array" ref="D21:D27">IF(OR($C21="Low",$C21="Medium"),_xlfn._xlws.FILTER(Recommendations!$B:$B,Recommendations!$A:$A=$A21),"No Recommendations – High Score")</f>
        <v>Publish how misconduct or rule‑breaking is handled consistently.</v>
      </c>
      <c r="E21" s="28" t="str" cm="1">
        <f t="array" ref="E21:E27">IF(OR($C21="Low",$C21="Medium"),_xlfn._xlws.FILTER(Recommendations!$C:$C,Recommendations!$A:$A=$A21),"")</f>
        <v>Steps, roles, timelines, and example outcomes apply equally to all levels.</v>
      </c>
    </row>
    <row r="22" spans="1:5" x14ac:dyDescent="0.35">
      <c r="A22" s="51"/>
      <c r="B22" s="52"/>
      <c r="C22" s="52"/>
      <c r="D22" s="52" t="str">
        <v>Create a small network of trained ethics helpers.</v>
      </c>
      <c r="E22" s="52" t="str">
        <v>1–2 per BU who can explain policies and direct people to the right channel.</v>
      </c>
    </row>
    <row r="23" spans="1:5" x14ac:dyDescent="0.35">
      <c r="A23" s="57"/>
      <c r="B23" s="28"/>
      <c r="C23" s="28"/>
      <c r="D23" s="28" t="str">
        <v>Send status updates to people who report concerns.</v>
      </c>
      <c r="E23" s="28" t="str">
        <v>Acknowledge receipt; share process and timelines; confirm closure (no sensitive details).</v>
      </c>
    </row>
    <row r="24" spans="1:5" x14ac:dyDescent="0.35">
      <c r="A24" s="57"/>
      <c r="B24" s="28"/>
      <c r="C24" s="28"/>
      <c r="D24" s="28" t="str">
        <v>Publish an internal ‘Consistent Consequences Grid’.</v>
      </c>
      <c r="E24" s="28" t="str">
        <v>Map behaviours to actions; share anonymized examples quarterly.</v>
      </c>
    </row>
    <row r="25" spans="1:5" x14ac:dyDescent="0.35">
      <c r="A25" s="51"/>
      <c r="B25" s="52"/>
      <c r="C25" s="52"/>
      <c r="D25" s="52" t="str">
        <v>Launch ‘Check‑in after closure’ protocol.</v>
      </c>
      <c r="E25" s="52" t="str">
        <v>After each resolved case, manager explains process (no names) and controls strengthened.</v>
      </c>
    </row>
    <row r="26" spans="1:5" x14ac:dyDescent="0.35">
      <c r="A26" s="51"/>
      <c r="B26" s="52"/>
      <c r="C26" s="52"/>
      <c r="D26" s="52" t="str">
        <v>Add SLA timers for case handling.</v>
      </c>
      <c r="E26" s="52" t="str">
        <v>Case system alerts when steps exceed defined timelines; monthly review for delays.</v>
      </c>
    </row>
    <row r="27" spans="1:5" x14ac:dyDescent="0.35">
      <c r="A27" s="57"/>
      <c r="B27" s="28"/>
      <c r="C27" s="28"/>
      <c r="D27" s="28" t="str">
        <v>Run a monthly enforcement alignment huddle.</v>
      </c>
      <c r="E27" s="28" t="str">
        <v>HR + Compliance review 3–4 recent cases to ensure decisions are consistent across functions.</v>
      </c>
    </row>
    <row r="28" spans="1:5" x14ac:dyDescent="0.35">
      <c r="A28" s="51" t="s">
        <v>7</v>
      </c>
      <c r="B28" s="52">
        <f>VLOOKUP($A28,'SOFT CONTROL SCORECARD'!$A:$F,3,FALSE)</f>
        <v>75</v>
      </c>
      <c r="C28" s="52" t="str">
        <f>VLOOKUP($A28,'SOFT CONTROL SCORECARD'!$A:$F,6,FALSE)</f>
        <v>Medium</v>
      </c>
      <c r="D28" s="52" t="str" cm="1">
        <f t="array" ref="D28:D34">IF(OR($C28="Low",$C28="Medium"),_xlfn._xlws.FILTER(Recommendations!$B:$B,Recommendations!$A:$A=$A28),"No Recommendations – High Score")</f>
        <v>Run team sessions to clarify who does what.</v>
      </c>
      <c r="E28" s="52" t="str" cm="1">
        <f t="array" ref="E28:E34">IF(OR($C28="Low",$C28="Medium"),_xlfn._xlws.FILTER(Recommendations!$C:$C,Recommendations!$A:$A=$A28),"")</f>
        <v>Create a simple responsibility map (RACI) and agree on handoffs.</v>
      </c>
    </row>
    <row r="29" spans="1:5" x14ac:dyDescent="0.35">
      <c r="A29" s="57"/>
      <c r="B29" s="28"/>
      <c r="C29" s="28"/>
      <c r="D29" s="28" t="str">
        <v>Publish a short guide on how common decisions are made.</v>
      </c>
      <c r="E29" s="28" t="str">
        <v>Who decides, inputs needed, timelines, and appeal/escalation path.</v>
      </c>
    </row>
    <row r="30" spans="1:5" x14ac:dyDescent="0.35">
      <c r="A30" s="51"/>
      <c r="B30" s="52"/>
      <c r="C30" s="52"/>
      <c r="D30" s="52" t="str">
        <v>Hold a monthly ‘ask anything’ hour with department heads.</v>
      </c>
      <c r="E30" s="52" t="str">
        <v>45‑min session; allow anonymous questions; post a written summary.</v>
      </c>
    </row>
    <row r="31" spans="1:5" x14ac:dyDescent="0.35">
      <c r="A31" s="51"/>
      <c r="B31" s="52"/>
      <c r="C31" s="52"/>
      <c r="D31" s="52" t="str">
        <v>Publish ‘Role Boundaries Cheat Sheets’.</v>
      </c>
      <c r="E31" s="52" t="str">
        <v>One‑pager per role listing 5 decisions they can make and 5 they cannot; share yearly.</v>
      </c>
    </row>
    <row r="32" spans="1:5" x14ac:dyDescent="0.35">
      <c r="A32" s="51"/>
      <c r="B32" s="52"/>
      <c r="C32" s="52"/>
      <c r="D32" s="52" t="str">
        <v>Use ‘Fast FAQs’ for any new process.</v>
      </c>
      <c r="E32" s="52" t="str">
        <v>On launch, publish 5 FAQs + 5 Do’s/Don’ts; share in team chats.</v>
      </c>
    </row>
    <row r="33" spans="1:5" x14ac:dyDescent="0.35">
      <c r="A33" s="57"/>
      <c r="B33" s="28"/>
      <c r="C33" s="28"/>
      <c r="D33" s="28" t="str">
        <v>Standardize ‘Before you start’ checklists.</v>
      </c>
      <c r="E33" s="28" t="str">
        <v>Each process owner provides a quick checklist to verify prerequisites.</v>
      </c>
    </row>
    <row r="34" spans="1:5" x14ac:dyDescent="0.35">
      <c r="A34" s="51"/>
      <c r="B34" s="52"/>
      <c r="C34" s="52"/>
      <c r="D34" s="52" t="str">
        <v>Create cross‑BU walkthrough recordings.</v>
      </c>
      <c r="E34" s="52" t="str">
        <v>10‑minute videos explaining steps, common confusions, and contacts; host on intranet.</v>
      </c>
    </row>
    <row r="35" spans="1:5" x14ac:dyDescent="0.35">
      <c r="A35" s="57" t="s">
        <v>8</v>
      </c>
      <c r="B35" s="28">
        <f>VLOOKUP($A35,'SOFT CONTROL SCORECARD'!$A:$F,3,FALSE)</f>
        <v>75</v>
      </c>
      <c r="C35" s="28" t="str">
        <f>VLOOKUP($A35,'SOFT CONTROL SCORECARD'!$A:$F,6,FALSE)</f>
        <v>Medium</v>
      </c>
      <c r="D35" s="28" t="str" cm="1">
        <f t="array" ref="D35:D41">IF(OR($C35="Low",$C35="Medium"),_xlfn._xlws.FILTER(Recommendations!$B:$B,Recommendations!$A:$A=$A35),"No Recommendations – High Score")</f>
        <v>Share a monthly ‘You said, we did’ update.</v>
      </c>
      <c r="E35" s="28" t="str" cm="1">
        <f t="array" ref="E35:E41">IF(OR($C35="Low",$C35="Medium"),_xlfn._xlws.FILTER(Recommendations!$C:$C,Recommendations!$A:$A=$A35),"")</f>
        <v>5‑bullet intranet/email note listing issues raised, actions taken, and any constraints.</v>
      </c>
    </row>
    <row r="36" spans="1:5" x14ac:dyDescent="0.35">
      <c r="A36" s="51"/>
      <c r="B36" s="52"/>
      <c r="C36" s="52"/>
      <c r="D36" s="52" t="str">
        <v>Publish answers to common employee questions.</v>
      </c>
      <c r="E36" s="52" t="str">
        <v>Collect questions (anonymous allowed), group them, and post clear answers in one place.</v>
      </c>
    </row>
    <row r="37" spans="1:5" x14ac:dyDescent="0.35">
      <c r="A37" s="57"/>
      <c r="B37" s="28"/>
      <c r="C37" s="28"/>
      <c r="D37" s="28" t="str">
        <v>Share short, visual guides for confusing processes.</v>
      </c>
      <c r="E37" s="28" t="str">
        <v>1‑page flows for incident handling, promotions, and workload planning; include contacts.</v>
      </c>
    </row>
    <row r="38" spans="1:5" x14ac:dyDescent="0.35">
      <c r="A38" s="51"/>
      <c r="B38" s="52"/>
      <c r="C38" s="52"/>
      <c r="D38" s="52" t="str">
        <v>Publish ‘This Month in Decisions’ micro‑updates.</v>
      </c>
      <c r="E38" s="52" t="str">
        <v>Bullet 5 key decisions (no names); add what changed for teams and link to updated docs.</v>
      </c>
    </row>
    <row r="39" spans="1:5" x14ac:dyDescent="0.35">
      <c r="A39" s="51"/>
      <c r="B39" s="52"/>
      <c r="C39" s="52"/>
      <c r="D39" s="52" t="str">
        <v>Create a simple ‘policy‑on‑a‑page’ hub.</v>
      </c>
      <c r="E39" s="52" t="str">
        <v>Convert key policies into 1‑page visuals; upload and tag; notify teams of monthly additions.</v>
      </c>
    </row>
    <row r="40" spans="1:5" x14ac:dyDescent="0.35">
      <c r="A40" s="51"/>
      <c r="B40" s="52"/>
      <c r="C40" s="52"/>
      <c r="D40" s="52" t="str">
        <v>Add quarterly ‘Open Data Hour’ sessions.</v>
      </c>
      <c r="E40" s="52" t="str">
        <v>BI team walks employees through dashboards (risks, trends, SLA metrics); take Q&amp;A and publish summary.</v>
      </c>
    </row>
    <row r="41" spans="1:5" x14ac:dyDescent="0.35">
      <c r="A41" s="57"/>
      <c r="B41" s="28"/>
      <c r="C41" s="28"/>
      <c r="D41" s="28" t="str">
        <v>Introduce ‘Why we changed this’ tags.</v>
      </c>
      <c r="E41" s="28" t="str">
        <v>Add a one‑line reason on each new process/policy update; keep it visible on the page.</v>
      </c>
    </row>
    <row r="42" spans="1:5" x14ac:dyDescent="0.35">
      <c r="A42" s="51" t="s">
        <v>9</v>
      </c>
      <c r="B42" s="52">
        <f>VLOOKUP($A42,'SOFT CONTROL SCORECARD'!$A:$F,3,FALSE)</f>
        <v>74</v>
      </c>
      <c r="C42" s="52" t="str">
        <f>VLOOKUP($A42,'SOFT CONTROL SCORECARD'!$A:$F,6,FALSE)</f>
        <v>Medium</v>
      </c>
      <c r="D42" s="52" t="str" cm="1">
        <f t="array" ref="D42:D48">IF(OR($C42="Low",$C42="Medium"),_xlfn._xlws.FILTER(Recommendations!$B:$B,Recommendations!$A:$A=$A42),"No Recommendations – High Score")</f>
        <v>Publish a 6‑month culture plan with 3–5 actions and owners.</v>
      </c>
      <c r="E42" s="52" t="str" cm="1">
        <f t="array" ref="E42:E48">IF(OR($C42="Low",$C42="Medium"),_xlfn._xlws.FILTER(Recommendations!$C:$C,Recommendations!$A:$A=$A42),"")</f>
        <v>Define milestones; review progress at the executive meeting each month.</v>
      </c>
    </row>
    <row r="43" spans="1:5" x14ac:dyDescent="0.35">
      <c r="A43" s="57"/>
      <c r="B43" s="28"/>
      <c r="C43" s="28"/>
      <c r="D43" s="28" t="str">
        <v>Nominate culture champions across functions to keep actions moving.</v>
      </c>
      <c r="E43" s="28" t="str">
        <v>One‑page role; collect feedback; surface risks; share quick wins.</v>
      </c>
    </row>
    <row r="44" spans="1:5" x14ac:dyDescent="0.35">
      <c r="A44" s="51"/>
      <c r="B44" s="52"/>
      <c r="C44" s="52"/>
      <c r="D44" s="52" t="str">
        <v>Add culture metrics to leader scorecards and reviews.</v>
      </c>
      <c r="E44" s="52" t="str">
        <v>Track speak‑up usage, leader‑employee gap, and sentiment trend each quarter.</v>
      </c>
    </row>
    <row r="45" spans="1:5" x14ac:dyDescent="0.35">
      <c r="A45" s="57"/>
      <c r="B45" s="28"/>
      <c r="C45" s="28"/>
      <c r="D45" s="28" t="str">
        <v>Launch monthly ‘Purpose Moments’.</v>
      </c>
      <c r="E45" s="28" t="str">
        <v>Teams spend 5 minutes mapping current tasks to mission; share 1 example monthly.</v>
      </c>
    </row>
    <row r="46" spans="1:5" x14ac:dyDescent="0.35">
      <c r="A46" s="57"/>
      <c r="B46" s="28"/>
      <c r="C46" s="28"/>
      <c r="D46" s="28" t="str">
        <v>Start cross‑region ‘Culture Exchange Pods’.</v>
      </c>
      <c r="E46" s="28" t="str">
        <v>Groups of 6 from different markets meet monthly to share risks and practices; rotate facilitators.</v>
      </c>
    </row>
    <row r="47" spans="1:5" x14ac:dyDescent="0.35">
      <c r="A47" s="57"/>
      <c r="B47" s="28"/>
      <c r="C47" s="28"/>
      <c r="D47" s="28" t="str">
        <v>Introduce ‘Micro‑recognitions’ for values.</v>
      </c>
      <c r="E47" s="28" t="str">
        <v>Managers send 2 value‑based recognitions per month via collaboration tools; auto‑logged for performance.</v>
      </c>
    </row>
    <row r="48" spans="1:5" x14ac:dyDescent="0.35">
      <c r="A48" s="51"/>
      <c r="B48" s="52"/>
      <c r="C48" s="52"/>
      <c r="D48" s="52" t="str">
        <v>Hold quarterly ‘What’s Working Well’ share‑outs.</v>
      </c>
      <c r="E48" s="52" t="str">
        <v>Teams present 3 positive behaviours that improved collaboration or ethics; capture playbook items.</v>
      </c>
    </row>
    <row r="49" spans="1:5" x14ac:dyDescent="0.35">
      <c r="A49" s="57" t="s">
        <v>10</v>
      </c>
      <c r="B49" s="28">
        <f>VLOOKUP($A49,'SOFT CONTROL SCORECARD'!$A:$F,3,FALSE)</f>
        <v>70</v>
      </c>
      <c r="C49" s="28" t="str">
        <f>VLOOKUP($A49,'SOFT CONTROL SCORECARD'!$A:$F,6,FALSE)</f>
        <v>Medium</v>
      </c>
      <c r="D49" s="28" t="str" cm="1">
        <f t="array" ref="D49:D55">IF(OR($C49="Low",$C49="Medium"),_xlfn._xlws.FILTER(Recommendations!$B:$B,Recommendations!$A:$A=$A49),"No Recommendations – High Score")</f>
        <v>Leaders run open reflection sessions on past decisions and learnings.</v>
      </c>
      <c r="E49" s="28" t="str" cm="1">
        <f t="array" ref="E49:E55">IF(OR($C49="Low",$C49="Medium"),_xlfn._xlws.FILTER(Recommendations!$C:$C,Recommendations!$A:$A=$A49),"")</f>
        <v>30‑min slot in team meetings; leader shares what worked/what didn’t and next changes.</v>
      </c>
    </row>
    <row r="50" spans="1:5" x14ac:dyDescent="0.35">
      <c r="A50" s="51"/>
      <c r="B50" s="52"/>
      <c r="C50" s="52"/>
      <c r="D50" s="52" t="str">
        <v>Publish a simple ‘how to escalate’ guide.</v>
      </c>
      <c r="E50" s="52" t="str">
        <v>What to raise, when, to whom, expected timelines; include examples.</v>
      </c>
    </row>
    <row r="51" spans="1:5" x14ac:dyDescent="0.35">
      <c r="A51" s="57"/>
      <c r="B51" s="28"/>
      <c r="C51" s="28"/>
      <c r="D51" s="28" t="str">
        <v>Teams hold a monthly 20‑minute check‑in on promises and roadblocks.</v>
      </c>
      <c r="E51" s="28" t="str">
        <v>3 questions: what did we commit, what’s blocked, what help is needed; record actions.</v>
      </c>
    </row>
    <row r="52" spans="1:5" x14ac:dyDescent="0.35">
      <c r="A52" s="51"/>
      <c r="B52" s="52"/>
      <c r="C52" s="52"/>
      <c r="D52" s="52" t="str">
        <v>Add ‘Team Norm Reviews’ to monthly check‑ins.</v>
      </c>
      <c r="E52" s="52" t="str">
        <v>Teams rate themselves on 3 norms (ownership, honesty, follow‑through); manager summarizes 1 improvement action.</v>
      </c>
    </row>
    <row r="53" spans="1:5" x14ac:dyDescent="0.35">
      <c r="A53" s="51"/>
      <c r="B53" s="52"/>
      <c r="C53" s="52"/>
      <c r="D53" s="52" t="str">
        <v>Introduce micro‑escalation cards.</v>
      </c>
      <c r="E53" s="52" t="str">
        <v>Provide a card/listing of ‘what to escalate’, timelines, and the right role; share in all team meetings.</v>
      </c>
    </row>
    <row r="54" spans="1:5" x14ac:dyDescent="0.35">
      <c r="A54" s="51"/>
      <c r="B54" s="52"/>
      <c r="C54" s="52"/>
      <c r="D54" s="52" t="str">
        <v>Run 15‑min ‘Case Replay’ exercises.</v>
      </c>
      <c r="E54" s="52" t="str">
        <v>Manager picks a sanitized situation, explains what should have happened, and clarifies expectations.</v>
      </c>
    </row>
    <row r="55" spans="1:5" x14ac:dyDescent="0.35">
      <c r="A55" s="51"/>
      <c r="B55" s="52"/>
      <c r="C55" s="52"/>
      <c r="D55" s="52" t="str">
        <v>Launch quick ‘Stop/Start/Continue’ monthly peer feedback.</v>
      </c>
      <c r="E55" s="52" t="str">
        <v>Each member submits 1 behaviour under each category; manager consolidates themes anonymously.</v>
      </c>
    </row>
    <row r="56" spans="1:5" x14ac:dyDescent="0.35">
      <c r="A56" s="57"/>
      <c r="B56" s="28"/>
      <c r="C56" s="28"/>
      <c r="D56" s="28"/>
      <c r="E56" s="2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140A-5C40-4EFA-A8DF-41DF43716D75}">
  <dimension ref="A1:L866"/>
  <sheetViews>
    <sheetView zoomScale="72" workbookViewId="0">
      <selection activeCell="D1" sqref="D1"/>
    </sheetView>
  </sheetViews>
  <sheetFormatPr defaultRowHeight="14.5" x14ac:dyDescent="0.35"/>
  <cols>
    <col min="1" max="1" width="16.26953125" bestFit="1" customWidth="1"/>
    <col min="2" max="2" width="13.6328125" bestFit="1" customWidth="1"/>
    <col min="3" max="3" width="80.7265625" bestFit="1" customWidth="1"/>
    <col min="4" max="4" width="24" bestFit="1" customWidth="1"/>
    <col min="5" max="5" width="10.81640625" bestFit="1" customWidth="1"/>
    <col min="6" max="6" width="12.81640625" bestFit="1" customWidth="1"/>
    <col min="7" max="7" width="21.453125" bestFit="1" customWidth="1"/>
    <col min="8" max="8" width="15.36328125" bestFit="1" customWidth="1"/>
    <col min="9" max="9" width="9.54296875" bestFit="1" customWidth="1"/>
    <col min="10" max="10" width="15.90625" bestFit="1" customWidth="1"/>
    <col min="11" max="12" width="42.36328125" bestFit="1" customWidth="1"/>
  </cols>
  <sheetData>
    <row r="1" spans="1:12" x14ac:dyDescent="0.35">
      <c r="A1" t="s">
        <v>82</v>
      </c>
      <c r="B1" t="s">
        <v>11</v>
      </c>
      <c r="C1" t="s">
        <v>113</v>
      </c>
      <c r="D1" t="s">
        <v>125</v>
      </c>
      <c r="E1" t="s">
        <v>87</v>
      </c>
      <c r="F1" t="s">
        <v>86</v>
      </c>
      <c r="G1" t="s">
        <v>1</v>
      </c>
      <c r="H1" t="s">
        <v>81</v>
      </c>
      <c r="I1" t="s">
        <v>114</v>
      </c>
      <c r="J1" t="s">
        <v>119</v>
      </c>
      <c r="K1" t="s">
        <v>221</v>
      </c>
      <c r="L1" t="s">
        <v>260</v>
      </c>
    </row>
    <row r="2" spans="1:12" x14ac:dyDescent="0.35">
      <c r="A2" t="s">
        <v>269</v>
      </c>
      <c r="B2" t="s">
        <v>13</v>
      </c>
      <c r="C2" t="s">
        <v>14</v>
      </c>
      <c r="D2" t="s">
        <v>2</v>
      </c>
      <c r="E2">
        <v>4</v>
      </c>
      <c r="F2">
        <v>80</v>
      </c>
      <c r="G2" t="s">
        <v>0</v>
      </c>
      <c r="L2" t="str">
        <f>_xlfn.XLOOKUP(AllResponses[[#This Row],[QuestionID]], FinalQuestions!$A:$A, FinalQuestions!$D:$D,"")</f>
        <v xml:space="preserve">Leadership Example‑Setting in Risk Management </v>
      </c>
    </row>
    <row r="3" spans="1:12" x14ac:dyDescent="0.35">
      <c r="A3" t="s">
        <v>269</v>
      </c>
      <c r="B3" t="s">
        <v>15</v>
      </c>
      <c r="C3" t="s">
        <v>16</v>
      </c>
      <c r="D3" t="s">
        <v>2</v>
      </c>
      <c r="E3">
        <v>4</v>
      </c>
      <c r="F3">
        <v>80</v>
      </c>
      <c r="G3" t="s">
        <v>0</v>
      </c>
      <c r="L3" t="str">
        <f>_xlfn.XLOOKUP(AllResponses[[#This Row],[QuestionID]], FinalQuestions!$A:$A, FinalQuestions!$D:$D,"")</f>
        <v>Executive Commitment to Risk Culture</v>
      </c>
    </row>
    <row r="4" spans="1:12" x14ac:dyDescent="0.35">
      <c r="A4" t="s">
        <v>269</v>
      </c>
      <c r="B4" t="s">
        <v>17</v>
      </c>
      <c r="C4" t="s">
        <v>18</v>
      </c>
      <c r="D4" t="s">
        <v>2</v>
      </c>
      <c r="E4">
        <v>4</v>
      </c>
      <c r="F4">
        <v>80</v>
      </c>
      <c r="G4" t="s">
        <v>0</v>
      </c>
      <c r="L4" t="str">
        <f>_xlfn.XLOOKUP(AllResponses[[#This Row],[QuestionID]], FinalQuestions!$A:$A, FinalQuestions!$D:$D,"")</f>
        <v>Leadership Encouragement to Escalate Risks</v>
      </c>
    </row>
    <row r="5" spans="1:12" x14ac:dyDescent="0.35">
      <c r="A5" t="s">
        <v>269</v>
      </c>
      <c r="B5" t="s">
        <v>19</v>
      </c>
      <c r="C5" t="s">
        <v>20</v>
      </c>
      <c r="D5" t="s">
        <v>2</v>
      </c>
      <c r="E5">
        <v>4</v>
      </c>
      <c r="F5">
        <v>80</v>
      </c>
      <c r="G5" t="s">
        <v>0</v>
      </c>
      <c r="L5" t="str">
        <f>_xlfn.XLOOKUP(AllResponses[[#This Row],[QuestionID]], FinalQuestions!$A:$A, FinalQuestions!$D:$D,"")</f>
        <v>Long-Term Decision Awareness</v>
      </c>
    </row>
    <row r="6" spans="1:12" x14ac:dyDescent="0.35">
      <c r="A6" t="s">
        <v>269</v>
      </c>
      <c r="B6" t="s">
        <v>21</v>
      </c>
      <c r="C6" t="s">
        <v>22</v>
      </c>
      <c r="D6" t="s">
        <v>2</v>
      </c>
      <c r="E6">
        <v>4</v>
      </c>
      <c r="F6">
        <v>80</v>
      </c>
      <c r="G6" t="s">
        <v>117</v>
      </c>
      <c r="L6" t="str">
        <f>_xlfn.XLOOKUP(AllResponses[[#This Row],[QuestionID]], FinalQuestions!$A:$A, FinalQuestions!$D:$D,"")</f>
        <v>Openness to Discussions</v>
      </c>
    </row>
    <row r="7" spans="1:12" x14ac:dyDescent="0.35">
      <c r="A7" t="s">
        <v>269</v>
      </c>
      <c r="B7" t="s">
        <v>23</v>
      </c>
      <c r="C7" t="s">
        <v>24</v>
      </c>
      <c r="D7" t="s">
        <v>2</v>
      </c>
      <c r="E7">
        <v>4</v>
      </c>
      <c r="F7">
        <v>80</v>
      </c>
      <c r="G7" t="s">
        <v>117</v>
      </c>
      <c r="L7" t="str">
        <f>_xlfn.XLOOKUP(AllResponses[[#This Row],[QuestionID]], FinalQuestions!$A:$A, FinalQuestions!$D:$D,"")</f>
        <v>Access to Guidance</v>
      </c>
    </row>
    <row r="8" spans="1:12" x14ac:dyDescent="0.35">
      <c r="A8" t="s">
        <v>269</v>
      </c>
      <c r="B8" t="s">
        <v>25</v>
      </c>
      <c r="C8" t="s">
        <v>26</v>
      </c>
      <c r="D8" t="s">
        <v>2</v>
      </c>
      <c r="E8">
        <v>4</v>
      </c>
      <c r="F8">
        <v>80</v>
      </c>
      <c r="G8" t="s">
        <v>117</v>
      </c>
      <c r="L8" t="str">
        <f>_xlfn.XLOOKUP(AllResponses[[#This Row],[QuestionID]], FinalQuestions!$A:$A, FinalQuestions!$D:$D,"")</f>
        <v>Openness to Sharing Opinions</v>
      </c>
    </row>
    <row r="9" spans="1:12" x14ac:dyDescent="0.35">
      <c r="A9" t="s">
        <v>269</v>
      </c>
      <c r="B9" t="s">
        <v>27</v>
      </c>
      <c r="C9" t="s">
        <v>28</v>
      </c>
      <c r="D9" t="s">
        <v>2</v>
      </c>
      <c r="E9">
        <v>4</v>
      </c>
      <c r="F9">
        <v>80</v>
      </c>
      <c r="G9" t="s">
        <v>117</v>
      </c>
      <c r="L9" t="str">
        <f>_xlfn.XLOOKUP(AllResponses[[#This Row],[QuestionID]], FinalQuestions!$A:$A, FinalQuestions!$D:$D,"")</f>
        <v>Comfort in Reporting Risk Dilemmas</v>
      </c>
    </row>
    <row r="10" spans="1:12" x14ac:dyDescent="0.35">
      <c r="A10" t="s">
        <v>269</v>
      </c>
      <c r="B10" t="s">
        <v>29</v>
      </c>
      <c r="C10" t="s">
        <v>30</v>
      </c>
      <c r="D10" t="s">
        <v>2</v>
      </c>
      <c r="E10">
        <v>4</v>
      </c>
      <c r="F10">
        <v>80</v>
      </c>
      <c r="G10" t="s">
        <v>3</v>
      </c>
      <c r="L10" t="str">
        <f>_xlfn.XLOOKUP(AllResponses[[#This Row],[QuestionID]], FinalQuestions!$A:$A, FinalQuestions!$D:$D,"")</f>
        <v>Adequacy of Risk Management Training</v>
      </c>
    </row>
    <row r="11" spans="1:12" x14ac:dyDescent="0.35">
      <c r="A11" t="s">
        <v>269</v>
      </c>
      <c r="B11" t="s">
        <v>31</v>
      </c>
      <c r="C11" t="s">
        <v>32</v>
      </c>
      <c r="D11" t="s">
        <v>2</v>
      </c>
      <c r="E11">
        <v>4</v>
      </c>
      <c r="F11">
        <v>80</v>
      </c>
      <c r="G11" t="s">
        <v>3</v>
      </c>
      <c r="L11" t="str">
        <f>_xlfn.XLOOKUP(AllResponses[[#This Row],[QuestionID]], FinalQuestions!$A:$A, FinalQuestions!$D:$D,"")</f>
        <v>Workload Balance &amp; Resource Sufficiency</v>
      </c>
    </row>
    <row r="12" spans="1:12" x14ac:dyDescent="0.35">
      <c r="A12" t="s">
        <v>269</v>
      </c>
      <c r="B12" t="s">
        <v>33</v>
      </c>
      <c r="C12" t="s">
        <v>34</v>
      </c>
      <c r="D12" t="s">
        <v>2</v>
      </c>
      <c r="E12">
        <v>4</v>
      </c>
      <c r="F12">
        <v>80</v>
      </c>
      <c r="G12" t="s">
        <v>3</v>
      </c>
      <c r="L12" t="str">
        <f>_xlfn.XLOOKUP(AllResponses[[#This Row],[QuestionID]], FinalQuestions!$A:$A, FinalQuestions!$D:$D,"")</f>
        <v>Realistic Target Setting</v>
      </c>
    </row>
    <row r="13" spans="1:12" x14ac:dyDescent="0.35">
      <c r="A13" t="s">
        <v>269</v>
      </c>
      <c r="B13" t="s">
        <v>35</v>
      </c>
      <c r="C13" t="s">
        <v>36</v>
      </c>
      <c r="D13" t="s">
        <v>2</v>
      </c>
      <c r="E13">
        <v>4</v>
      </c>
      <c r="F13">
        <v>80</v>
      </c>
      <c r="G13" t="s">
        <v>3</v>
      </c>
      <c r="L13" t="str">
        <f>_xlfn.XLOOKUP(AllResponses[[#This Row],[QuestionID]], FinalQuestions!$A:$A, FinalQuestions!$D:$D,"")</f>
        <v>Risk Insight in Decision Making</v>
      </c>
    </row>
    <row r="14" spans="1:12" x14ac:dyDescent="0.35">
      <c r="A14" t="s">
        <v>269</v>
      </c>
      <c r="B14" t="s">
        <v>37</v>
      </c>
      <c r="C14" t="s">
        <v>38</v>
      </c>
      <c r="D14" t="s">
        <v>2</v>
      </c>
      <c r="E14">
        <v>4</v>
      </c>
      <c r="F14">
        <v>80</v>
      </c>
      <c r="G14" t="s">
        <v>5</v>
      </c>
      <c r="L14" t="str">
        <f>_xlfn.XLOOKUP(AllResponses[[#This Row],[QuestionID]], FinalQuestions!$A:$A, FinalQuestions!$D:$D,"")</f>
        <v>Learning Culture from Non‑Compliance Cases</v>
      </c>
    </row>
    <row r="15" spans="1:12" x14ac:dyDescent="0.35">
      <c r="A15" t="s">
        <v>269</v>
      </c>
      <c r="B15" t="s">
        <v>39</v>
      </c>
      <c r="C15" t="s">
        <v>40</v>
      </c>
      <c r="D15" t="s">
        <v>2</v>
      </c>
      <c r="E15">
        <v>4</v>
      </c>
      <c r="F15">
        <v>80</v>
      </c>
      <c r="G15" t="s">
        <v>5</v>
      </c>
      <c r="L15" t="str">
        <f>_xlfn.XLOOKUP(AllResponses[[#This Row],[QuestionID]], FinalQuestions!$A:$A, FinalQuestions!$D:$D,"")</f>
        <v>Organizational View on Risk Culture</v>
      </c>
    </row>
    <row r="16" spans="1:12" x14ac:dyDescent="0.35">
      <c r="A16" t="s">
        <v>269</v>
      </c>
      <c r="B16" t="s">
        <v>41</v>
      </c>
      <c r="C16" t="s">
        <v>42</v>
      </c>
      <c r="D16" t="s">
        <v>2</v>
      </c>
      <c r="E16">
        <v>4</v>
      </c>
      <c r="F16">
        <v>80</v>
      </c>
      <c r="G16" t="s">
        <v>5</v>
      </c>
      <c r="L16" t="str">
        <f>_xlfn.XLOOKUP(AllResponses[[#This Row],[QuestionID]], FinalQuestions!$A:$A, FinalQuestions!$D:$D,"")</f>
        <v>Compliance Recognition &amp; enforcement</v>
      </c>
    </row>
    <row r="17" spans="1:12" x14ac:dyDescent="0.35">
      <c r="A17" t="s">
        <v>269</v>
      </c>
      <c r="B17" t="s">
        <v>43</v>
      </c>
      <c r="C17" t="s">
        <v>44</v>
      </c>
      <c r="D17" t="s">
        <v>2</v>
      </c>
      <c r="E17">
        <v>4</v>
      </c>
      <c r="F17">
        <v>80</v>
      </c>
      <c r="G17" t="s">
        <v>5</v>
      </c>
      <c r="L17" t="str">
        <f>_xlfn.XLOOKUP(AllResponses[[#This Row],[QuestionID]], FinalQuestions!$A:$A, FinalQuestions!$D:$D,"")</f>
        <v>Sense of Ownership</v>
      </c>
    </row>
    <row r="18" spans="1:12" x14ac:dyDescent="0.35">
      <c r="A18" t="s">
        <v>269</v>
      </c>
      <c r="B18" t="s">
        <v>45</v>
      </c>
      <c r="C18" t="s">
        <v>46</v>
      </c>
      <c r="D18" t="s">
        <v>2</v>
      </c>
      <c r="E18">
        <v>4</v>
      </c>
      <c r="F18">
        <v>80</v>
      </c>
      <c r="G18" t="s">
        <v>7</v>
      </c>
      <c r="L18" t="str">
        <f>_xlfn.XLOOKUP(AllResponses[[#This Row],[QuestionID]], FinalQuestions!$A:$A, FinalQuestions!$D:$D,"")</f>
        <v>Clarity of Role and Responsibilities</v>
      </c>
    </row>
    <row r="19" spans="1:12" x14ac:dyDescent="0.35">
      <c r="A19" t="s">
        <v>269</v>
      </c>
      <c r="B19" t="s">
        <v>47</v>
      </c>
      <c r="C19" t="s">
        <v>48</v>
      </c>
      <c r="D19" t="s">
        <v>2</v>
      </c>
      <c r="E19">
        <v>4</v>
      </c>
      <c r="F19">
        <v>80</v>
      </c>
      <c r="G19" t="s">
        <v>7</v>
      </c>
      <c r="L19" t="str">
        <f>_xlfn.XLOOKUP(AllResponses[[#This Row],[QuestionID]], FinalQuestions!$A:$A, FinalQuestions!$D:$D,"")</f>
        <v>Understanding of Risk Policies &amp; Procedures</v>
      </c>
    </row>
    <row r="20" spans="1:12" x14ac:dyDescent="0.35">
      <c r="A20" t="s">
        <v>269</v>
      </c>
      <c r="B20" t="s">
        <v>49</v>
      </c>
      <c r="C20" t="s">
        <v>50</v>
      </c>
      <c r="D20" t="s">
        <v>2</v>
      </c>
      <c r="E20">
        <v>4</v>
      </c>
      <c r="F20">
        <v>80</v>
      </c>
      <c r="G20" t="s">
        <v>7</v>
      </c>
      <c r="L20" t="str">
        <f>_xlfn.XLOOKUP(AllResponses[[#This Row],[QuestionID]], FinalQuestions!$A:$A, FinalQuestions!$D:$D,"")</f>
        <v>Clarity of Personal Risk Boundaries</v>
      </c>
    </row>
    <row r="21" spans="1:12" x14ac:dyDescent="0.35">
      <c r="A21" t="s">
        <v>269</v>
      </c>
      <c r="B21" t="s">
        <v>51</v>
      </c>
      <c r="C21" t="s">
        <v>52</v>
      </c>
      <c r="D21" t="s">
        <v>85</v>
      </c>
      <c r="E21">
        <v>5</v>
      </c>
      <c r="F21">
        <v>100</v>
      </c>
      <c r="G21" t="s">
        <v>7</v>
      </c>
      <c r="L21" t="str">
        <f>_xlfn.XLOOKUP(AllResponses[[#This Row],[QuestionID]], FinalQuestions!$A:$A, FinalQuestions!$D:$D,"")</f>
        <v>Effectiveness of Risk Communication &amp; Training</v>
      </c>
    </row>
    <row r="22" spans="1:12" x14ac:dyDescent="0.35">
      <c r="A22" t="s">
        <v>269</v>
      </c>
      <c r="B22" t="s">
        <v>53</v>
      </c>
      <c r="C22" t="s">
        <v>54</v>
      </c>
      <c r="D22" t="s">
        <v>85</v>
      </c>
      <c r="E22">
        <v>5</v>
      </c>
      <c r="F22">
        <v>100</v>
      </c>
      <c r="G22" t="s">
        <v>8</v>
      </c>
      <c r="L22" t="str">
        <f>_xlfn.XLOOKUP(AllResponses[[#This Row],[QuestionID]], FinalQuestions!$A:$A, FinalQuestions!$D:$D,"")</f>
        <v>Compliance Confidence in team</v>
      </c>
    </row>
    <row r="23" spans="1:12" x14ac:dyDescent="0.35">
      <c r="A23" t="s">
        <v>269</v>
      </c>
      <c r="B23" t="s">
        <v>55</v>
      </c>
      <c r="C23" t="s">
        <v>56</v>
      </c>
      <c r="D23" t="s">
        <v>85</v>
      </c>
      <c r="E23">
        <v>5</v>
      </c>
      <c r="F23">
        <v>100</v>
      </c>
      <c r="G23" t="s">
        <v>8</v>
      </c>
      <c r="L23" t="str">
        <f>_xlfn.XLOOKUP(AllResponses[[#This Row],[QuestionID]], FinalQuestions!$A:$A, FinalQuestions!$D:$D,"")</f>
        <v>Transparency in Decision‑Making</v>
      </c>
    </row>
    <row r="24" spans="1:12" x14ac:dyDescent="0.35">
      <c r="A24" t="s">
        <v>269</v>
      </c>
      <c r="B24" t="s">
        <v>57</v>
      </c>
      <c r="C24" t="s">
        <v>58</v>
      </c>
      <c r="D24" t="s">
        <v>85</v>
      </c>
      <c r="E24">
        <v>5</v>
      </c>
      <c r="F24">
        <v>100</v>
      </c>
      <c r="G24" t="s">
        <v>8</v>
      </c>
      <c r="L24" t="str">
        <f>_xlfn.XLOOKUP(AllResponses[[#This Row],[QuestionID]], FinalQuestions!$A:$A, FinalQuestions!$D:$D,"")</f>
        <v>Fairness &amp; Equity of Expectations</v>
      </c>
    </row>
    <row r="25" spans="1:12" x14ac:dyDescent="0.35">
      <c r="A25" t="s">
        <v>269</v>
      </c>
      <c r="B25" t="s">
        <v>59</v>
      </c>
      <c r="C25" t="s">
        <v>60</v>
      </c>
      <c r="D25" t="s">
        <v>85</v>
      </c>
      <c r="E25">
        <v>5</v>
      </c>
      <c r="F25">
        <v>100</v>
      </c>
      <c r="G25" t="s">
        <v>8</v>
      </c>
      <c r="L25" t="str">
        <f>_xlfn.XLOOKUP(AllResponses[[#This Row],[QuestionID]], FinalQuestions!$A:$A, FinalQuestions!$D:$D,"")</f>
        <v>Leadership Awareness in the team</v>
      </c>
    </row>
    <row r="26" spans="1:12" x14ac:dyDescent="0.35">
      <c r="A26" t="s">
        <v>269</v>
      </c>
      <c r="B26" t="s">
        <v>61</v>
      </c>
      <c r="C26" t="s">
        <v>62</v>
      </c>
      <c r="D26" t="s">
        <v>85</v>
      </c>
      <c r="E26">
        <v>5</v>
      </c>
      <c r="F26">
        <v>100</v>
      </c>
      <c r="G26" t="s">
        <v>9</v>
      </c>
      <c r="L26" t="str">
        <f>_xlfn.XLOOKUP(AllResponses[[#This Row],[QuestionID]], FinalQuestions!$A:$A, FinalQuestions!$D:$D,"")</f>
        <v>Motivation for Risk Ownership</v>
      </c>
    </row>
    <row r="27" spans="1:12" x14ac:dyDescent="0.35">
      <c r="A27" t="s">
        <v>269</v>
      </c>
      <c r="B27" t="s">
        <v>63</v>
      </c>
      <c r="C27" t="s">
        <v>64</v>
      </c>
      <c r="D27" t="s">
        <v>85</v>
      </c>
      <c r="E27">
        <v>5</v>
      </c>
      <c r="F27">
        <v>100</v>
      </c>
      <c r="G27" t="s">
        <v>9</v>
      </c>
      <c r="L27" t="str">
        <f>_xlfn.XLOOKUP(AllResponses[[#This Row],[QuestionID]], FinalQuestions!$A:$A, FinalQuestions!$D:$D,"")</f>
        <v>Sense of Belonging to the Organization</v>
      </c>
    </row>
    <row r="28" spans="1:12" x14ac:dyDescent="0.35">
      <c r="A28" t="s">
        <v>269</v>
      </c>
      <c r="B28" t="s">
        <v>65</v>
      </c>
      <c r="C28" t="s">
        <v>66</v>
      </c>
      <c r="D28" t="s">
        <v>85</v>
      </c>
      <c r="E28">
        <v>5</v>
      </c>
      <c r="F28">
        <v>100</v>
      </c>
      <c r="G28" t="s">
        <v>9</v>
      </c>
      <c r="L28" t="str">
        <f>_xlfn.XLOOKUP(AllResponses[[#This Row],[QuestionID]], FinalQuestions!$A:$A, FinalQuestions!$D:$D,"")</f>
        <v>Consideration of Impact on Others</v>
      </c>
    </row>
    <row r="29" spans="1:12" x14ac:dyDescent="0.35">
      <c r="A29" t="s">
        <v>269</v>
      </c>
      <c r="B29" t="s">
        <v>67</v>
      </c>
      <c r="C29" t="s">
        <v>68</v>
      </c>
      <c r="D29" t="s">
        <v>85</v>
      </c>
      <c r="E29">
        <v>5</v>
      </c>
      <c r="F29">
        <v>100</v>
      </c>
      <c r="G29" t="s">
        <v>9</v>
      </c>
      <c r="L29" t="str">
        <f>_xlfn.XLOOKUP(AllResponses[[#This Row],[QuestionID]], FinalQuestions!$A:$A, FinalQuestions!$D:$D,"")</f>
        <v>Accountability for Risk Actions</v>
      </c>
    </row>
    <row r="30" spans="1:12" x14ac:dyDescent="0.35">
      <c r="A30" t="s">
        <v>269</v>
      </c>
      <c r="B30" t="s">
        <v>69</v>
      </c>
      <c r="C30" t="s">
        <v>70</v>
      </c>
      <c r="D30" t="s">
        <v>85</v>
      </c>
      <c r="E30">
        <v>5</v>
      </c>
      <c r="F30">
        <v>100</v>
      </c>
      <c r="G30" t="s">
        <v>10</v>
      </c>
      <c r="L30" t="str">
        <f>_xlfn.XLOOKUP(AllResponses[[#This Row],[QuestionID]], FinalQuestions!$A:$A, FinalQuestions!$D:$D,"")</f>
        <v xml:space="preserve">Peer to peer Accountability </v>
      </c>
    </row>
    <row r="31" spans="1:12" x14ac:dyDescent="0.35">
      <c r="A31" t="s">
        <v>269</v>
      </c>
      <c r="B31" t="s">
        <v>71</v>
      </c>
      <c r="C31" t="s">
        <v>72</v>
      </c>
      <c r="D31" t="s">
        <v>85</v>
      </c>
      <c r="E31">
        <v>5</v>
      </c>
      <c r="F31">
        <v>100</v>
      </c>
      <c r="G31" t="s">
        <v>10</v>
      </c>
      <c r="L31" t="str">
        <f>_xlfn.XLOOKUP(AllResponses[[#This Row],[QuestionID]], FinalQuestions!$A:$A, FinalQuestions!$D:$D,"")</f>
        <v>Timely Resolution of Accountability Issues</v>
      </c>
    </row>
    <row r="32" spans="1:12" x14ac:dyDescent="0.35">
      <c r="A32" t="s">
        <v>269</v>
      </c>
      <c r="B32" t="s">
        <v>73</v>
      </c>
      <c r="C32" t="s">
        <v>74</v>
      </c>
      <c r="D32" t="s">
        <v>85</v>
      </c>
      <c r="E32">
        <v>5</v>
      </c>
      <c r="F32">
        <v>100</v>
      </c>
      <c r="G32" t="s">
        <v>10</v>
      </c>
      <c r="L32" t="str">
        <f>_xlfn.XLOOKUP(AllResponses[[#This Row],[QuestionID]], FinalQuestions!$A:$A, FinalQuestions!$D:$D,"")</f>
        <v>Comfort for Reporting Non‑Compliance.</v>
      </c>
    </row>
    <row r="33" spans="1:12" x14ac:dyDescent="0.35">
      <c r="A33" t="s">
        <v>269</v>
      </c>
      <c r="B33" t="s">
        <v>75</v>
      </c>
      <c r="C33" t="s">
        <v>76</v>
      </c>
      <c r="D33" t="s">
        <v>85</v>
      </c>
      <c r="E33">
        <v>5</v>
      </c>
      <c r="F33">
        <v>100</v>
      </c>
      <c r="G33" t="s">
        <v>10</v>
      </c>
      <c r="L33" t="str">
        <f>_xlfn.XLOOKUP(AllResponses[[#This Row],[QuestionID]], FinalQuestions!$A:$A, FinalQuestions!$D:$D,"")</f>
        <v>Consistency of Conduct Enforcement</v>
      </c>
    </row>
    <row r="34" spans="1:12" x14ac:dyDescent="0.35">
      <c r="A34" t="s">
        <v>269</v>
      </c>
      <c r="B34" t="s">
        <v>270</v>
      </c>
      <c r="C34" t="s">
        <v>270</v>
      </c>
      <c r="G34" t="s">
        <v>271</v>
      </c>
      <c r="L34" t="str">
        <f>_xlfn.XLOOKUP(AllResponses[[#This Row],[QuestionID]], FinalQuestions!$A:$A, FinalQuestions!$D:$D,"")</f>
        <v/>
      </c>
    </row>
    <row r="35" spans="1:12" x14ac:dyDescent="0.35">
      <c r="A35" t="s">
        <v>89</v>
      </c>
      <c r="B35" t="s">
        <v>13</v>
      </c>
      <c r="F35">
        <v>40</v>
      </c>
      <c r="G35" t="s">
        <v>0</v>
      </c>
      <c r="H35" t="s">
        <v>6</v>
      </c>
      <c r="I35">
        <v>2</v>
      </c>
      <c r="J35">
        <v>0</v>
      </c>
      <c r="K35" t="s">
        <v>253</v>
      </c>
      <c r="L35" t="str">
        <f>_xlfn.XLOOKUP(AllResponses[[#This Row],[QuestionID]], FinalQuestions!$A:$A, FinalQuestions!$D:$D,"")</f>
        <v xml:space="preserve">Leadership Example‑Setting in Risk Management </v>
      </c>
    </row>
    <row r="36" spans="1:12" x14ac:dyDescent="0.35">
      <c r="A36" t="s">
        <v>89</v>
      </c>
      <c r="B36" t="s">
        <v>15</v>
      </c>
      <c r="F36">
        <v>40</v>
      </c>
      <c r="G36" t="s">
        <v>0</v>
      </c>
      <c r="H36" t="s">
        <v>6</v>
      </c>
      <c r="I36">
        <v>2</v>
      </c>
      <c r="J36">
        <v>0</v>
      </c>
      <c r="K36" t="s">
        <v>222</v>
      </c>
      <c r="L36" t="str">
        <f>_xlfn.XLOOKUP(AllResponses[[#This Row],[QuestionID]], FinalQuestions!$A:$A, FinalQuestions!$D:$D,"")</f>
        <v>Executive Commitment to Risk Culture</v>
      </c>
    </row>
    <row r="37" spans="1:12" x14ac:dyDescent="0.35">
      <c r="A37" t="s">
        <v>89</v>
      </c>
      <c r="B37" t="s">
        <v>17</v>
      </c>
      <c r="F37">
        <v>40</v>
      </c>
      <c r="G37" t="s">
        <v>0</v>
      </c>
      <c r="H37" t="s">
        <v>6</v>
      </c>
      <c r="I37">
        <v>2</v>
      </c>
      <c r="J37">
        <v>0</v>
      </c>
      <c r="K37" t="s">
        <v>223</v>
      </c>
      <c r="L37" t="str">
        <f>_xlfn.XLOOKUP(AllResponses[[#This Row],[QuestionID]], FinalQuestions!$A:$A, FinalQuestions!$D:$D,"")</f>
        <v>Leadership Encouragement to Escalate Risks</v>
      </c>
    </row>
    <row r="38" spans="1:12" x14ac:dyDescent="0.35">
      <c r="A38" t="s">
        <v>89</v>
      </c>
      <c r="B38" t="s">
        <v>19</v>
      </c>
      <c r="F38">
        <v>40</v>
      </c>
      <c r="G38" t="s">
        <v>0</v>
      </c>
      <c r="H38" t="s">
        <v>6</v>
      </c>
      <c r="I38">
        <v>2</v>
      </c>
      <c r="J38">
        <v>0</v>
      </c>
      <c r="K38" t="s">
        <v>224</v>
      </c>
      <c r="L38" t="str">
        <f>_xlfn.XLOOKUP(AllResponses[[#This Row],[QuestionID]], FinalQuestions!$A:$A, FinalQuestions!$D:$D,"")</f>
        <v>Long-Term Decision Awareness</v>
      </c>
    </row>
    <row r="39" spans="1:12" x14ac:dyDescent="0.35">
      <c r="A39" t="s">
        <v>89</v>
      </c>
      <c r="B39" t="s">
        <v>21</v>
      </c>
      <c r="F39">
        <v>40</v>
      </c>
      <c r="G39" t="s">
        <v>117</v>
      </c>
      <c r="H39" t="s">
        <v>6</v>
      </c>
      <c r="I39">
        <v>2</v>
      </c>
      <c r="J39">
        <v>0</v>
      </c>
      <c r="K39" t="s">
        <v>225</v>
      </c>
      <c r="L39" t="str">
        <f>_xlfn.XLOOKUP(AllResponses[[#This Row],[QuestionID]], FinalQuestions!$A:$A, FinalQuestions!$D:$D,"")</f>
        <v>Openness to Discussions</v>
      </c>
    </row>
    <row r="40" spans="1:12" x14ac:dyDescent="0.35">
      <c r="A40" t="s">
        <v>89</v>
      </c>
      <c r="B40" t="s">
        <v>23</v>
      </c>
      <c r="F40">
        <v>40</v>
      </c>
      <c r="G40" t="s">
        <v>117</v>
      </c>
      <c r="H40" t="s">
        <v>6</v>
      </c>
      <c r="I40">
        <v>2</v>
      </c>
      <c r="J40">
        <v>0</v>
      </c>
      <c r="K40" t="s">
        <v>226</v>
      </c>
      <c r="L40" t="str">
        <f>_xlfn.XLOOKUP(AllResponses[[#This Row],[QuestionID]], FinalQuestions!$A:$A, FinalQuestions!$D:$D,"")</f>
        <v>Access to Guidance</v>
      </c>
    </row>
    <row r="41" spans="1:12" x14ac:dyDescent="0.35">
      <c r="A41" t="s">
        <v>89</v>
      </c>
      <c r="B41" t="s">
        <v>25</v>
      </c>
      <c r="F41">
        <v>40</v>
      </c>
      <c r="G41" t="s">
        <v>117</v>
      </c>
      <c r="H41" t="s">
        <v>6</v>
      </c>
      <c r="I41">
        <v>2</v>
      </c>
      <c r="J41">
        <v>0</v>
      </c>
      <c r="K41" t="s">
        <v>227</v>
      </c>
      <c r="L41" t="str">
        <f>_xlfn.XLOOKUP(AllResponses[[#This Row],[QuestionID]], FinalQuestions!$A:$A, FinalQuestions!$D:$D,"")</f>
        <v>Openness to Sharing Opinions</v>
      </c>
    </row>
    <row r="42" spans="1:12" x14ac:dyDescent="0.35">
      <c r="A42" t="s">
        <v>89</v>
      </c>
      <c r="B42" t="s">
        <v>27</v>
      </c>
      <c r="F42">
        <v>40</v>
      </c>
      <c r="G42" t="s">
        <v>117</v>
      </c>
      <c r="H42" t="s">
        <v>6</v>
      </c>
      <c r="I42">
        <v>2</v>
      </c>
      <c r="J42">
        <v>0</v>
      </c>
      <c r="K42" t="s">
        <v>228</v>
      </c>
      <c r="L42" t="str">
        <f>_xlfn.XLOOKUP(AllResponses[[#This Row],[QuestionID]], FinalQuestions!$A:$A, FinalQuestions!$D:$D,"")</f>
        <v>Comfort in Reporting Risk Dilemmas</v>
      </c>
    </row>
    <row r="43" spans="1:12" x14ac:dyDescent="0.35">
      <c r="A43" t="s">
        <v>89</v>
      </c>
      <c r="B43" t="s">
        <v>29</v>
      </c>
      <c r="F43">
        <v>40</v>
      </c>
      <c r="G43" t="s">
        <v>3</v>
      </c>
      <c r="H43" t="s">
        <v>6</v>
      </c>
      <c r="I43">
        <v>2</v>
      </c>
      <c r="J43">
        <v>0</v>
      </c>
      <c r="K43" t="s">
        <v>229</v>
      </c>
      <c r="L43" t="str">
        <f>_xlfn.XLOOKUP(AllResponses[[#This Row],[QuestionID]], FinalQuestions!$A:$A, FinalQuestions!$D:$D,"")</f>
        <v>Adequacy of Risk Management Training</v>
      </c>
    </row>
    <row r="44" spans="1:12" x14ac:dyDescent="0.35">
      <c r="A44" t="s">
        <v>89</v>
      </c>
      <c r="B44" t="s">
        <v>31</v>
      </c>
      <c r="F44">
        <v>40</v>
      </c>
      <c r="G44" t="s">
        <v>3</v>
      </c>
      <c r="H44" t="s">
        <v>6</v>
      </c>
      <c r="I44">
        <v>2</v>
      </c>
      <c r="J44">
        <v>0</v>
      </c>
      <c r="K44" t="s">
        <v>230</v>
      </c>
      <c r="L44" t="str">
        <f>_xlfn.XLOOKUP(AllResponses[[#This Row],[QuestionID]], FinalQuestions!$A:$A, FinalQuestions!$D:$D,"")</f>
        <v>Workload Balance &amp; Resource Sufficiency</v>
      </c>
    </row>
    <row r="45" spans="1:12" x14ac:dyDescent="0.35">
      <c r="A45" t="s">
        <v>89</v>
      </c>
      <c r="B45" t="s">
        <v>33</v>
      </c>
      <c r="F45">
        <v>40</v>
      </c>
      <c r="G45" t="s">
        <v>3</v>
      </c>
      <c r="H45" t="s">
        <v>6</v>
      </c>
      <c r="I45">
        <v>2</v>
      </c>
      <c r="J45">
        <v>0</v>
      </c>
      <c r="K45" t="s">
        <v>231</v>
      </c>
      <c r="L45" t="str">
        <f>_xlfn.XLOOKUP(AllResponses[[#This Row],[QuestionID]], FinalQuestions!$A:$A, FinalQuestions!$D:$D,"")</f>
        <v>Realistic Target Setting</v>
      </c>
    </row>
    <row r="46" spans="1:12" x14ac:dyDescent="0.35">
      <c r="A46" t="s">
        <v>89</v>
      </c>
      <c r="B46" t="s">
        <v>35</v>
      </c>
      <c r="F46">
        <v>40</v>
      </c>
      <c r="G46" t="s">
        <v>3</v>
      </c>
      <c r="H46" t="s">
        <v>6</v>
      </c>
      <c r="I46">
        <v>2</v>
      </c>
      <c r="J46">
        <v>0</v>
      </c>
      <c r="K46" t="s">
        <v>232</v>
      </c>
      <c r="L46" t="str">
        <f>_xlfn.XLOOKUP(AllResponses[[#This Row],[QuestionID]], FinalQuestions!$A:$A, FinalQuestions!$D:$D,"")</f>
        <v>Risk Insight in Decision Making</v>
      </c>
    </row>
    <row r="47" spans="1:12" x14ac:dyDescent="0.35">
      <c r="A47" t="s">
        <v>89</v>
      </c>
      <c r="B47" t="s">
        <v>37</v>
      </c>
      <c r="F47">
        <v>40</v>
      </c>
      <c r="G47" t="s">
        <v>5</v>
      </c>
      <c r="H47" t="s">
        <v>6</v>
      </c>
      <c r="I47">
        <v>2</v>
      </c>
      <c r="J47">
        <v>0</v>
      </c>
      <c r="K47" t="s">
        <v>233</v>
      </c>
      <c r="L47" t="str">
        <f>_xlfn.XLOOKUP(AllResponses[[#This Row],[QuestionID]], FinalQuestions!$A:$A, FinalQuestions!$D:$D,"")</f>
        <v>Learning Culture from Non‑Compliance Cases</v>
      </c>
    </row>
    <row r="48" spans="1:12" x14ac:dyDescent="0.35">
      <c r="A48" t="s">
        <v>89</v>
      </c>
      <c r="B48" t="s">
        <v>39</v>
      </c>
      <c r="F48">
        <v>40</v>
      </c>
      <c r="G48" t="s">
        <v>5</v>
      </c>
      <c r="H48" t="s">
        <v>6</v>
      </c>
      <c r="I48">
        <v>2</v>
      </c>
      <c r="J48">
        <v>0</v>
      </c>
      <c r="K48" t="s">
        <v>234</v>
      </c>
      <c r="L48" t="str">
        <f>_xlfn.XLOOKUP(AllResponses[[#This Row],[QuestionID]], FinalQuestions!$A:$A, FinalQuestions!$D:$D,"")</f>
        <v>Organizational View on Risk Culture</v>
      </c>
    </row>
    <row r="49" spans="1:12" x14ac:dyDescent="0.35">
      <c r="A49" t="s">
        <v>89</v>
      </c>
      <c r="B49" t="s">
        <v>41</v>
      </c>
      <c r="F49">
        <v>40</v>
      </c>
      <c r="G49" t="s">
        <v>5</v>
      </c>
      <c r="H49" t="s">
        <v>6</v>
      </c>
      <c r="I49">
        <v>2</v>
      </c>
      <c r="J49">
        <v>0</v>
      </c>
      <c r="K49" t="s">
        <v>235</v>
      </c>
      <c r="L49" t="str">
        <f>_xlfn.XLOOKUP(AllResponses[[#This Row],[QuestionID]], FinalQuestions!$A:$A, FinalQuestions!$D:$D,"")</f>
        <v>Compliance Recognition &amp; enforcement</v>
      </c>
    </row>
    <row r="50" spans="1:12" x14ac:dyDescent="0.35">
      <c r="A50" t="s">
        <v>89</v>
      </c>
      <c r="B50" t="s">
        <v>43</v>
      </c>
      <c r="F50">
        <v>40</v>
      </c>
      <c r="G50" t="s">
        <v>5</v>
      </c>
      <c r="H50" t="s">
        <v>6</v>
      </c>
      <c r="I50">
        <v>2</v>
      </c>
      <c r="J50">
        <v>0</v>
      </c>
      <c r="K50" t="s">
        <v>236</v>
      </c>
      <c r="L50" t="str">
        <f>_xlfn.XLOOKUP(AllResponses[[#This Row],[QuestionID]], FinalQuestions!$A:$A, FinalQuestions!$D:$D,"")</f>
        <v>Sense of Ownership</v>
      </c>
    </row>
    <row r="51" spans="1:12" x14ac:dyDescent="0.35">
      <c r="A51" t="s">
        <v>89</v>
      </c>
      <c r="B51" t="s">
        <v>45</v>
      </c>
      <c r="F51">
        <v>40</v>
      </c>
      <c r="G51" t="s">
        <v>7</v>
      </c>
      <c r="H51" t="s">
        <v>6</v>
      </c>
      <c r="I51">
        <v>2</v>
      </c>
      <c r="J51">
        <v>0</v>
      </c>
      <c r="K51" t="s">
        <v>237</v>
      </c>
      <c r="L51" t="str">
        <f>_xlfn.XLOOKUP(AllResponses[[#This Row],[QuestionID]], FinalQuestions!$A:$A, FinalQuestions!$D:$D,"")</f>
        <v>Clarity of Role and Responsibilities</v>
      </c>
    </row>
    <row r="52" spans="1:12" x14ac:dyDescent="0.35">
      <c r="A52" t="s">
        <v>89</v>
      </c>
      <c r="B52" t="s">
        <v>47</v>
      </c>
      <c r="F52">
        <v>40</v>
      </c>
      <c r="G52" t="s">
        <v>7</v>
      </c>
      <c r="H52" t="s">
        <v>6</v>
      </c>
      <c r="I52">
        <v>2</v>
      </c>
      <c r="J52">
        <v>0</v>
      </c>
      <c r="K52" t="s">
        <v>238</v>
      </c>
      <c r="L52" t="str">
        <f>_xlfn.XLOOKUP(AllResponses[[#This Row],[QuestionID]], FinalQuestions!$A:$A, FinalQuestions!$D:$D,"")</f>
        <v>Understanding of Risk Policies &amp; Procedures</v>
      </c>
    </row>
    <row r="53" spans="1:12" x14ac:dyDescent="0.35">
      <c r="A53" t="s">
        <v>89</v>
      </c>
      <c r="B53" t="s">
        <v>49</v>
      </c>
      <c r="F53">
        <v>40</v>
      </c>
      <c r="G53" t="s">
        <v>7</v>
      </c>
      <c r="H53" t="s">
        <v>6</v>
      </c>
      <c r="I53">
        <v>2</v>
      </c>
      <c r="J53">
        <v>0</v>
      </c>
      <c r="K53" t="s">
        <v>239</v>
      </c>
      <c r="L53" t="str">
        <f>_xlfn.XLOOKUP(AllResponses[[#This Row],[QuestionID]], FinalQuestions!$A:$A, FinalQuestions!$D:$D,"")</f>
        <v>Clarity of Personal Risk Boundaries</v>
      </c>
    </row>
    <row r="54" spans="1:12" x14ac:dyDescent="0.35">
      <c r="A54" t="s">
        <v>89</v>
      </c>
      <c r="B54" t="s">
        <v>51</v>
      </c>
      <c r="F54">
        <v>40</v>
      </c>
      <c r="G54" t="s">
        <v>7</v>
      </c>
      <c r="H54" t="s">
        <v>6</v>
      </c>
      <c r="I54">
        <v>2</v>
      </c>
      <c r="J54">
        <v>0</v>
      </c>
      <c r="K54" t="s">
        <v>240</v>
      </c>
      <c r="L54" t="str">
        <f>_xlfn.XLOOKUP(AllResponses[[#This Row],[QuestionID]], FinalQuestions!$A:$A, FinalQuestions!$D:$D,"")</f>
        <v>Effectiveness of Risk Communication &amp; Training</v>
      </c>
    </row>
    <row r="55" spans="1:12" x14ac:dyDescent="0.35">
      <c r="A55" t="s">
        <v>89</v>
      </c>
      <c r="B55" t="s">
        <v>53</v>
      </c>
      <c r="F55">
        <v>40</v>
      </c>
      <c r="G55" t="s">
        <v>8</v>
      </c>
      <c r="H55" t="s">
        <v>6</v>
      </c>
      <c r="I55">
        <v>2</v>
      </c>
      <c r="J55">
        <v>0</v>
      </c>
      <c r="K55" t="s">
        <v>249</v>
      </c>
      <c r="L55" t="str">
        <f>_xlfn.XLOOKUP(AllResponses[[#This Row],[QuestionID]], FinalQuestions!$A:$A, FinalQuestions!$D:$D,"")</f>
        <v>Compliance Confidence in team</v>
      </c>
    </row>
    <row r="56" spans="1:12" x14ac:dyDescent="0.35">
      <c r="A56" t="s">
        <v>89</v>
      </c>
      <c r="B56" t="s">
        <v>55</v>
      </c>
      <c r="F56">
        <v>40</v>
      </c>
      <c r="G56" t="s">
        <v>8</v>
      </c>
      <c r="H56" t="s">
        <v>6</v>
      </c>
      <c r="I56">
        <v>2</v>
      </c>
      <c r="J56">
        <v>0</v>
      </c>
      <c r="K56" t="s">
        <v>250</v>
      </c>
      <c r="L56" t="str">
        <f>_xlfn.XLOOKUP(AllResponses[[#This Row],[QuestionID]], FinalQuestions!$A:$A, FinalQuestions!$D:$D,"")</f>
        <v>Transparency in Decision‑Making</v>
      </c>
    </row>
    <row r="57" spans="1:12" x14ac:dyDescent="0.35">
      <c r="A57" t="s">
        <v>89</v>
      </c>
      <c r="B57" t="s">
        <v>57</v>
      </c>
      <c r="F57">
        <v>40</v>
      </c>
      <c r="G57" t="s">
        <v>8</v>
      </c>
      <c r="H57" t="s">
        <v>6</v>
      </c>
      <c r="I57">
        <v>2</v>
      </c>
      <c r="J57">
        <v>0</v>
      </c>
      <c r="K57" t="s">
        <v>251</v>
      </c>
      <c r="L57" t="str">
        <f>_xlfn.XLOOKUP(AllResponses[[#This Row],[QuestionID]], FinalQuestions!$A:$A, FinalQuestions!$D:$D,"")</f>
        <v>Fairness &amp; Equity of Expectations</v>
      </c>
    </row>
    <row r="58" spans="1:12" x14ac:dyDescent="0.35">
      <c r="A58" t="s">
        <v>89</v>
      </c>
      <c r="B58" t="s">
        <v>59</v>
      </c>
      <c r="F58">
        <v>40</v>
      </c>
      <c r="G58" t="s">
        <v>8</v>
      </c>
      <c r="H58" t="s">
        <v>6</v>
      </c>
      <c r="I58">
        <v>2</v>
      </c>
      <c r="J58">
        <v>0</v>
      </c>
      <c r="K58" t="s">
        <v>252</v>
      </c>
      <c r="L58" t="str">
        <f>_xlfn.XLOOKUP(AllResponses[[#This Row],[QuestionID]], FinalQuestions!$A:$A, FinalQuestions!$D:$D,"")</f>
        <v>Leadership Awareness in the team</v>
      </c>
    </row>
    <row r="59" spans="1:12" x14ac:dyDescent="0.35">
      <c r="A59" t="s">
        <v>89</v>
      </c>
      <c r="B59" t="s">
        <v>61</v>
      </c>
      <c r="F59">
        <v>60</v>
      </c>
      <c r="G59" t="s">
        <v>9</v>
      </c>
      <c r="H59" t="s">
        <v>4</v>
      </c>
      <c r="I59">
        <v>3</v>
      </c>
      <c r="J59">
        <v>0</v>
      </c>
      <c r="K59" t="s">
        <v>241</v>
      </c>
      <c r="L59" t="str">
        <f>_xlfn.XLOOKUP(AllResponses[[#This Row],[QuestionID]], FinalQuestions!$A:$A, FinalQuestions!$D:$D,"")</f>
        <v>Motivation for Risk Ownership</v>
      </c>
    </row>
    <row r="60" spans="1:12" x14ac:dyDescent="0.35">
      <c r="A60" t="s">
        <v>89</v>
      </c>
      <c r="B60" t="s">
        <v>63</v>
      </c>
      <c r="F60">
        <v>100</v>
      </c>
      <c r="G60" t="s">
        <v>9</v>
      </c>
      <c r="H60" t="s">
        <v>85</v>
      </c>
      <c r="I60">
        <v>5</v>
      </c>
      <c r="J60">
        <v>1</v>
      </c>
      <c r="K60" t="s">
        <v>242</v>
      </c>
      <c r="L60" t="str">
        <f>_xlfn.XLOOKUP(AllResponses[[#This Row],[QuestionID]], FinalQuestions!$A:$A, FinalQuestions!$D:$D,"")</f>
        <v>Sense of Belonging to the Organization</v>
      </c>
    </row>
    <row r="61" spans="1:12" x14ac:dyDescent="0.35">
      <c r="A61" t="s">
        <v>89</v>
      </c>
      <c r="B61" t="s">
        <v>65</v>
      </c>
      <c r="F61">
        <v>100</v>
      </c>
      <c r="G61" t="s">
        <v>9</v>
      </c>
      <c r="H61" t="s">
        <v>85</v>
      </c>
      <c r="I61">
        <v>5</v>
      </c>
      <c r="J61">
        <v>1</v>
      </c>
      <c r="K61" t="s">
        <v>243</v>
      </c>
      <c r="L61" t="str">
        <f>_xlfn.XLOOKUP(AllResponses[[#This Row],[QuestionID]], FinalQuestions!$A:$A, FinalQuestions!$D:$D,"")</f>
        <v>Consideration of Impact on Others</v>
      </c>
    </row>
    <row r="62" spans="1:12" x14ac:dyDescent="0.35">
      <c r="A62" t="s">
        <v>89</v>
      </c>
      <c r="B62" t="s">
        <v>67</v>
      </c>
      <c r="F62">
        <v>100</v>
      </c>
      <c r="G62" t="s">
        <v>9</v>
      </c>
      <c r="H62" t="s">
        <v>85</v>
      </c>
      <c r="I62">
        <v>5</v>
      </c>
      <c r="J62">
        <v>1</v>
      </c>
      <c r="K62" t="s">
        <v>244</v>
      </c>
      <c r="L62" t="str">
        <f>_xlfn.XLOOKUP(AllResponses[[#This Row],[QuestionID]], FinalQuestions!$A:$A, FinalQuestions!$D:$D,"")</f>
        <v>Accountability for Risk Actions</v>
      </c>
    </row>
    <row r="63" spans="1:12" x14ac:dyDescent="0.35">
      <c r="A63" t="s">
        <v>89</v>
      </c>
      <c r="B63" t="s">
        <v>69</v>
      </c>
      <c r="F63">
        <v>100</v>
      </c>
      <c r="G63" t="s">
        <v>10</v>
      </c>
      <c r="H63" t="s">
        <v>85</v>
      </c>
      <c r="I63">
        <v>5</v>
      </c>
      <c r="J63">
        <v>1</v>
      </c>
      <c r="K63" t="s">
        <v>245</v>
      </c>
      <c r="L63" t="str">
        <f>_xlfn.XLOOKUP(AllResponses[[#This Row],[QuestionID]], FinalQuestions!$A:$A, FinalQuestions!$D:$D,"")</f>
        <v xml:space="preserve">Peer to peer Accountability </v>
      </c>
    </row>
    <row r="64" spans="1:12" x14ac:dyDescent="0.35">
      <c r="A64" t="s">
        <v>89</v>
      </c>
      <c r="B64" t="s">
        <v>71</v>
      </c>
      <c r="F64">
        <v>100</v>
      </c>
      <c r="G64" t="s">
        <v>10</v>
      </c>
      <c r="H64" t="s">
        <v>85</v>
      </c>
      <c r="I64">
        <v>5</v>
      </c>
      <c r="J64">
        <v>1</v>
      </c>
      <c r="K64" t="s">
        <v>246</v>
      </c>
      <c r="L64" t="str">
        <f>_xlfn.XLOOKUP(AllResponses[[#This Row],[QuestionID]], FinalQuestions!$A:$A, FinalQuestions!$D:$D,"")</f>
        <v>Timely Resolution of Accountability Issues</v>
      </c>
    </row>
    <row r="65" spans="1:12" x14ac:dyDescent="0.35">
      <c r="A65" t="s">
        <v>89</v>
      </c>
      <c r="B65" t="s">
        <v>73</v>
      </c>
      <c r="F65">
        <v>100</v>
      </c>
      <c r="G65" t="s">
        <v>10</v>
      </c>
      <c r="H65" t="s">
        <v>85</v>
      </c>
      <c r="I65">
        <v>5</v>
      </c>
      <c r="J65">
        <v>1</v>
      </c>
      <c r="K65" t="s">
        <v>247</v>
      </c>
      <c r="L65" t="str">
        <f>_xlfn.XLOOKUP(AllResponses[[#This Row],[QuestionID]], FinalQuestions!$A:$A, FinalQuestions!$D:$D,"")</f>
        <v>Comfort for Reporting Non‑Compliance.</v>
      </c>
    </row>
    <row r="66" spans="1:12" x14ac:dyDescent="0.35">
      <c r="A66" t="s">
        <v>89</v>
      </c>
      <c r="B66" t="s">
        <v>75</v>
      </c>
      <c r="F66">
        <v>100</v>
      </c>
      <c r="G66" t="s">
        <v>10</v>
      </c>
      <c r="H66" t="s">
        <v>85</v>
      </c>
      <c r="I66">
        <v>5</v>
      </c>
      <c r="J66">
        <v>1</v>
      </c>
      <c r="K66" t="s">
        <v>248</v>
      </c>
      <c r="L66" t="str">
        <f>_xlfn.XLOOKUP(AllResponses[[#This Row],[QuestionID]], FinalQuestions!$A:$A, FinalQuestions!$D:$D,"")</f>
        <v>Consistency of Conduct Enforcement</v>
      </c>
    </row>
    <row r="67" spans="1:12" x14ac:dyDescent="0.35">
      <c r="A67" t="s">
        <v>90</v>
      </c>
      <c r="B67" t="s">
        <v>13</v>
      </c>
      <c r="F67">
        <v>100</v>
      </c>
      <c r="G67" t="s">
        <v>0</v>
      </c>
      <c r="H67" t="s">
        <v>85</v>
      </c>
      <c r="I67">
        <v>5</v>
      </c>
      <c r="J67">
        <v>1</v>
      </c>
      <c r="K67" t="s">
        <v>253</v>
      </c>
      <c r="L67" t="str">
        <f>_xlfn.XLOOKUP(AllResponses[[#This Row],[QuestionID]], FinalQuestions!$A:$A, FinalQuestions!$D:$D,"")</f>
        <v xml:space="preserve">Leadership Example‑Setting in Risk Management </v>
      </c>
    </row>
    <row r="68" spans="1:12" x14ac:dyDescent="0.35">
      <c r="A68" t="s">
        <v>90</v>
      </c>
      <c r="B68" t="s">
        <v>15</v>
      </c>
      <c r="F68">
        <v>100</v>
      </c>
      <c r="G68" t="s">
        <v>0</v>
      </c>
      <c r="H68" t="s">
        <v>85</v>
      </c>
      <c r="I68">
        <v>5</v>
      </c>
      <c r="J68">
        <v>1</v>
      </c>
      <c r="K68" t="s">
        <v>222</v>
      </c>
      <c r="L68" t="str">
        <f>_xlfn.XLOOKUP(AllResponses[[#This Row],[QuestionID]], FinalQuestions!$A:$A, FinalQuestions!$D:$D,"")</f>
        <v>Executive Commitment to Risk Culture</v>
      </c>
    </row>
    <row r="69" spans="1:12" x14ac:dyDescent="0.35">
      <c r="A69" t="s">
        <v>90</v>
      </c>
      <c r="B69" t="s">
        <v>17</v>
      </c>
      <c r="F69">
        <v>100</v>
      </c>
      <c r="G69" t="s">
        <v>0</v>
      </c>
      <c r="H69" t="s">
        <v>85</v>
      </c>
      <c r="I69">
        <v>5</v>
      </c>
      <c r="J69">
        <v>1</v>
      </c>
      <c r="K69" t="s">
        <v>223</v>
      </c>
      <c r="L69" t="str">
        <f>_xlfn.XLOOKUP(AllResponses[[#This Row],[QuestionID]], FinalQuestions!$A:$A, FinalQuestions!$D:$D,"")</f>
        <v>Leadership Encouragement to Escalate Risks</v>
      </c>
    </row>
    <row r="70" spans="1:12" x14ac:dyDescent="0.35">
      <c r="A70" t="s">
        <v>90</v>
      </c>
      <c r="B70" t="s">
        <v>19</v>
      </c>
      <c r="F70">
        <v>100</v>
      </c>
      <c r="G70" t="s">
        <v>0</v>
      </c>
      <c r="H70" t="s">
        <v>85</v>
      </c>
      <c r="I70">
        <v>5</v>
      </c>
      <c r="J70">
        <v>1</v>
      </c>
      <c r="K70" t="s">
        <v>224</v>
      </c>
      <c r="L70" t="str">
        <f>_xlfn.XLOOKUP(AllResponses[[#This Row],[QuestionID]], FinalQuestions!$A:$A, FinalQuestions!$D:$D,"")</f>
        <v>Long-Term Decision Awareness</v>
      </c>
    </row>
    <row r="71" spans="1:12" x14ac:dyDescent="0.35">
      <c r="A71" t="s">
        <v>90</v>
      </c>
      <c r="B71" t="s">
        <v>21</v>
      </c>
      <c r="F71">
        <v>100</v>
      </c>
      <c r="G71" t="s">
        <v>117</v>
      </c>
      <c r="H71" t="s">
        <v>85</v>
      </c>
      <c r="I71">
        <v>5</v>
      </c>
      <c r="J71">
        <v>1</v>
      </c>
      <c r="K71" t="s">
        <v>225</v>
      </c>
      <c r="L71" t="str">
        <f>_xlfn.XLOOKUP(AllResponses[[#This Row],[QuestionID]], FinalQuestions!$A:$A, FinalQuestions!$D:$D,"")</f>
        <v>Openness to Discussions</v>
      </c>
    </row>
    <row r="72" spans="1:12" x14ac:dyDescent="0.35">
      <c r="A72" t="s">
        <v>90</v>
      </c>
      <c r="B72" t="s">
        <v>23</v>
      </c>
      <c r="F72">
        <v>100</v>
      </c>
      <c r="G72" t="s">
        <v>117</v>
      </c>
      <c r="H72" t="s">
        <v>85</v>
      </c>
      <c r="I72">
        <v>5</v>
      </c>
      <c r="J72">
        <v>1</v>
      </c>
      <c r="K72" t="s">
        <v>226</v>
      </c>
      <c r="L72" t="str">
        <f>_xlfn.XLOOKUP(AllResponses[[#This Row],[QuestionID]], FinalQuestions!$A:$A, FinalQuestions!$D:$D,"")</f>
        <v>Access to Guidance</v>
      </c>
    </row>
    <row r="73" spans="1:12" x14ac:dyDescent="0.35">
      <c r="A73" t="s">
        <v>90</v>
      </c>
      <c r="B73" t="s">
        <v>25</v>
      </c>
      <c r="F73">
        <v>100</v>
      </c>
      <c r="G73" t="s">
        <v>117</v>
      </c>
      <c r="H73" t="s">
        <v>85</v>
      </c>
      <c r="I73">
        <v>5</v>
      </c>
      <c r="J73">
        <v>1</v>
      </c>
      <c r="K73" t="s">
        <v>227</v>
      </c>
      <c r="L73" t="str">
        <f>_xlfn.XLOOKUP(AllResponses[[#This Row],[QuestionID]], FinalQuestions!$A:$A, FinalQuestions!$D:$D,"")</f>
        <v>Openness to Sharing Opinions</v>
      </c>
    </row>
    <row r="74" spans="1:12" x14ac:dyDescent="0.35">
      <c r="A74" t="s">
        <v>90</v>
      </c>
      <c r="B74" t="s">
        <v>27</v>
      </c>
      <c r="F74">
        <v>100</v>
      </c>
      <c r="G74" t="s">
        <v>117</v>
      </c>
      <c r="H74" t="s">
        <v>85</v>
      </c>
      <c r="I74">
        <v>5</v>
      </c>
      <c r="J74">
        <v>1</v>
      </c>
      <c r="K74" t="s">
        <v>228</v>
      </c>
      <c r="L74" t="str">
        <f>_xlfn.XLOOKUP(AllResponses[[#This Row],[QuestionID]], FinalQuestions!$A:$A, FinalQuestions!$D:$D,"")</f>
        <v>Comfort in Reporting Risk Dilemmas</v>
      </c>
    </row>
    <row r="75" spans="1:12" x14ac:dyDescent="0.35">
      <c r="A75" t="s">
        <v>90</v>
      </c>
      <c r="B75" t="s">
        <v>29</v>
      </c>
      <c r="F75">
        <v>100</v>
      </c>
      <c r="G75" t="s">
        <v>3</v>
      </c>
      <c r="H75" t="s">
        <v>85</v>
      </c>
      <c r="I75">
        <v>5</v>
      </c>
      <c r="J75">
        <v>1</v>
      </c>
      <c r="K75" t="s">
        <v>229</v>
      </c>
      <c r="L75" t="str">
        <f>_xlfn.XLOOKUP(AllResponses[[#This Row],[QuestionID]], FinalQuestions!$A:$A, FinalQuestions!$D:$D,"")</f>
        <v>Adequacy of Risk Management Training</v>
      </c>
    </row>
    <row r="76" spans="1:12" x14ac:dyDescent="0.35">
      <c r="A76" t="s">
        <v>90</v>
      </c>
      <c r="B76" t="s">
        <v>31</v>
      </c>
      <c r="F76">
        <v>100</v>
      </c>
      <c r="G76" t="s">
        <v>3</v>
      </c>
      <c r="H76" t="s">
        <v>85</v>
      </c>
      <c r="I76">
        <v>5</v>
      </c>
      <c r="J76">
        <v>1</v>
      </c>
      <c r="K76" t="s">
        <v>230</v>
      </c>
      <c r="L76" t="str">
        <f>_xlfn.XLOOKUP(AllResponses[[#This Row],[QuestionID]], FinalQuestions!$A:$A, FinalQuestions!$D:$D,"")</f>
        <v>Workload Balance &amp; Resource Sufficiency</v>
      </c>
    </row>
    <row r="77" spans="1:12" x14ac:dyDescent="0.35">
      <c r="A77" t="s">
        <v>90</v>
      </c>
      <c r="B77" t="s">
        <v>33</v>
      </c>
      <c r="F77">
        <v>100</v>
      </c>
      <c r="G77" t="s">
        <v>3</v>
      </c>
      <c r="H77" t="s">
        <v>85</v>
      </c>
      <c r="I77">
        <v>5</v>
      </c>
      <c r="J77">
        <v>1</v>
      </c>
      <c r="K77" t="s">
        <v>231</v>
      </c>
      <c r="L77" t="str">
        <f>_xlfn.XLOOKUP(AllResponses[[#This Row],[QuestionID]], FinalQuestions!$A:$A, FinalQuestions!$D:$D,"")</f>
        <v>Realistic Target Setting</v>
      </c>
    </row>
    <row r="78" spans="1:12" x14ac:dyDescent="0.35">
      <c r="A78" t="s">
        <v>90</v>
      </c>
      <c r="B78" t="s">
        <v>35</v>
      </c>
      <c r="F78">
        <v>100</v>
      </c>
      <c r="G78" t="s">
        <v>3</v>
      </c>
      <c r="H78" t="s">
        <v>85</v>
      </c>
      <c r="I78">
        <v>5</v>
      </c>
      <c r="J78">
        <v>1</v>
      </c>
      <c r="K78" t="s">
        <v>232</v>
      </c>
      <c r="L78" t="str">
        <f>_xlfn.XLOOKUP(AllResponses[[#This Row],[QuestionID]], FinalQuestions!$A:$A, FinalQuestions!$D:$D,"")</f>
        <v>Risk Insight in Decision Making</v>
      </c>
    </row>
    <row r="79" spans="1:12" x14ac:dyDescent="0.35">
      <c r="A79" t="s">
        <v>90</v>
      </c>
      <c r="B79" t="s">
        <v>37</v>
      </c>
      <c r="F79">
        <v>100</v>
      </c>
      <c r="G79" t="s">
        <v>5</v>
      </c>
      <c r="H79" t="s">
        <v>85</v>
      </c>
      <c r="I79">
        <v>5</v>
      </c>
      <c r="J79">
        <v>1</v>
      </c>
      <c r="K79" t="s">
        <v>233</v>
      </c>
      <c r="L79" t="str">
        <f>_xlfn.XLOOKUP(AllResponses[[#This Row],[QuestionID]], FinalQuestions!$A:$A, FinalQuestions!$D:$D,"")</f>
        <v>Learning Culture from Non‑Compliance Cases</v>
      </c>
    </row>
    <row r="80" spans="1:12" x14ac:dyDescent="0.35">
      <c r="A80" t="s">
        <v>90</v>
      </c>
      <c r="B80" t="s">
        <v>39</v>
      </c>
      <c r="F80">
        <v>100</v>
      </c>
      <c r="G80" t="s">
        <v>5</v>
      </c>
      <c r="H80" t="s">
        <v>85</v>
      </c>
      <c r="I80">
        <v>5</v>
      </c>
      <c r="J80">
        <v>1</v>
      </c>
      <c r="K80" t="s">
        <v>234</v>
      </c>
      <c r="L80" t="str">
        <f>_xlfn.XLOOKUP(AllResponses[[#This Row],[QuestionID]], FinalQuestions!$A:$A, FinalQuestions!$D:$D,"")</f>
        <v>Organizational View on Risk Culture</v>
      </c>
    </row>
    <row r="81" spans="1:12" x14ac:dyDescent="0.35">
      <c r="A81" t="s">
        <v>90</v>
      </c>
      <c r="B81" t="s">
        <v>41</v>
      </c>
      <c r="F81">
        <v>100</v>
      </c>
      <c r="G81" t="s">
        <v>5</v>
      </c>
      <c r="H81" t="s">
        <v>85</v>
      </c>
      <c r="I81">
        <v>5</v>
      </c>
      <c r="J81">
        <v>1</v>
      </c>
      <c r="K81" t="s">
        <v>235</v>
      </c>
      <c r="L81" t="str">
        <f>_xlfn.XLOOKUP(AllResponses[[#This Row],[QuestionID]], FinalQuestions!$A:$A, FinalQuestions!$D:$D,"")</f>
        <v>Compliance Recognition &amp; enforcement</v>
      </c>
    </row>
    <row r="82" spans="1:12" x14ac:dyDescent="0.35">
      <c r="A82" t="s">
        <v>90</v>
      </c>
      <c r="B82" t="s">
        <v>43</v>
      </c>
      <c r="F82">
        <v>100</v>
      </c>
      <c r="G82" t="s">
        <v>5</v>
      </c>
      <c r="H82" t="s">
        <v>85</v>
      </c>
      <c r="I82">
        <v>5</v>
      </c>
      <c r="J82">
        <v>1</v>
      </c>
      <c r="K82" t="s">
        <v>236</v>
      </c>
      <c r="L82" t="str">
        <f>_xlfn.XLOOKUP(AllResponses[[#This Row],[QuestionID]], FinalQuestions!$A:$A, FinalQuestions!$D:$D,"")</f>
        <v>Sense of Ownership</v>
      </c>
    </row>
    <row r="83" spans="1:12" x14ac:dyDescent="0.35">
      <c r="A83" t="s">
        <v>90</v>
      </c>
      <c r="B83" t="s">
        <v>45</v>
      </c>
      <c r="F83">
        <v>100</v>
      </c>
      <c r="G83" t="s">
        <v>7</v>
      </c>
      <c r="H83" t="s">
        <v>85</v>
      </c>
      <c r="I83">
        <v>5</v>
      </c>
      <c r="J83">
        <v>1</v>
      </c>
      <c r="K83" t="s">
        <v>237</v>
      </c>
      <c r="L83" t="str">
        <f>_xlfn.XLOOKUP(AllResponses[[#This Row],[QuestionID]], FinalQuestions!$A:$A, FinalQuestions!$D:$D,"")</f>
        <v>Clarity of Role and Responsibilities</v>
      </c>
    </row>
    <row r="84" spans="1:12" x14ac:dyDescent="0.35">
      <c r="A84" t="s">
        <v>90</v>
      </c>
      <c r="B84" t="s">
        <v>47</v>
      </c>
      <c r="F84">
        <v>100</v>
      </c>
      <c r="G84" t="s">
        <v>7</v>
      </c>
      <c r="H84" t="s">
        <v>85</v>
      </c>
      <c r="I84">
        <v>5</v>
      </c>
      <c r="J84">
        <v>1</v>
      </c>
      <c r="K84" t="s">
        <v>238</v>
      </c>
      <c r="L84" t="str">
        <f>_xlfn.XLOOKUP(AllResponses[[#This Row],[QuestionID]], FinalQuestions!$A:$A, FinalQuestions!$D:$D,"")</f>
        <v>Understanding of Risk Policies &amp; Procedures</v>
      </c>
    </row>
    <row r="85" spans="1:12" x14ac:dyDescent="0.35">
      <c r="A85" t="s">
        <v>90</v>
      </c>
      <c r="B85" t="s">
        <v>49</v>
      </c>
      <c r="F85">
        <v>100</v>
      </c>
      <c r="G85" t="s">
        <v>7</v>
      </c>
      <c r="H85" t="s">
        <v>85</v>
      </c>
      <c r="I85">
        <v>5</v>
      </c>
      <c r="J85">
        <v>1</v>
      </c>
      <c r="K85" t="s">
        <v>239</v>
      </c>
      <c r="L85" t="str">
        <f>_xlfn.XLOOKUP(AllResponses[[#This Row],[QuestionID]], FinalQuestions!$A:$A, FinalQuestions!$D:$D,"")</f>
        <v>Clarity of Personal Risk Boundaries</v>
      </c>
    </row>
    <row r="86" spans="1:12" x14ac:dyDescent="0.35">
      <c r="A86" t="s">
        <v>90</v>
      </c>
      <c r="B86" t="s">
        <v>51</v>
      </c>
      <c r="F86">
        <v>100</v>
      </c>
      <c r="G86" t="s">
        <v>7</v>
      </c>
      <c r="H86" t="s">
        <v>85</v>
      </c>
      <c r="I86">
        <v>5</v>
      </c>
      <c r="J86">
        <v>1</v>
      </c>
      <c r="K86" t="s">
        <v>240</v>
      </c>
      <c r="L86" t="str">
        <f>_xlfn.XLOOKUP(AllResponses[[#This Row],[QuestionID]], FinalQuestions!$A:$A, FinalQuestions!$D:$D,"")</f>
        <v>Effectiveness of Risk Communication &amp; Training</v>
      </c>
    </row>
    <row r="87" spans="1:12" x14ac:dyDescent="0.35">
      <c r="A87" t="s">
        <v>90</v>
      </c>
      <c r="B87" t="s">
        <v>53</v>
      </c>
      <c r="F87">
        <v>100</v>
      </c>
      <c r="G87" t="s">
        <v>8</v>
      </c>
      <c r="H87" t="s">
        <v>85</v>
      </c>
      <c r="I87">
        <v>5</v>
      </c>
      <c r="J87">
        <v>1</v>
      </c>
      <c r="K87" t="s">
        <v>249</v>
      </c>
      <c r="L87" t="str">
        <f>_xlfn.XLOOKUP(AllResponses[[#This Row],[QuestionID]], FinalQuestions!$A:$A, FinalQuestions!$D:$D,"")</f>
        <v>Compliance Confidence in team</v>
      </c>
    </row>
    <row r="88" spans="1:12" x14ac:dyDescent="0.35">
      <c r="A88" t="s">
        <v>90</v>
      </c>
      <c r="B88" t="s">
        <v>55</v>
      </c>
      <c r="F88">
        <v>100</v>
      </c>
      <c r="G88" t="s">
        <v>8</v>
      </c>
      <c r="H88" t="s">
        <v>85</v>
      </c>
      <c r="I88">
        <v>5</v>
      </c>
      <c r="J88">
        <v>1</v>
      </c>
      <c r="K88" t="s">
        <v>250</v>
      </c>
      <c r="L88" t="str">
        <f>_xlfn.XLOOKUP(AllResponses[[#This Row],[QuestionID]], FinalQuestions!$A:$A, FinalQuestions!$D:$D,"")</f>
        <v>Transparency in Decision‑Making</v>
      </c>
    </row>
    <row r="89" spans="1:12" x14ac:dyDescent="0.35">
      <c r="A89" t="s">
        <v>90</v>
      </c>
      <c r="B89" t="s">
        <v>57</v>
      </c>
      <c r="F89">
        <v>100</v>
      </c>
      <c r="G89" t="s">
        <v>8</v>
      </c>
      <c r="H89" t="s">
        <v>85</v>
      </c>
      <c r="I89">
        <v>5</v>
      </c>
      <c r="J89">
        <v>1</v>
      </c>
      <c r="K89" t="s">
        <v>251</v>
      </c>
      <c r="L89" t="str">
        <f>_xlfn.XLOOKUP(AllResponses[[#This Row],[QuestionID]], FinalQuestions!$A:$A, FinalQuestions!$D:$D,"")</f>
        <v>Fairness &amp; Equity of Expectations</v>
      </c>
    </row>
    <row r="90" spans="1:12" x14ac:dyDescent="0.35">
      <c r="A90" t="s">
        <v>90</v>
      </c>
      <c r="B90" t="s">
        <v>59</v>
      </c>
      <c r="F90">
        <v>100</v>
      </c>
      <c r="G90" t="s">
        <v>8</v>
      </c>
      <c r="H90" t="s">
        <v>85</v>
      </c>
      <c r="I90">
        <v>5</v>
      </c>
      <c r="J90">
        <v>1</v>
      </c>
      <c r="K90" t="s">
        <v>252</v>
      </c>
      <c r="L90" t="str">
        <f>_xlfn.XLOOKUP(AllResponses[[#This Row],[QuestionID]], FinalQuestions!$A:$A, FinalQuestions!$D:$D,"")</f>
        <v>Leadership Awareness in the team</v>
      </c>
    </row>
    <row r="91" spans="1:12" x14ac:dyDescent="0.35">
      <c r="A91" t="s">
        <v>90</v>
      </c>
      <c r="B91" t="s">
        <v>61</v>
      </c>
      <c r="F91">
        <v>100</v>
      </c>
      <c r="G91" t="s">
        <v>9</v>
      </c>
      <c r="H91" t="s">
        <v>85</v>
      </c>
      <c r="I91">
        <v>5</v>
      </c>
      <c r="J91">
        <v>1</v>
      </c>
      <c r="K91" t="s">
        <v>241</v>
      </c>
      <c r="L91" t="str">
        <f>_xlfn.XLOOKUP(AllResponses[[#This Row],[QuestionID]], FinalQuestions!$A:$A, FinalQuestions!$D:$D,"")</f>
        <v>Motivation for Risk Ownership</v>
      </c>
    </row>
    <row r="92" spans="1:12" x14ac:dyDescent="0.35">
      <c r="A92" t="s">
        <v>90</v>
      </c>
      <c r="B92" t="s">
        <v>63</v>
      </c>
      <c r="F92">
        <v>100</v>
      </c>
      <c r="G92" t="s">
        <v>9</v>
      </c>
      <c r="H92" t="s">
        <v>85</v>
      </c>
      <c r="I92">
        <v>5</v>
      </c>
      <c r="J92">
        <v>1</v>
      </c>
      <c r="K92" t="s">
        <v>242</v>
      </c>
      <c r="L92" t="str">
        <f>_xlfn.XLOOKUP(AllResponses[[#This Row],[QuestionID]], FinalQuestions!$A:$A, FinalQuestions!$D:$D,"")</f>
        <v>Sense of Belonging to the Organization</v>
      </c>
    </row>
    <row r="93" spans="1:12" x14ac:dyDescent="0.35">
      <c r="A93" t="s">
        <v>90</v>
      </c>
      <c r="B93" t="s">
        <v>65</v>
      </c>
      <c r="F93">
        <v>100</v>
      </c>
      <c r="G93" t="s">
        <v>9</v>
      </c>
      <c r="H93" t="s">
        <v>85</v>
      </c>
      <c r="I93">
        <v>5</v>
      </c>
      <c r="J93">
        <v>1</v>
      </c>
      <c r="K93" t="s">
        <v>243</v>
      </c>
      <c r="L93" t="str">
        <f>_xlfn.XLOOKUP(AllResponses[[#This Row],[QuestionID]], FinalQuestions!$A:$A, FinalQuestions!$D:$D,"")</f>
        <v>Consideration of Impact on Others</v>
      </c>
    </row>
    <row r="94" spans="1:12" x14ac:dyDescent="0.35">
      <c r="A94" t="s">
        <v>90</v>
      </c>
      <c r="B94" t="s">
        <v>67</v>
      </c>
      <c r="F94">
        <v>100</v>
      </c>
      <c r="G94" t="s">
        <v>9</v>
      </c>
      <c r="H94" t="s">
        <v>85</v>
      </c>
      <c r="I94">
        <v>5</v>
      </c>
      <c r="J94">
        <v>1</v>
      </c>
      <c r="K94" t="s">
        <v>244</v>
      </c>
      <c r="L94" t="str">
        <f>_xlfn.XLOOKUP(AllResponses[[#This Row],[QuestionID]], FinalQuestions!$A:$A, FinalQuestions!$D:$D,"")</f>
        <v>Accountability for Risk Actions</v>
      </c>
    </row>
    <row r="95" spans="1:12" x14ac:dyDescent="0.35">
      <c r="A95" t="s">
        <v>90</v>
      </c>
      <c r="B95" t="s">
        <v>69</v>
      </c>
      <c r="F95">
        <v>100</v>
      </c>
      <c r="G95" t="s">
        <v>10</v>
      </c>
      <c r="H95" t="s">
        <v>85</v>
      </c>
      <c r="I95">
        <v>5</v>
      </c>
      <c r="J95">
        <v>1</v>
      </c>
      <c r="K95" t="s">
        <v>245</v>
      </c>
      <c r="L95" t="str">
        <f>_xlfn.XLOOKUP(AllResponses[[#This Row],[QuestionID]], FinalQuestions!$A:$A, FinalQuestions!$D:$D,"")</f>
        <v xml:space="preserve">Peer to peer Accountability </v>
      </c>
    </row>
    <row r="96" spans="1:12" x14ac:dyDescent="0.35">
      <c r="A96" t="s">
        <v>90</v>
      </c>
      <c r="B96" t="s">
        <v>71</v>
      </c>
      <c r="F96">
        <v>100</v>
      </c>
      <c r="G96" t="s">
        <v>10</v>
      </c>
      <c r="H96" t="s">
        <v>85</v>
      </c>
      <c r="I96">
        <v>5</v>
      </c>
      <c r="J96">
        <v>1</v>
      </c>
      <c r="K96" t="s">
        <v>246</v>
      </c>
      <c r="L96" t="str">
        <f>_xlfn.XLOOKUP(AllResponses[[#This Row],[QuestionID]], FinalQuestions!$A:$A, FinalQuestions!$D:$D,"")</f>
        <v>Timely Resolution of Accountability Issues</v>
      </c>
    </row>
    <row r="97" spans="1:12" x14ac:dyDescent="0.35">
      <c r="A97" t="s">
        <v>90</v>
      </c>
      <c r="B97" t="s">
        <v>73</v>
      </c>
      <c r="F97">
        <v>100</v>
      </c>
      <c r="G97" t="s">
        <v>10</v>
      </c>
      <c r="H97" t="s">
        <v>85</v>
      </c>
      <c r="I97">
        <v>5</v>
      </c>
      <c r="J97">
        <v>1</v>
      </c>
      <c r="K97" t="s">
        <v>247</v>
      </c>
      <c r="L97" t="str">
        <f>_xlfn.XLOOKUP(AllResponses[[#This Row],[QuestionID]], FinalQuestions!$A:$A, FinalQuestions!$D:$D,"")</f>
        <v>Comfort for Reporting Non‑Compliance.</v>
      </c>
    </row>
    <row r="98" spans="1:12" x14ac:dyDescent="0.35">
      <c r="A98" t="s">
        <v>90</v>
      </c>
      <c r="B98" t="s">
        <v>75</v>
      </c>
      <c r="F98">
        <v>100</v>
      </c>
      <c r="G98" t="s">
        <v>10</v>
      </c>
      <c r="H98" t="s">
        <v>85</v>
      </c>
      <c r="I98">
        <v>5</v>
      </c>
      <c r="J98">
        <v>1</v>
      </c>
      <c r="K98" t="s">
        <v>248</v>
      </c>
      <c r="L98" t="str">
        <f>_xlfn.XLOOKUP(AllResponses[[#This Row],[QuestionID]], FinalQuestions!$A:$A, FinalQuestions!$D:$D,"")</f>
        <v>Consistency of Conduct Enforcement</v>
      </c>
    </row>
    <row r="99" spans="1:12" x14ac:dyDescent="0.35">
      <c r="A99" t="s">
        <v>91</v>
      </c>
      <c r="B99" t="s">
        <v>13</v>
      </c>
      <c r="F99">
        <v>100</v>
      </c>
      <c r="G99" t="s">
        <v>0</v>
      </c>
      <c r="H99" t="s">
        <v>85</v>
      </c>
      <c r="I99">
        <v>5</v>
      </c>
      <c r="J99">
        <v>1</v>
      </c>
      <c r="K99" t="s">
        <v>253</v>
      </c>
      <c r="L99" t="str">
        <f>_xlfn.XLOOKUP(AllResponses[[#This Row],[QuestionID]], FinalQuestions!$A:$A, FinalQuestions!$D:$D,"")</f>
        <v xml:space="preserve">Leadership Example‑Setting in Risk Management </v>
      </c>
    </row>
    <row r="100" spans="1:12" x14ac:dyDescent="0.35">
      <c r="A100" t="s">
        <v>91</v>
      </c>
      <c r="B100" t="s">
        <v>15</v>
      </c>
      <c r="F100">
        <v>100</v>
      </c>
      <c r="G100" t="s">
        <v>0</v>
      </c>
      <c r="H100" t="s">
        <v>85</v>
      </c>
      <c r="I100">
        <v>5</v>
      </c>
      <c r="J100">
        <v>1</v>
      </c>
      <c r="K100" t="s">
        <v>222</v>
      </c>
      <c r="L100" t="str">
        <f>_xlfn.XLOOKUP(AllResponses[[#This Row],[QuestionID]], FinalQuestions!$A:$A, FinalQuestions!$D:$D,"")</f>
        <v>Executive Commitment to Risk Culture</v>
      </c>
    </row>
    <row r="101" spans="1:12" x14ac:dyDescent="0.35">
      <c r="A101" t="s">
        <v>91</v>
      </c>
      <c r="B101" t="s">
        <v>17</v>
      </c>
      <c r="F101">
        <v>100</v>
      </c>
      <c r="G101" t="s">
        <v>0</v>
      </c>
      <c r="H101" t="s">
        <v>85</v>
      </c>
      <c r="I101">
        <v>5</v>
      </c>
      <c r="J101">
        <v>1</v>
      </c>
      <c r="K101" t="s">
        <v>223</v>
      </c>
      <c r="L101" t="str">
        <f>_xlfn.XLOOKUP(AllResponses[[#This Row],[QuestionID]], FinalQuestions!$A:$A, FinalQuestions!$D:$D,"")</f>
        <v>Leadership Encouragement to Escalate Risks</v>
      </c>
    </row>
    <row r="102" spans="1:12" x14ac:dyDescent="0.35">
      <c r="A102" t="s">
        <v>91</v>
      </c>
      <c r="B102" t="s">
        <v>19</v>
      </c>
      <c r="F102">
        <v>100</v>
      </c>
      <c r="G102" t="s">
        <v>0</v>
      </c>
      <c r="H102" t="s">
        <v>85</v>
      </c>
      <c r="I102">
        <v>5</v>
      </c>
      <c r="J102">
        <v>1</v>
      </c>
      <c r="K102" t="s">
        <v>224</v>
      </c>
      <c r="L102" t="str">
        <f>_xlfn.XLOOKUP(AllResponses[[#This Row],[QuestionID]], FinalQuestions!$A:$A, FinalQuestions!$D:$D,"")</f>
        <v>Long-Term Decision Awareness</v>
      </c>
    </row>
    <row r="103" spans="1:12" x14ac:dyDescent="0.35">
      <c r="A103" t="s">
        <v>91</v>
      </c>
      <c r="B103" t="s">
        <v>21</v>
      </c>
      <c r="F103">
        <v>100</v>
      </c>
      <c r="G103" t="s">
        <v>117</v>
      </c>
      <c r="H103" t="s">
        <v>85</v>
      </c>
      <c r="I103">
        <v>5</v>
      </c>
      <c r="J103">
        <v>1</v>
      </c>
      <c r="K103" t="s">
        <v>225</v>
      </c>
      <c r="L103" t="str">
        <f>_xlfn.XLOOKUP(AllResponses[[#This Row],[QuestionID]], FinalQuestions!$A:$A, FinalQuestions!$D:$D,"")</f>
        <v>Openness to Discussions</v>
      </c>
    </row>
    <row r="104" spans="1:12" x14ac:dyDescent="0.35">
      <c r="A104" t="s">
        <v>91</v>
      </c>
      <c r="B104" t="s">
        <v>23</v>
      </c>
      <c r="F104">
        <v>100</v>
      </c>
      <c r="G104" t="s">
        <v>117</v>
      </c>
      <c r="H104" t="s">
        <v>85</v>
      </c>
      <c r="I104">
        <v>5</v>
      </c>
      <c r="J104">
        <v>1</v>
      </c>
      <c r="K104" t="s">
        <v>226</v>
      </c>
      <c r="L104" t="str">
        <f>_xlfn.XLOOKUP(AllResponses[[#This Row],[QuestionID]], FinalQuestions!$A:$A, FinalQuestions!$D:$D,"")</f>
        <v>Access to Guidance</v>
      </c>
    </row>
    <row r="105" spans="1:12" x14ac:dyDescent="0.35">
      <c r="A105" t="s">
        <v>91</v>
      </c>
      <c r="B105" t="s">
        <v>25</v>
      </c>
      <c r="F105">
        <v>100</v>
      </c>
      <c r="G105" t="s">
        <v>117</v>
      </c>
      <c r="H105" t="s">
        <v>85</v>
      </c>
      <c r="I105">
        <v>5</v>
      </c>
      <c r="J105">
        <v>1</v>
      </c>
      <c r="K105" t="s">
        <v>227</v>
      </c>
      <c r="L105" t="str">
        <f>_xlfn.XLOOKUP(AllResponses[[#This Row],[QuestionID]], FinalQuestions!$A:$A, FinalQuestions!$D:$D,"")</f>
        <v>Openness to Sharing Opinions</v>
      </c>
    </row>
    <row r="106" spans="1:12" x14ac:dyDescent="0.35">
      <c r="A106" t="s">
        <v>91</v>
      </c>
      <c r="B106" t="s">
        <v>27</v>
      </c>
      <c r="F106">
        <v>100</v>
      </c>
      <c r="G106" t="s">
        <v>117</v>
      </c>
      <c r="H106" t="s">
        <v>85</v>
      </c>
      <c r="I106">
        <v>5</v>
      </c>
      <c r="J106">
        <v>1</v>
      </c>
      <c r="K106" t="s">
        <v>228</v>
      </c>
      <c r="L106" t="str">
        <f>_xlfn.XLOOKUP(AllResponses[[#This Row],[QuestionID]], FinalQuestions!$A:$A, FinalQuestions!$D:$D,"")</f>
        <v>Comfort in Reporting Risk Dilemmas</v>
      </c>
    </row>
    <row r="107" spans="1:12" x14ac:dyDescent="0.35">
      <c r="A107" t="s">
        <v>91</v>
      </c>
      <c r="B107" t="s">
        <v>29</v>
      </c>
      <c r="F107">
        <v>100</v>
      </c>
      <c r="G107" t="s">
        <v>3</v>
      </c>
      <c r="H107" t="s">
        <v>85</v>
      </c>
      <c r="I107">
        <v>5</v>
      </c>
      <c r="J107">
        <v>1</v>
      </c>
      <c r="K107" t="s">
        <v>229</v>
      </c>
      <c r="L107" t="str">
        <f>_xlfn.XLOOKUP(AllResponses[[#This Row],[QuestionID]], FinalQuestions!$A:$A, FinalQuestions!$D:$D,"")</f>
        <v>Adequacy of Risk Management Training</v>
      </c>
    </row>
    <row r="108" spans="1:12" x14ac:dyDescent="0.35">
      <c r="A108" t="s">
        <v>91</v>
      </c>
      <c r="B108" t="s">
        <v>31</v>
      </c>
      <c r="F108">
        <v>100</v>
      </c>
      <c r="G108" t="s">
        <v>3</v>
      </c>
      <c r="H108" t="s">
        <v>85</v>
      </c>
      <c r="I108">
        <v>5</v>
      </c>
      <c r="J108">
        <v>1</v>
      </c>
      <c r="K108" t="s">
        <v>230</v>
      </c>
      <c r="L108" t="str">
        <f>_xlfn.XLOOKUP(AllResponses[[#This Row],[QuestionID]], FinalQuestions!$A:$A, FinalQuestions!$D:$D,"")</f>
        <v>Workload Balance &amp; Resource Sufficiency</v>
      </c>
    </row>
    <row r="109" spans="1:12" x14ac:dyDescent="0.35">
      <c r="A109" t="s">
        <v>91</v>
      </c>
      <c r="B109" t="s">
        <v>33</v>
      </c>
      <c r="F109">
        <v>100</v>
      </c>
      <c r="G109" t="s">
        <v>3</v>
      </c>
      <c r="H109" t="s">
        <v>85</v>
      </c>
      <c r="I109">
        <v>5</v>
      </c>
      <c r="J109">
        <v>1</v>
      </c>
      <c r="K109" t="s">
        <v>231</v>
      </c>
      <c r="L109" t="str">
        <f>_xlfn.XLOOKUP(AllResponses[[#This Row],[QuestionID]], FinalQuestions!$A:$A, FinalQuestions!$D:$D,"")</f>
        <v>Realistic Target Setting</v>
      </c>
    </row>
    <row r="110" spans="1:12" x14ac:dyDescent="0.35">
      <c r="A110" t="s">
        <v>91</v>
      </c>
      <c r="B110" t="s">
        <v>35</v>
      </c>
      <c r="F110">
        <v>100</v>
      </c>
      <c r="G110" t="s">
        <v>3</v>
      </c>
      <c r="H110" t="s">
        <v>85</v>
      </c>
      <c r="I110">
        <v>5</v>
      </c>
      <c r="J110">
        <v>1</v>
      </c>
      <c r="K110" t="s">
        <v>232</v>
      </c>
      <c r="L110" t="str">
        <f>_xlfn.XLOOKUP(AllResponses[[#This Row],[QuestionID]], FinalQuestions!$A:$A, FinalQuestions!$D:$D,"")</f>
        <v>Risk Insight in Decision Making</v>
      </c>
    </row>
    <row r="111" spans="1:12" x14ac:dyDescent="0.35">
      <c r="A111" t="s">
        <v>91</v>
      </c>
      <c r="B111" t="s">
        <v>37</v>
      </c>
      <c r="F111">
        <v>100</v>
      </c>
      <c r="G111" t="s">
        <v>5</v>
      </c>
      <c r="H111" t="s">
        <v>85</v>
      </c>
      <c r="I111">
        <v>5</v>
      </c>
      <c r="J111">
        <v>1</v>
      </c>
      <c r="K111" t="s">
        <v>233</v>
      </c>
      <c r="L111" t="str">
        <f>_xlfn.XLOOKUP(AllResponses[[#This Row],[QuestionID]], FinalQuestions!$A:$A, FinalQuestions!$D:$D,"")</f>
        <v>Learning Culture from Non‑Compliance Cases</v>
      </c>
    </row>
    <row r="112" spans="1:12" x14ac:dyDescent="0.35">
      <c r="A112" t="s">
        <v>91</v>
      </c>
      <c r="B112" t="s">
        <v>39</v>
      </c>
      <c r="F112">
        <v>100</v>
      </c>
      <c r="G112" t="s">
        <v>5</v>
      </c>
      <c r="H112" t="s">
        <v>85</v>
      </c>
      <c r="I112">
        <v>5</v>
      </c>
      <c r="J112">
        <v>1</v>
      </c>
      <c r="K112" t="s">
        <v>234</v>
      </c>
      <c r="L112" t="str">
        <f>_xlfn.XLOOKUP(AllResponses[[#This Row],[QuestionID]], FinalQuestions!$A:$A, FinalQuestions!$D:$D,"")</f>
        <v>Organizational View on Risk Culture</v>
      </c>
    </row>
    <row r="113" spans="1:12" x14ac:dyDescent="0.35">
      <c r="A113" t="s">
        <v>91</v>
      </c>
      <c r="B113" t="s">
        <v>41</v>
      </c>
      <c r="F113">
        <v>100</v>
      </c>
      <c r="G113" t="s">
        <v>5</v>
      </c>
      <c r="H113" t="s">
        <v>85</v>
      </c>
      <c r="I113">
        <v>5</v>
      </c>
      <c r="J113">
        <v>1</v>
      </c>
      <c r="K113" t="s">
        <v>235</v>
      </c>
      <c r="L113" t="str">
        <f>_xlfn.XLOOKUP(AllResponses[[#This Row],[QuestionID]], FinalQuestions!$A:$A, FinalQuestions!$D:$D,"")</f>
        <v>Compliance Recognition &amp; enforcement</v>
      </c>
    </row>
    <row r="114" spans="1:12" x14ac:dyDescent="0.35">
      <c r="A114" t="s">
        <v>91</v>
      </c>
      <c r="B114" t="s">
        <v>43</v>
      </c>
      <c r="F114">
        <v>100</v>
      </c>
      <c r="G114" t="s">
        <v>5</v>
      </c>
      <c r="H114" t="s">
        <v>85</v>
      </c>
      <c r="I114">
        <v>5</v>
      </c>
      <c r="J114">
        <v>1</v>
      </c>
      <c r="K114" t="s">
        <v>236</v>
      </c>
      <c r="L114" t="str">
        <f>_xlfn.XLOOKUP(AllResponses[[#This Row],[QuestionID]], FinalQuestions!$A:$A, FinalQuestions!$D:$D,"")</f>
        <v>Sense of Ownership</v>
      </c>
    </row>
    <row r="115" spans="1:12" x14ac:dyDescent="0.35">
      <c r="A115" t="s">
        <v>91</v>
      </c>
      <c r="B115" t="s">
        <v>45</v>
      </c>
      <c r="F115">
        <v>100</v>
      </c>
      <c r="G115" t="s">
        <v>7</v>
      </c>
      <c r="H115" t="s">
        <v>85</v>
      </c>
      <c r="I115">
        <v>5</v>
      </c>
      <c r="J115">
        <v>1</v>
      </c>
      <c r="K115" t="s">
        <v>237</v>
      </c>
      <c r="L115" t="str">
        <f>_xlfn.XLOOKUP(AllResponses[[#This Row],[QuestionID]], FinalQuestions!$A:$A, FinalQuestions!$D:$D,"")</f>
        <v>Clarity of Role and Responsibilities</v>
      </c>
    </row>
    <row r="116" spans="1:12" x14ac:dyDescent="0.35">
      <c r="A116" t="s">
        <v>91</v>
      </c>
      <c r="B116" t="s">
        <v>47</v>
      </c>
      <c r="F116">
        <v>100</v>
      </c>
      <c r="G116" t="s">
        <v>7</v>
      </c>
      <c r="H116" t="s">
        <v>85</v>
      </c>
      <c r="I116">
        <v>5</v>
      </c>
      <c r="J116">
        <v>1</v>
      </c>
      <c r="K116" t="s">
        <v>238</v>
      </c>
      <c r="L116" t="str">
        <f>_xlfn.XLOOKUP(AllResponses[[#This Row],[QuestionID]], FinalQuestions!$A:$A, FinalQuestions!$D:$D,"")</f>
        <v>Understanding of Risk Policies &amp; Procedures</v>
      </c>
    </row>
    <row r="117" spans="1:12" x14ac:dyDescent="0.35">
      <c r="A117" t="s">
        <v>91</v>
      </c>
      <c r="B117" t="s">
        <v>49</v>
      </c>
      <c r="F117">
        <v>100</v>
      </c>
      <c r="G117" t="s">
        <v>7</v>
      </c>
      <c r="H117" t="s">
        <v>85</v>
      </c>
      <c r="I117">
        <v>5</v>
      </c>
      <c r="J117">
        <v>1</v>
      </c>
      <c r="K117" t="s">
        <v>239</v>
      </c>
      <c r="L117" t="str">
        <f>_xlfn.XLOOKUP(AllResponses[[#This Row],[QuestionID]], FinalQuestions!$A:$A, FinalQuestions!$D:$D,"")</f>
        <v>Clarity of Personal Risk Boundaries</v>
      </c>
    </row>
    <row r="118" spans="1:12" x14ac:dyDescent="0.35">
      <c r="A118" t="s">
        <v>91</v>
      </c>
      <c r="B118" t="s">
        <v>51</v>
      </c>
      <c r="F118">
        <v>100</v>
      </c>
      <c r="G118" t="s">
        <v>7</v>
      </c>
      <c r="H118" t="s">
        <v>85</v>
      </c>
      <c r="I118">
        <v>5</v>
      </c>
      <c r="J118">
        <v>1</v>
      </c>
      <c r="K118" t="s">
        <v>240</v>
      </c>
      <c r="L118" t="str">
        <f>_xlfn.XLOOKUP(AllResponses[[#This Row],[QuestionID]], FinalQuestions!$A:$A, FinalQuestions!$D:$D,"")</f>
        <v>Effectiveness of Risk Communication &amp; Training</v>
      </c>
    </row>
    <row r="119" spans="1:12" x14ac:dyDescent="0.35">
      <c r="A119" t="s">
        <v>91</v>
      </c>
      <c r="B119" t="s">
        <v>53</v>
      </c>
      <c r="F119">
        <v>100</v>
      </c>
      <c r="G119" t="s">
        <v>8</v>
      </c>
      <c r="H119" t="s">
        <v>85</v>
      </c>
      <c r="I119">
        <v>5</v>
      </c>
      <c r="J119">
        <v>1</v>
      </c>
      <c r="K119" t="s">
        <v>249</v>
      </c>
      <c r="L119" t="str">
        <f>_xlfn.XLOOKUP(AllResponses[[#This Row],[QuestionID]], FinalQuestions!$A:$A, FinalQuestions!$D:$D,"")</f>
        <v>Compliance Confidence in team</v>
      </c>
    </row>
    <row r="120" spans="1:12" x14ac:dyDescent="0.35">
      <c r="A120" t="s">
        <v>91</v>
      </c>
      <c r="B120" t="s">
        <v>55</v>
      </c>
      <c r="F120">
        <v>100</v>
      </c>
      <c r="G120" t="s">
        <v>8</v>
      </c>
      <c r="H120" t="s">
        <v>85</v>
      </c>
      <c r="I120">
        <v>5</v>
      </c>
      <c r="J120">
        <v>1</v>
      </c>
      <c r="K120" t="s">
        <v>250</v>
      </c>
      <c r="L120" t="str">
        <f>_xlfn.XLOOKUP(AllResponses[[#This Row],[QuestionID]], FinalQuestions!$A:$A, FinalQuestions!$D:$D,"")</f>
        <v>Transparency in Decision‑Making</v>
      </c>
    </row>
    <row r="121" spans="1:12" x14ac:dyDescent="0.35">
      <c r="A121" t="s">
        <v>91</v>
      </c>
      <c r="B121" t="s">
        <v>57</v>
      </c>
      <c r="F121">
        <v>100</v>
      </c>
      <c r="G121" t="s">
        <v>8</v>
      </c>
      <c r="H121" t="s">
        <v>85</v>
      </c>
      <c r="I121">
        <v>5</v>
      </c>
      <c r="J121">
        <v>1</v>
      </c>
      <c r="K121" t="s">
        <v>251</v>
      </c>
      <c r="L121" t="str">
        <f>_xlfn.XLOOKUP(AllResponses[[#This Row],[QuestionID]], FinalQuestions!$A:$A, FinalQuestions!$D:$D,"")</f>
        <v>Fairness &amp; Equity of Expectations</v>
      </c>
    </row>
    <row r="122" spans="1:12" x14ac:dyDescent="0.35">
      <c r="A122" t="s">
        <v>91</v>
      </c>
      <c r="B122" t="s">
        <v>59</v>
      </c>
      <c r="F122">
        <v>100</v>
      </c>
      <c r="G122" t="s">
        <v>8</v>
      </c>
      <c r="H122" t="s">
        <v>85</v>
      </c>
      <c r="I122">
        <v>5</v>
      </c>
      <c r="J122">
        <v>1</v>
      </c>
      <c r="K122" t="s">
        <v>252</v>
      </c>
      <c r="L122" t="str">
        <f>_xlfn.XLOOKUP(AllResponses[[#This Row],[QuestionID]], FinalQuestions!$A:$A, FinalQuestions!$D:$D,"")</f>
        <v>Leadership Awareness in the team</v>
      </c>
    </row>
    <row r="123" spans="1:12" x14ac:dyDescent="0.35">
      <c r="A123" t="s">
        <v>91</v>
      </c>
      <c r="B123" t="s">
        <v>61</v>
      </c>
      <c r="F123">
        <v>100</v>
      </c>
      <c r="G123" t="s">
        <v>9</v>
      </c>
      <c r="H123" t="s">
        <v>85</v>
      </c>
      <c r="I123">
        <v>5</v>
      </c>
      <c r="J123">
        <v>1</v>
      </c>
      <c r="K123" t="s">
        <v>241</v>
      </c>
      <c r="L123" t="str">
        <f>_xlfn.XLOOKUP(AllResponses[[#This Row],[QuestionID]], FinalQuestions!$A:$A, FinalQuestions!$D:$D,"")</f>
        <v>Motivation for Risk Ownership</v>
      </c>
    </row>
    <row r="124" spans="1:12" x14ac:dyDescent="0.35">
      <c r="A124" t="s">
        <v>91</v>
      </c>
      <c r="B124" t="s">
        <v>63</v>
      </c>
      <c r="F124">
        <v>100</v>
      </c>
      <c r="G124" t="s">
        <v>9</v>
      </c>
      <c r="H124" t="s">
        <v>85</v>
      </c>
      <c r="I124">
        <v>5</v>
      </c>
      <c r="J124">
        <v>1</v>
      </c>
      <c r="K124" t="s">
        <v>242</v>
      </c>
      <c r="L124" t="str">
        <f>_xlfn.XLOOKUP(AllResponses[[#This Row],[QuestionID]], FinalQuestions!$A:$A, FinalQuestions!$D:$D,"")</f>
        <v>Sense of Belonging to the Organization</v>
      </c>
    </row>
    <row r="125" spans="1:12" x14ac:dyDescent="0.35">
      <c r="A125" t="s">
        <v>91</v>
      </c>
      <c r="B125" t="s">
        <v>65</v>
      </c>
      <c r="F125">
        <v>80</v>
      </c>
      <c r="G125" t="s">
        <v>9</v>
      </c>
      <c r="H125" t="s">
        <v>2</v>
      </c>
      <c r="I125">
        <v>4</v>
      </c>
      <c r="J125">
        <v>1</v>
      </c>
      <c r="K125" t="s">
        <v>243</v>
      </c>
      <c r="L125" t="str">
        <f>_xlfn.XLOOKUP(AllResponses[[#This Row],[QuestionID]], FinalQuestions!$A:$A, FinalQuestions!$D:$D,"")</f>
        <v>Consideration of Impact on Others</v>
      </c>
    </row>
    <row r="126" spans="1:12" x14ac:dyDescent="0.35">
      <c r="A126" t="s">
        <v>91</v>
      </c>
      <c r="B126" t="s">
        <v>67</v>
      </c>
      <c r="F126">
        <v>100</v>
      </c>
      <c r="G126" t="s">
        <v>9</v>
      </c>
      <c r="H126" t="s">
        <v>85</v>
      </c>
      <c r="I126">
        <v>5</v>
      </c>
      <c r="J126">
        <v>1</v>
      </c>
      <c r="K126" t="s">
        <v>244</v>
      </c>
      <c r="L126" t="str">
        <f>_xlfn.XLOOKUP(AllResponses[[#This Row],[QuestionID]], FinalQuestions!$A:$A, FinalQuestions!$D:$D,"")</f>
        <v>Accountability for Risk Actions</v>
      </c>
    </row>
    <row r="127" spans="1:12" x14ac:dyDescent="0.35">
      <c r="A127" t="s">
        <v>91</v>
      </c>
      <c r="B127" t="s">
        <v>69</v>
      </c>
      <c r="F127">
        <v>100</v>
      </c>
      <c r="G127" t="s">
        <v>10</v>
      </c>
      <c r="H127" t="s">
        <v>85</v>
      </c>
      <c r="I127">
        <v>5</v>
      </c>
      <c r="J127">
        <v>1</v>
      </c>
      <c r="K127" t="s">
        <v>245</v>
      </c>
      <c r="L127" t="str">
        <f>_xlfn.XLOOKUP(AllResponses[[#This Row],[QuestionID]], FinalQuestions!$A:$A, FinalQuestions!$D:$D,"")</f>
        <v xml:space="preserve">Peer to peer Accountability </v>
      </c>
    </row>
    <row r="128" spans="1:12" x14ac:dyDescent="0.35">
      <c r="A128" t="s">
        <v>91</v>
      </c>
      <c r="B128" t="s">
        <v>71</v>
      </c>
      <c r="F128">
        <v>100</v>
      </c>
      <c r="G128" t="s">
        <v>10</v>
      </c>
      <c r="H128" t="s">
        <v>85</v>
      </c>
      <c r="I128">
        <v>5</v>
      </c>
      <c r="J128">
        <v>1</v>
      </c>
      <c r="K128" t="s">
        <v>246</v>
      </c>
      <c r="L128" t="str">
        <f>_xlfn.XLOOKUP(AllResponses[[#This Row],[QuestionID]], FinalQuestions!$A:$A, FinalQuestions!$D:$D,"")</f>
        <v>Timely Resolution of Accountability Issues</v>
      </c>
    </row>
    <row r="129" spans="1:12" x14ac:dyDescent="0.35">
      <c r="A129" t="s">
        <v>91</v>
      </c>
      <c r="B129" t="s">
        <v>73</v>
      </c>
      <c r="F129">
        <v>100</v>
      </c>
      <c r="G129" t="s">
        <v>10</v>
      </c>
      <c r="H129" t="s">
        <v>85</v>
      </c>
      <c r="I129">
        <v>5</v>
      </c>
      <c r="J129">
        <v>1</v>
      </c>
      <c r="K129" t="s">
        <v>247</v>
      </c>
      <c r="L129" t="str">
        <f>_xlfn.XLOOKUP(AllResponses[[#This Row],[QuestionID]], FinalQuestions!$A:$A, FinalQuestions!$D:$D,"")</f>
        <v>Comfort for Reporting Non‑Compliance.</v>
      </c>
    </row>
    <row r="130" spans="1:12" x14ac:dyDescent="0.35">
      <c r="A130" t="s">
        <v>91</v>
      </c>
      <c r="B130" t="s">
        <v>75</v>
      </c>
      <c r="F130">
        <v>100</v>
      </c>
      <c r="G130" t="s">
        <v>10</v>
      </c>
      <c r="H130" t="s">
        <v>85</v>
      </c>
      <c r="I130">
        <v>5</v>
      </c>
      <c r="J130">
        <v>1</v>
      </c>
      <c r="K130" t="s">
        <v>248</v>
      </c>
      <c r="L130" t="str">
        <f>_xlfn.XLOOKUP(AllResponses[[#This Row],[QuestionID]], FinalQuestions!$A:$A, FinalQuestions!$D:$D,"")</f>
        <v>Consistency of Conduct Enforcement</v>
      </c>
    </row>
    <row r="131" spans="1:12" x14ac:dyDescent="0.35">
      <c r="A131" t="s">
        <v>92</v>
      </c>
      <c r="B131" t="s">
        <v>13</v>
      </c>
      <c r="F131">
        <v>100</v>
      </c>
      <c r="G131" t="s">
        <v>0</v>
      </c>
      <c r="H131" t="s">
        <v>85</v>
      </c>
      <c r="I131">
        <v>5</v>
      </c>
      <c r="J131">
        <v>1</v>
      </c>
      <c r="K131" t="s">
        <v>253</v>
      </c>
      <c r="L131" t="str">
        <f>_xlfn.XLOOKUP(AllResponses[[#This Row],[QuestionID]], FinalQuestions!$A:$A, FinalQuestions!$D:$D,"")</f>
        <v xml:space="preserve">Leadership Example‑Setting in Risk Management </v>
      </c>
    </row>
    <row r="132" spans="1:12" x14ac:dyDescent="0.35">
      <c r="A132" t="s">
        <v>92</v>
      </c>
      <c r="B132" t="s">
        <v>15</v>
      </c>
      <c r="F132">
        <v>100</v>
      </c>
      <c r="G132" t="s">
        <v>0</v>
      </c>
      <c r="H132" t="s">
        <v>85</v>
      </c>
      <c r="I132">
        <v>5</v>
      </c>
      <c r="J132">
        <v>1</v>
      </c>
      <c r="K132" t="s">
        <v>222</v>
      </c>
      <c r="L132" t="str">
        <f>_xlfn.XLOOKUP(AllResponses[[#This Row],[QuestionID]], FinalQuestions!$A:$A, FinalQuestions!$D:$D,"")</f>
        <v>Executive Commitment to Risk Culture</v>
      </c>
    </row>
    <row r="133" spans="1:12" x14ac:dyDescent="0.35">
      <c r="A133" t="s">
        <v>92</v>
      </c>
      <c r="B133" t="s">
        <v>17</v>
      </c>
      <c r="F133">
        <v>100</v>
      </c>
      <c r="G133" t="s">
        <v>0</v>
      </c>
      <c r="H133" t="s">
        <v>85</v>
      </c>
      <c r="I133">
        <v>5</v>
      </c>
      <c r="J133">
        <v>1</v>
      </c>
      <c r="K133" t="s">
        <v>223</v>
      </c>
      <c r="L133" t="str">
        <f>_xlfn.XLOOKUP(AllResponses[[#This Row],[QuestionID]], FinalQuestions!$A:$A, FinalQuestions!$D:$D,"")</f>
        <v>Leadership Encouragement to Escalate Risks</v>
      </c>
    </row>
    <row r="134" spans="1:12" x14ac:dyDescent="0.35">
      <c r="A134" t="s">
        <v>92</v>
      </c>
      <c r="B134" t="s">
        <v>19</v>
      </c>
      <c r="F134">
        <v>100</v>
      </c>
      <c r="G134" t="s">
        <v>0</v>
      </c>
      <c r="H134" t="s">
        <v>85</v>
      </c>
      <c r="I134">
        <v>5</v>
      </c>
      <c r="J134">
        <v>1</v>
      </c>
      <c r="K134" t="s">
        <v>224</v>
      </c>
      <c r="L134" t="str">
        <f>_xlfn.XLOOKUP(AllResponses[[#This Row],[QuestionID]], FinalQuestions!$A:$A, FinalQuestions!$D:$D,"")</f>
        <v>Long-Term Decision Awareness</v>
      </c>
    </row>
    <row r="135" spans="1:12" x14ac:dyDescent="0.35">
      <c r="A135" t="s">
        <v>92</v>
      </c>
      <c r="B135" t="s">
        <v>21</v>
      </c>
      <c r="F135">
        <v>100</v>
      </c>
      <c r="G135" t="s">
        <v>117</v>
      </c>
      <c r="H135" t="s">
        <v>85</v>
      </c>
      <c r="I135">
        <v>5</v>
      </c>
      <c r="J135">
        <v>1</v>
      </c>
      <c r="K135" t="s">
        <v>225</v>
      </c>
      <c r="L135" t="str">
        <f>_xlfn.XLOOKUP(AllResponses[[#This Row],[QuestionID]], FinalQuestions!$A:$A, FinalQuestions!$D:$D,"")</f>
        <v>Openness to Discussions</v>
      </c>
    </row>
    <row r="136" spans="1:12" x14ac:dyDescent="0.35">
      <c r="A136" t="s">
        <v>92</v>
      </c>
      <c r="B136" t="s">
        <v>23</v>
      </c>
      <c r="F136">
        <v>100</v>
      </c>
      <c r="G136" t="s">
        <v>117</v>
      </c>
      <c r="H136" t="s">
        <v>85</v>
      </c>
      <c r="I136">
        <v>5</v>
      </c>
      <c r="J136">
        <v>1</v>
      </c>
      <c r="K136" t="s">
        <v>226</v>
      </c>
      <c r="L136" t="str">
        <f>_xlfn.XLOOKUP(AllResponses[[#This Row],[QuestionID]], FinalQuestions!$A:$A, FinalQuestions!$D:$D,"")</f>
        <v>Access to Guidance</v>
      </c>
    </row>
    <row r="137" spans="1:12" x14ac:dyDescent="0.35">
      <c r="A137" t="s">
        <v>92</v>
      </c>
      <c r="B137" t="s">
        <v>25</v>
      </c>
      <c r="F137">
        <v>100</v>
      </c>
      <c r="G137" t="s">
        <v>117</v>
      </c>
      <c r="H137" t="s">
        <v>85</v>
      </c>
      <c r="I137">
        <v>5</v>
      </c>
      <c r="J137">
        <v>1</v>
      </c>
      <c r="K137" t="s">
        <v>227</v>
      </c>
      <c r="L137" t="str">
        <f>_xlfn.XLOOKUP(AllResponses[[#This Row],[QuestionID]], FinalQuestions!$A:$A, FinalQuestions!$D:$D,"")</f>
        <v>Openness to Sharing Opinions</v>
      </c>
    </row>
    <row r="138" spans="1:12" x14ac:dyDescent="0.35">
      <c r="A138" t="s">
        <v>92</v>
      </c>
      <c r="B138" t="s">
        <v>27</v>
      </c>
      <c r="F138">
        <v>100</v>
      </c>
      <c r="G138" t="s">
        <v>117</v>
      </c>
      <c r="H138" t="s">
        <v>85</v>
      </c>
      <c r="I138">
        <v>5</v>
      </c>
      <c r="J138">
        <v>1</v>
      </c>
      <c r="K138" t="s">
        <v>228</v>
      </c>
      <c r="L138" t="str">
        <f>_xlfn.XLOOKUP(AllResponses[[#This Row],[QuestionID]], FinalQuestions!$A:$A, FinalQuestions!$D:$D,"")</f>
        <v>Comfort in Reporting Risk Dilemmas</v>
      </c>
    </row>
    <row r="139" spans="1:12" x14ac:dyDescent="0.35">
      <c r="A139" t="s">
        <v>92</v>
      </c>
      <c r="B139" t="s">
        <v>29</v>
      </c>
      <c r="F139">
        <v>100</v>
      </c>
      <c r="G139" t="s">
        <v>3</v>
      </c>
      <c r="H139" t="s">
        <v>85</v>
      </c>
      <c r="I139">
        <v>5</v>
      </c>
      <c r="J139">
        <v>1</v>
      </c>
      <c r="K139" t="s">
        <v>229</v>
      </c>
      <c r="L139" t="str">
        <f>_xlfn.XLOOKUP(AllResponses[[#This Row],[QuestionID]], FinalQuestions!$A:$A, FinalQuestions!$D:$D,"")</f>
        <v>Adequacy of Risk Management Training</v>
      </c>
    </row>
    <row r="140" spans="1:12" x14ac:dyDescent="0.35">
      <c r="A140" t="s">
        <v>92</v>
      </c>
      <c r="B140" t="s">
        <v>31</v>
      </c>
      <c r="F140">
        <v>100</v>
      </c>
      <c r="G140" t="s">
        <v>3</v>
      </c>
      <c r="H140" t="s">
        <v>85</v>
      </c>
      <c r="I140">
        <v>5</v>
      </c>
      <c r="J140">
        <v>1</v>
      </c>
      <c r="K140" t="s">
        <v>230</v>
      </c>
      <c r="L140" t="str">
        <f>_xlfn.XLOOKUP(AllResponses[[#This Row],[QuestionID]], FinalQuestions!$A:$A, FinalQuestions!$D:$D,"")</f>
        <v>Workload Balance &amp; Resource Sufficiency</v>
      </c>
    </row>
    <row r="141" spans="1:12" x14ac:dyDescent="0.35">
      <c r="A141" t="s">
        <v>92</v>
      </c>
      <c r="B141" t="s">
        <v>33</v>
      </c>
      <c r="F141">
        <v>100</v>
      </c>
      <c r="G141" t="s">
        <v>3</v>
      </c>
      <c r="H141" t="s">
        <v>85</v>
      </c>
      <c r="I141">
        <v>5</v>
      </c>
      <c r="J141">
        <v>1</v>
      </c>
      <c r="K141" t="s">
        <v>231</v>
      </c>
      <c r="L141" t="str">
        <f>_xlfn.XLOOKUP(AllResponses[[#This Row],[QuestionID]], FinalQuestions!$A:$A, FinalQuestions!$D:$D,"")</f>
        <v>Realistic Target Setting</v>
      </c>
    </row>
    <row r="142" spans="1:12" x14ac:dyDescent="0.35">
      <c r="A142" t="s">
        <v>92</v>
      </c>
      <c r="B142" t="s">
        <v>35</v>
      </c>
      <c r="F142">
        <v>100</v>
      </c>
      <c r="G142" t="s">
        <v>3</v>
      </c>
      <c r="H142" t="s">
        <v>85</v>
      </c>
      <c r="I142">
        <v>5</v>
      </c>
      <c r="J142">
        <v>1</v>
      </c>
      <c r="K142" t="s">
        <v>232</v>
      </c>
      <c r="L142" t="str">
        <f>_xlfn.XLOOKUP(AllResponses[[#This Row],[QuestionID]], FinalQuestions!$A:$A, FinalQuestions!$D:$D,"")</f>
        <v>Risk Insight in Decision Making</v>
      </c>
    </row>
    <row r="143" spans="1:12" x14ac:dyDescent="0.35">
      <c r="A143" t="s">
        <v>92</v>
      </c>
      <c r="B143" t="s">
        <v>37</v>
      </c>
      <c r="F143">
        <v>100</v>
      </c>
      <c r="G143" t="s">
        <v>5</v>
      </c>
      <c r="H143" t="s">
        <v>85</v>
      </c>
      <c r="I143">
        <v>5</v>
      </c>
      <c r="J143">
        <v>1</v>
      </c>
      <c r="K143" t="s">
        <v>233</v>
      </c>
      <c r="L143" t="str">
        <f>_xlfn.XLOOKUP(AllResponses[[#This Row],[QuestionID]], FinalQuestions!$A:$A, FinalQuestions!$D:$D,"")</f>
        <v>Learning Culture from Non‑Compliance Cases</v>
      </c>
    </row>
    <row r="144" spans="1:12" x14ac:dyDescent="0.35">
      <c r="A144" t="s">
        <v>92</v>
      </c>
      <c r="B144" t="s">
        <v>39</v>
      </c>
      <c r="F144">
        <v>100</v>
      </c>
      <c r="G144" t="s">
        <v>5</v>
      </c>
      <c r="H144" t="s">
        <v>85</v>
      </c>
      <c r="I144">
        <v>5</v>
      </c>
      <c r="J144">
        <v>1</v>
      </c>
      <c r="K144" t="s">
        <v>234</v>
      </c>
      <c r="L144" t="str">
        <f>_xlfn.XLOOKUP(AllResponses[[#This Row],[QuestionID]], FinalQuestions!$A:$A, FinalQuestions!$D:$D,"")</f>
        <v>Organizational View on Risk Culture</v>
      </c>
    </row>
    <row r="145" spans="1:12" x14ac:dyDescent="0.35">
      <c r="A145" t="s">
        <v>92</v>
      </c>
      <c r="B145" t="s">
        <v>41</v>
      </c>
      <c r="F145">
        <v>100</v>
      </c>
      <c r="G145" t="s">
        <v>5</v>
      </c>
      <c r="H145" t="s">
        <v>85</v>
      </c>
      <c r="I145">
        <v>5</v>
      </c>
      <c r="J145">
        <v>1</v>
      </c>
      <c r="K145" t="s">
        <v>235</v>
      </c>
      <c r="L145" t="str">
        <f>_xlfn.XLOOKUP(AllResponses[[#This Row],[QuestionID]], FinalQuestions!$A:$A, FinalQuestions!$D:$D,"")</f>
        <v>Compliance Recognition &amp; enforcement</v>
      </c>
    </row>
    <row r="146" spans="1:12" x14ac:dyDescent="0.35">
      <c r="A146" t="s">
        <v>92</v>
      </c>
      <c r="B146" t="s">
        <v>43</v>
      </c>
      <c r="F146">
        <v>100</v>
      </c>
      <c r="G146" t="s">
        <v>5</v>
      </c>
      <c r="H146" t="s">
        <v>85</v>
      </c>
      <c r="I146">
        <v>5</v>
      </c>
      <c r="J146">
        <v>1</v>
      </c>
      <c r="K146" t="s">
        <v>236</v>
      </c>
      <c r="L146" t="str">
        <f>_xlfn.XLOOKUP(AllResponses[[#This Row],[QuestionID]], FinalQuestions!$A:$A, FinalQuestions!$D:$D,"")</f>
        <v>Sense of Ownership</v>
      </c>
    </row>
    <row r="147" spans="1:12" x14ac:dyDescent="0.35">
      <c r="A147" t="s">
        <v>92</v>
      </c>
      <c r="B147" t="s">
        <v>45</v>
      </c>
      <c r="F147">
        <v>60</v>
      </c>
      <c r="G147" t="s">
        <v>7</v>
      </c>
      <c r="H147" t="s">
        <v>4</v>
      </c>
      <c r="I147">
        <v>3</v>
      </c>
      <c r="J147">
        <v>0</v>
      </c>
      <c r="K147" t="s">
        <v>237</v>
      </c>
      <c r="L147" t="str">
        <f>_xlfn.XLOOKUP(AllResponses[[#This Row],[QuestionID]], FinalQuestions!$A:$A, FinalQuestions!$D:$D,"")</f>
        <v>Clarity of Role and Responsibilities</v>
      </c>
    </row>
    <row r="148" spans="1:12" x14ac:dyDescent="0.35">
      <c r="A148" t="s">
        <v>92</v>
      </c>
      <c r="B148" t="s">
        <v>47</v>
      </c>
      <c r="F148">
        <v>60</v>
      </c>
      <c r="G148" t="s">
        <v>7</v>
      </c>
      <c r="H148" t="s">
        <v>4</v>
      </c>
      <c r="I148">
        <v>3</v>
      </c>
      <c r="J148">
        <v>0</v>
      </c>
      <c r="K148" t="s">
        <v>238</v>
      </c>
      <c r="L148" t="str">
        <f>_xlfn.XLOOKUP(AllResponses[[#This Row],[QuestionID]], FinalQuestions!$A:$A, FinalQuestions!$D:$D,"")</f>
        <v>Understanding of Risk Policies &amp; Procedures</v>
      </c>
    </row>
    <row r="149" spans="1:12" x14ac:dyDescent="0.35">
      <c r="A149" t="s">
        <v>92</v>
      </c>
      <c r="B149" t="s">
        <v>49</v>
      </c>
      <c r="F149">
        <v>60</v>
      </c>
      <c r="G149" t="s">
        <v>7</v>
      </c>
      <c r="H149" t="s">
        <v>4</v>
      </c>
      <c r="I149">
        <v>3</v>
      </c>
      <c r="J149">
        <v>0</v>
      </c>
      <c r="K149" t="s">
        <v>239</v>
      </c>
      <c r="L149" t="str">
        <f>_xlfn.XLOOKUP(AllResponses[[#This Row],[QuestionID]], FinalQuestions!$A:$A, FinalQuestions!$D:$D,"")</f>
        <v>Clarity of Personal Risk Boundaries</v>
      </c>
    </row>
    <row r="150" spans="1:12" x14ac:dyDescent="0.35">
      <c r="A150" t="s">
        <v>92</v>
      </c>
      <c r="B150" t="s">
        <v>51</v>
      </c>
      <c r="F150">
        <v>60</v>
      </c>
      <c r="G150" t="s">
        <v>7</v>
      </c>
      <c r="H150" t="s">
        <v>4</v>
      </c>
      <c r="I150">
        <v>3</v>
      </c>
      <c r="J150">
        <v>0</v>
      </c>
      <c r="K150" t="s">
        <v>240</v>
      </c>
      <c r="L150" t="str">
        <f>_xlfn.XLOOKUP(AllResponses[[#This Row],[QuestionID]], FinalQuestions!$A:$A, FinalQuestions!$D:$D,"")</f>
        <v>Effectiveness of Risk Communication &amp; Training</v>
      </c>
    </row>
    <row r="151" spans="1:12" x14ac:dyDescent="0.35">
      <c r="A151" t="s">
        <v>92</v>
      </c>
      <c r="B151" t="s">
        <v>53</v>
      </c>
      <c r="F151">
        <v>60</v>
      </c>
      <c r="G151" t="s">
        <v>8</v>
      </c>
      <c r="H151" t="s">
        <v>4</v>
      </c>
      <c r="I151">
        <v>3</v>
      </c>
      <c r="J151">
        <v>0</v>
      </c>
      <c r="K151" t="s">
        <v>249</v>
      </c>
      <c r="L151" t="str">
        <f>_xlfn.XLOOKUP(AllResponses[[#This Row],[QuestionID]], FinalQuestions!$A:$A, FinalQuestions!$D:$D,"")</f>
        <v>Compliance Confidence in team</v>
      </c>
    </row>
    <row r="152" spans="1:12" x14ac:dyDescent="0.35">
      <c r="A152" t="s">
        <v>92</v>
      </c>
      <c r="B152" t="s">
        <v>55</v>
      </c>
      <c r="F152">
        <v>60</v>
      </c>
      <c r="G152" t="s">
        <v>8</v>
      </c>
      <c r="H152" t="s">
        <v>4</v>
      </c>
      <c r="I152">
        <v>3</v>
      </c>
      <c r="J152">
        <v>0</v>
      </c>
      <c r="K152" t="s">
        <v>250</v>
      </c>
      <c r="L152" t="str">
        <f>_xlfn.XLOOKUP(AllResponses[[#This Row],[QuestionID]], FinalQuestions!$A:$A, FinalQuestions!$D:$D,"")</f>
        <v>Transparency in Decision‑Making</v>
      </c>
    </row>
    <row r="153" spans="1:12" x14ac:dyDescent="0.35">
      <c r="A153" t="s">
        <v>92</v>
      </c>
      <c r="B153" t="s">
        <v>57</v>
      </c>
      <c r="F153">
        <v>60</v>
      </c>
      <c r="G153" t="s">
        <v>8</v>
      </c>
      <c r="H153" t="s">
        <v>4</v>
      </c>
      <c r="I153">
        <v>3</v>
      </c>
      <c r="J153">
        <v>0</v>
      </c>
      <c r="K153" t="s">
        <v>251</v>
      </c>
      <c r="L153" t="str">
        <f>_xlfn.XLOOKUP(AllResponses[[#This Row],[QuestionID]], FinalQuestions!$A:$A, FinalQuestions!$D:$D,"")</f>
        <v>Fairness &amp; Equity of Expectations</v>
      </c>
    </row>
    <row r="154" spans="1:12" x14ac:dyDescent="0.35">
      <c r="A154" t="s">
        <v>92</v>
      </c>
      <c r="B154" t="s">
        <v>59</v>
      </c>
      <c r="F154">
        <v>60</v>
      </c>
      <c r="G154" t="s">
        <v>8</v>
      </c>
      <c r="H154" t="s">
        <v>4</v>
      </c>
      <c r="I154">
        <v>3</v>
      </c>
      <c r="J154">
        <v>0</v>
      </c>
      <c r="K154" t="s">
        <v>252</v>
      </c>
      <c r="L154" t="str">
        <f>_xlfn.XLOOKUP(AllResponses[[#This Row],[QuestionID]], FinalQuestions!$A:$A, FinalQuestions!$D:$D,"")</f>
        <v>Leadership Awareness in the team</v>
      </c>
    </row>
    <row r="155" spans="1:12" x14ac:dyDescent="0.35">
      <c r="A155" t="s">
        <v>92</v>
      </c>
      <c r="B155" t="s">
        <v>61</v>
      </c>
      <c r="F155">
        <v>60</v>
      </c>
      <c r="G155" t="s">
        <v>9</v>
      </c>
      <c r="H155" t="s">
        <v>4</v>
      </c>
      <c r="I155">
        <v>3</v>
      </c>
      <c r="J155">
        <v>0</v>
      </c>
      <c r="K155" t="s">
        <v>241</v>
      </c>
      <c r="L155" t="str">
        <f>_xlfn.XLOOKUP(AllResponses[[#This Row],[QuestionID]], FinalQuestions!$A:$A, FinalQuestions!$D:$D,"")</f>
        <v>Motivation for Risk Ownership</v>
      </c>
    </row>
    <row r="156" spans="1:12" x14ac:dyDescent="0.35">
      <c r="A156" t="s">
        <v>92</v>
      </c>
      <c r="B156" t="s">
        <v>63</v>
      </c>
      <c r="F156">
        <v>60</v>
      </c>
      <c r="G156" t="s">
        <v>9</v>
      </c>
      <c r="H156" t="s">
        <v>4</v>
      </c>
      <c r="I156">
        <v>3</v>
      </c>
      <c r="J156">
        <v>0</v>
      </c>
      <c r="K156" t="s">
        <v>242</v>
      </c>
      <c r="L156" t="str">
        <f>_xlfn.XLOOKUP(AllResponses[[#This Row],[QuestionID]], FinalQuestions!$A:$A, FinalQuestions!$D:$D,"")</f>
        <v>Sense of Belonging to the Organization</v>
      </c>
    </row>
    <row r="157" spans="1:12" x14ac:dyDescent="0.35">
      <c r="A157" t="s">
        <v>92</v>
      </c>
      <c r="B157" t="s">
        <v>65</v>
      </c>
      <c r="F157">
        <v>60</v>
      </c>
      <c r="G157" t="s">
        <v>9</v>
      </c>
      <c r="H157" t="s">
        <v>4</v>
      </c>
      <c r="I157">
        <v>3</v>
      </c>
      <c r="J157">
        <v>0</v>
      </c>
      <c r="K157" t="s">
        <v>243</v>
      </c>
      <c r="L157" t="str">
        <f>_xlfn.XLOOKUP(AllResponses[[#This Row],[QuestionID]], FinalQuestions!$A:$A, FinalQuestions!$D:$D,"")</f>
        <v>Consideration of Impact on Others</v>
      </c>
    </row>
    <row r="158" spans="1:12" x14ac:dyDescent="0.35">
      <c r="A158" t="s">
        <v>92</v>
      </c>
      <c r="B158" t="s">
        <v>67</v>
      </c>
      <c r="F158">
        <v>60</v>
      </c>
      <c r="G158" t="s">
        <v>9</v>
      </c>
      <c r="H158" t="s">
        <v>4</v>
      </c>
      <c r="I158">
        <v>3</v>
      </c>
      <c r="J158">
        <v>0</v>
      </c>
      <c r="K158" t="s">
        <v>244</v>
      </c>
      <c r="L158" t="str">
        <f>_xlfn.XLOOKUP(AllResponses[[#This Row],[QuestionID]], FinalQuestions!$A:$A, FinalQuestions!$D:$D,"")</f>
        <v>Accountability for Risk Actions</v>
      </c>
    </row>
    <row r="159" spans="1:12" x14ac:dyDescent="0.35">
      <c r="A159" t="s">
        <v>92</v>
      </c>
      <c r="B159" t="s">
        <v>69</v>
      </c>
      <c r="F159">
        <v>60</v>
      </c>
      <c r="G159" t="s">
        <v>10</v>
      </c>
      <c r="H159" t="s">
        <v>4</v>
      </c>
      <c r="I159">
        <v>3</v>
      </c>
      <c r="J159">
        <v>0</v>
      </c>
      <c r="K159" t="s">
        <v>245</v>
      </c>
      <c r="L159" t="str">
        <f>_xlfn.XLOOKUP(AllResponses[[#This Row],[QuestionID]], FinalQuestions!$A:$A, FinalQuestions!$D:$D,"")</f>
        <v xml:space="preserve">Peer to peer Accountability </v>
      </c>
    </row>
    <row r="160" spans="1:12" x14ac:dyDescent="0.35">
      <c r="A160" t="s">
        <v>92</v>
      </c>
      <c r="B160" t="s">
        <v>71</v>
      </c>
      <c r="F160">
        <v>60</v>
      </c>
      <c r="G160" t="s">
        <v>10</v>
      </c>
      <c r="H160" t="s">
        <v>4</v>
      </c>
      <c r="I160">
        <v>3</v>
      </c>
      <c r="J160">
        <v>0</v>
      </c>
      <c r="K160" t="s">
        <v>246</v>
      </c>
      <c r="L160" t="str">
        <f>_xlfn.XLOOKUP(AllResponses[[#This Row],[QuestionID]], FinalQuestions!$A:$A, FinalQuestions!$D:$D,"")</f>
        <v>Timely Resolution of Accountability Issues</v>
      </c>
    </row>
    <row r="161" spans="1:12" x14ac:dyDescent="0.35">
      <c r="A161" t="s">
        <v>92</v>
      </c>
      <c r="B161" t="s">
        <v>73</v>
      </c>
      <c r="F161">
        <v>60</v>
      </c>
      <c r="G161" t="s">
        <v>10</v>
      </c>
      <c r="H161" t="s">
        <v>4</v>
      </c>
      <c r="I161">
        <v>3</v>
      </c>
      <c r="J161">
        <v>0</v>
      </c>
      <c r="K161" t="s">
        <v>247</v>
      </c>
      <c r="L161" t="str">
        <f>_xlfn.XLOOKUP(AllResponses[[#This Row],[QuestionID]], FinalQuestions!$A:$A, FinalQuestions!$D:$D,"")</f>
        <v>Comfort for Reporting Non‑Compliance.</v>
      </c>
    </row>
    <row r="162" spans="1:12" x14ac:dyDescent="0.35">
      <c r="A162" t="s">
        <v>92</v>
      </c>
      <c r="B162" t="s">
        <v>75</v>
      </c>
      <c r="F162">
        <v>60</v>
      </c>
      <c r="G162" t="s">
        <v>10</v>
      </c>
      <c r="H162" t="s">
        <v>4</v>
      </c>
      <c r="I162">
        <v>3</v>
      </c>
      <c r="J162">
        <v>0</v>
      </c>
      <c r="K162" t="s">
        <v>248</v>
      </c>
      <c r="L162" t="str">
        <f>_xlfn.XLOOKUP(AllResponses[[#This Row],[QuestionID]], FinalQuestions!$A:$A, FinalQuestions!$D:$D,"")</f>
        <v>Consistency of Conduct Enforcement</v>
      </c>
    </row>
    <row r="163" spans="1:12" x14ac:dyDescent="0.35">
      <c r="A163" t="s">
        <v>92</v>
      </c>
      <c r="B163" t="s">
        <v>13</v>
      </c>
      <c r="F163">
        <v>60</v>
      </c>
      <c r="G163" t="s">
        <v>0</v>
      </c>
      <c r="H163" t="s">
        <v>4</v>
      </c>
      <c r="I163">
        <v>3</v>
      </c>
      <c r="J163">
        <v>0</v>
      </c>
      <c r="K163" t="s">
        <v>253</v>
      </c>
      <c r="L163" t="str">
        <f>_xlfn.XLOOKUP(AllResponses[[#This Row],[QuestionID]], FinalQuestions!$A:$A, FinalQuestions!$D:$D,"")</f>
        <v xml:space="preserve">Leadership Example‑Setting in Risk Management </v>
      </c>
    </row>
    <row r="164" spans="1:12" x14ac:dyDescent="0.35">
      <c r="A164" t="s">
        <v>92</v>
      </c>
      <c r="B164" t="s">
        <v>15</v>
      </c>
      <c r="F164">
        <v>60</v>
      </c>
      <c r="G164" t="s">
        <v>0</v>
      </c>
      <c r="H164" t="s">
        <v>4</v>
      </c>
      <c r="I164">
        <v>3</v>
      </c>
      <c r="J164">
        <v>0</v>
      </c>
      <c r="K164" t="s">
        <v>222</v>
      </c>
      <c r="L164" t="str">
        <f>_xlfn.XLOOKUP(AllResponses[[#This Row],[QuestionID]], FinalQuestions!$A:$A, FinalQuestions!$D:$D,"")</f>
        <v>Executive Commitment to Risk Culture</v>
      </c>
    </row>
    <row r="165" spans="1:12" x14ac:dyDescent="0.35">
      <c r="A165" t="s">
        <v>92</v>
      </c>
      <c r="B165" t="s">
        <v>17</v>
      </c>
      <c r="F165">
        <v>60</v>
      </c>
      <c r="G165" t="s">
        <v>0</v>
      </c>
      <c r="H165" t="s">
        <v>4</v>
      </c>
      <c r="I165">
        <v>3</v>
      </c>
      <c r="J165">
        <v>0</v>
      </c>
      <c r="K165" t="s">
        <v>223</v>
      </c>
      <c r="L165" t="str">
        <f>_xlfn.XLOOKUP(AllResponses[[#This Row],[QuestionID]], FinalQuestions!$A:$A, FinalQuestions!$D:$D,"")</f>
        <v>Leadership Encouragement to Escalate Risks</v>
      </c>
    </row>
    <row r="166" spans="1:12" x14ac:dyDescent="0.35">
      <c r="A166" t="s">
        <v>92</v>
      </c>
      <c r="B166" t="s">
        <v>19</v>
      </c>
      <c r="F166">
        <v>60</v>
      </c>
      <c r="G166" t="s">
        <v>0</v>
      </c>
      <c r="H166" t="s">
        <v>4</v>
      </c>
      <c r="I166">
        <v>3</v>
      </c>
      <c r="J166">
        <v>0</v>
      </c>
      <c r="K166" t="s">
        <v>224</v>
      </c>
      <c r="L166" t="str">
        <f>_xlfn.XLOOKUP(AllResponses[[#This Row],[QuestionID]], FinalQuestions!$A:$A, FinalQuestions!$D:$D,"")</f>
        <v>Long-Term Decision Awareness</v>
      </c>
    </row>
    <row r="167" spans="1:12" x14ac:dyDescent="0.35">
      <c r="A167" t="s">
        <v>92</v>
      </c>
      <c r="B167" t="s">
        <v>21</v>
      </c>
      <c r="F167">
        <v>60</v>
      </c>
      <c r="G167" t="s">
        <v>117</v>
      </c>
      <c r="H167" t="s">
        <v>4</v>
      </c>
      <c r="I167">
        <v>3</v>
      </c>
      <c r="J167">
        <v>0</v>
      </c>
      <c r="K167" t="s">
        <v>225</v>
      </c>
      <c r="L167" t="str">
        <f>_xlfn.XLOOKUP(AllResponses[[#This Row],[QuestionID]], FinalQuestions!$A:$A, FinalQuestions!$D:$D,"")</f>
        <v>Openness to Discussions</v>
      </c>
    </row>
    <row r="168" spans="1:12" x14ac:dyDescent="0.35">
      <c r="A168" t="s">
        <v>92</v>
      </c>
      <c r="B168" t="s">
        <v>23</v>
      </c>
      <c r="F168">
        <v>60</v>
      </c>
      <c r="G168" t="s">
        <v>117</v>
      </c>
      <c r="H168" t="s">
        <v>4</v>
      </c>
      <c r="I168">
        <v>3</v>
      </c>
      <c r="J168">
        <v>0</v>
      </c>
      <c r="K168" t="s">
        <v>226</v>
      </c>
      <c r="L168" t="str">
        <f>_xlfn.XLOOKUP(AllResponses[[#This Row],[QuestionID]], FinalQuestions!$A:$A, FinalQuestions!$D:$D,"")</f>
        <v>Access to Guidance</v>
      </c>
    </row>
    <row r="169" spans="1:12" x14ac:dyDescent="0.35">
      <c r="A169" t="s">
        <v>92</v>
      </c>
      <c r="B169" t="s">
        <v>25</v>
      </c>
      <c r="F169">
        <v>60</v>
      </c>
      <c r="G169" t="s">
        <v>117</v>
      </c>
      <c r="H169" t="s">
        <v>4</v>
      </c>
      <c r="I169">
        <v>3</v>
      </c>
      <c r="J169">
        <v>0</v>
      </c>
      <c r="K169" t="s">
        <v>227</v>
      </c>
      <c r="L169" t="str">
        <f>_xlfn.XLOOKUP(AllResponses[[#This Row],[QuestionID]], FinalQuestions!$A:$A, FinalQuestions!$D:$D,"")</f>
        <v>Openness to Sharing Opinions</v>
      </c>
    </row>
    <row r="170" spans="1:12" x14ac:dyDescent="0.35">
      <c r="A170" t="s">
        <v>92</v>
      </c>
      <c r="B170" t="s">
        <v>27</v>
      </c>
      <c r="F170">
        <v>60</v>
      </c>
      <c r="G170" t="s">
        <v>117</v>
      </c>
      <c r="H170" t="s">
        <v>4</v>
      </c>
      <c r="I170">
        <v>3</v>
      </c>
      <c r="J170">
        <v>0</v>
      </c>
      <c r="K170" t="s">
        <v>228</v>
      </c>
      <c r="L170" t="str">
        <f>_xlfn.XLOOKUP(AllResponses[[#This Row],[QuestionID]], FinalQuestions!$A:$A, FinalQuestions!$D:$D,"")</f>
        <v>Comfort in Reporting Risk Dilemmas</v>
      </c>
    </row>
    <row r="171" spans="1:12" x14ac:dyDescent="0.35">
      <c r="A171" t="s">
        <v>92</v>
      </c>
      <c r="B171" t="s">
        <v>29</v>
      </c>
      <c r="F171">
        <v>60</v>
      </c>
      <c r="G171" t="s">
        <v>3</v>
      </c>
      <c r="H171" t="s">
        <v>4</v>
      </c>
      <c r="I171">
        <v>3</v>
      </c>
      <c r="J171">
        <v>0</v>
      </c>
      <c r="K171" t="s">
        <v>229</v>
      </c>
      <c r="L171" t="str">
        <f>_xlfn.XLOOKUP(AllResponses[[#This Row],[QuestionID]], FinalQuestions!$A:$A, FinalQuestions!$D:$D,"")</f>
        <v>Adequacy of Risk Management Training</v>
      </c>
    </row>
    <row r="172" spans="1:12" x14ac:dyDescent="0.35">
      <c r="A172" t="s">
        <v>92</v>
      </c>
      <c r="B172" t="s">
        <v>31</v>
      </c>
      <c r="F172">
        <v>60</v>
      </c>
      <c r="G172" t="s">
        <v>3</v>
      </c>
      <c r="H172" t="s">
        <v>4</v>
      </c>
      <c r="I172">
        <v>3</v>
      </c>
      <c r="J172">
        <v>0</v>
      </c>
      <c r="K172" t="s">
        <v>230</v>
      </c>
      <c r="L172" t="str">
        <f>_xlfn.XLOOKUP(AllResponses[[#This Row],[QuestionID]], FinalQuestions!$A:$A, FinalQuestions!$D:$D,"")</f>
        <v>Workload Balance &amp; Resource Sufficiency</v>
      </c>
    </row>
    <row r="173" spans="1:12" x14ac:dyDescent="0.35">
      <c r="A173" t="s">
        <v>92</v>
      </c>
      <c r="B173" t="s">
        <v>33</v>
      </c>
      <c r="F173">
        <v>60</v>
      </c>
      <c r="G173" t="s">
        <v>3</v>
      </c>
      <c r="H173" t="s">
        <v>4</v>
      </c>
      <c r="I173">
        <v>3</v>
      </c>
      <c r="J173">
        <v>0</v>
      </c>
      <c r="K173" t="s">
        <v>231</v>
      </c>
      <c r="L173" t="str">
        <f>_xlfn.XLOOKUP(AllResponses[[#This Row],[QuestionID]], FinalQuestions!$A:$A, FinalQuestions!$D:$D,"")</f>
        <v>Realistic Target Setting</v>
      </c>
    </row>
    <row r="174" spans="1:12" x14ac:dyDescent="0.35">
      <c r="A174" t="s">
        <v>92</v>
      </c>
      <c r="B174" t="s">
        <v>35</v>
      </c>
      <c r="F174">
        <v>60</v>
      </c>
      <c r="G174" t="s">
        <v>3</v>
      </c>
      <c r="H174" t="s">
        <v>4</v>
      </c>
      <c r="I174">
        <v>3</v>
      </c>
      <c r="J174">
        <v>0</v>
      </c>
      <c r="K174" t="s">
        <v>232</v>
      </c>
      <c r="L174" t="str">
        <f>_xlfn.XLOOKUP(AllResponses[[#This Row],[QuestionID]], FinalQuestions!$A:$A, FinalQuestions!$D:$D,"")</f>
        <v>Risk Insight in Decision Making</v>
      </c>
    </row>
    <row r="175" spans="1:12" x14ac:dyDescent="0.35">
      <c r="A175" t="s">
        <v>92</v>
      </c>
      <c r="B175" t="s">
        <v>37</v>
      </c>
      <c r="F175">
        <v>60</v>
      </c>
      <c r="G175" t="s">
        <v>5</v>
      </c>
      <c r="H175" t="s">
        <v>4</v>
      </c>
      <c r="I175">
        <v>3</v>
      </c>
      <c r="J175">
        <v>0</v>
      </c>
      <c r="K175" t="s">
        <v>233</v>
      </c>
      <c r="L175" t="str">
        <f>_xlfn.XLOOKUP(AllResponses[[#This Row],[QuestionID]], FinalQuestions!$A:$A, FinalQuestions!$D:$D,"")</f>
        <v>Learning Culture from Non‑Compliance Cases</v>
      </c>
    </row>
    <row r="176" spans="1:12" x14ac:dyDescent="0.35">
      <c r="A176" t="s">
        <v>92</v>
      </c>
      <c r="B176" t="s">
        <v>39</v>
      </c>
      <c r="F176">
        <v>60</v>
      </c>
      <c r="G176" t="s">
        <v>5</v>
      </c>
      <c r="H176" t="s">
        <v>4</v>
      </c>
      <c r="I176">
        <v>3</v>
      </c>
      <c r="J176">
        <v>0</v>
      </c>
      <c r="K176" t="s">
        <v>234</v>
      </c>
      <c r="L176" t="str">
        <f>_xlfn.XLOOKUP(AllResponses[[#This Row],[QuestionID]], FinalQuestions!$A:$A, FinalQuestions!$D:$D,"")</f>
        <v>Organizational View on Risk Culture</v>
      </c>
    </row>
    <row r="177" spans="1:12" x14ac:dyDescent="0.35">
      <c r="A177" t="s">
        <v>92</v>
      </c>
      <c r="B177" t="s">
        <v>41</v>
      </c>
      <c r="F177">
        <v>60</v>
      </c>
      <c r="G177" t="s">
        <v>5</v>
      </c>
      <c r="H177" t="s">
        <v>4</v>
      </c>
      <c r="I177">
        <v>3</v>
      </c>
      <c r="J177">
        <v>0</v>
      </c>
      <c r="K177" t="s">
        <v>235</v>
      </c>
      <c r="L177" t="str">
        <f>_xlfn.XLOOKUP(AllResponses[[#This Row],[QuestionID]], FinalQuestions!$A:$A, FinalQuestions!$D:$D,"")</f>
        <v>Compliance Recognition &amp; enforcement</v>
      </c>
    </row>
    <row r="178" spans="1:12" x14ac:dyDescent="0.35">
      <c r="A178" t="s">
        <v>92</v>
      </c>
      <c r="B178" t="s">
        <v>43</v>
      </c>
      <c r="F178">
        <v>60</v>
      </c>
      <c r="G178" t="s">
        <v>5</v>
      </c>
      <c r="H178" t="s">
        <v>4</v>
      </c>
      <c r="I178">
        <v>3</v>
      </c>
      <c r="J178">
        <v>0</v>
      </c>
      <c r="K178" t="s">
        <v>236</v>
      </c>
      <c r="L178" t="str">
        <f>_xlfn.XLOOKUP(AllResponses[[#This Row],[QuestionID]], FinalQuestions!$A:$A, FinalQuestions!$D:$D,"")</f>
        <v>Sense of Ownership</v>
      </c>
    </row>
    <row r="179" spans="1:12" x14ac:dyDescent="0.35">
      <c r="A179" t="s">
        <v>92</v>
      </c>
      <c r="B179" t="s">
        <v>45</v>
      </c>
      <c r="F179">
        <v>60</v>
      </c>
      <c r="G179" t="s">
        <v>7</v>
      </c>
      <c r="H179" t="s">
        <v>4</v>
      </c>
      <c r="I179">
        <v>3</v>
      </c>
      <c r="J179">
        <v>0</v>
      </c>
      <c r="K179" t="s">
        <v>237</v>
      </c>
      <c r="L179" t="str">
        <f>_xlfn.XLOOKUP(AllResponses[[#This Row],[QuestionID]], FinalQuestions!$A:$A, FinalQuestions!$D:$D,"")</f>
        <v>Clarity of Role and Responsibilities</v>
      </c>
    </row>
    <row r="180" spans="1:12" x14ac:dyDescent="0.35">
      <c r="A180" t="s">
        <v>92</v>
      </c>
      <c r="B180" t="s">
        <v>47</v>
      </c>
      <c r="F180">
        <v>60</v>
      </c>
      <c r="G180" t="s">
        <v>7</v>
      </c>
      <c r="H180" t="s">
        <v>4</v>
      </c>
      <c r="I180">
        <v>3</v>
      </c>
      <c r="J180">
        <v>0</v>
      </c>
      <c r="K180" t="s">
        <v>238</v>
      </c>
      <c r="L180" t="str">
        <f>_xlfn.XLOOKUP(AllResponses[[#This Row],[QuestionID]], FinalQuestions!$A:$A, FinalQuestions!$D:$D,"")</f>
        <v>Understanding of Risk Policies &amp; Procedures</v>
      </c>
    </row>
    <row r="181" spans="1:12" x14ac:dyDescent="0.35">
      <c r="A181" t="s">
        <v>92</v>
      </c>
      <c r="B181" t="s">
        <v>49</v>
      </c>
      <c r="F181">
        <v>60</v>
      </c>
      <c r="G181" t="s">
        <v>7</v>
      </c>
      <c r="H181" t="s">
        <v>4</v>
      </c>
      <c r="I181">
        <v>3</v>
      </c>
      <c r="J181">
        <v>0</v>
      </c>
      <c r="K181" t="s">
        <v>239</v>
      </c>
      <c r="L181" t="str">
        <f>_xlfn.XLOOKUP(AllResponses[[#This Row],[QuestionID]], FinalQuestions!$A:$A, FinalQuestions!$D:$D,"")</f>
        <v>Clarity of Personal Risk Boundaries</v>
      </c>
    </row>
    <row r="182" spans="1:12" x14ac:dyDescent="0.35">
      <c r="A182" t="s">
        <v>92</v>
      </c>
      <c r="B182" t="s">
        <v>51</v>
      </c>
      <c r="F182">
        <v>60</v>
      </c>
      <c r="G182" t="s">
        <v>7</v>
      </c>
      <c r="H182" t="s">
        <v>4</v>
      </c>
      <c r="I182">
        <v>3</v>
      </c>
      <c r="J182">
        <v>0</v>
      </c>
      <c r="K182" t="s">
        <v>240</v>
      </c>
      <c r="L182" t="str">
        <f>_xlfn.XLOOKUP(AllResponses[[#This Row],[QuestionID]], FinalQuestions!$A:$A, FinalQuestions!$D:$D,"")</f>
        <v>Effectiveness of Risk Communication &amp; Training</v>
      </c>
    </row>
    <row r="183" spans="1:12" x14ac:dyDescent="0.35">
      <c r="A183" t="s">
        <v>92</v>
      </c>
      <c r="B183" t="s">
        <v>53</v>
      </c>
      <c r="F183">
        <v>60</v>
      </c>
      <c r="G183" t="s">
        <v>8</v>
      </c>
      <c r="H183" t="s">
        <v>4</v>
      </c>
      <c r="I183">
        <v>3</v>
      </c>
      <c r="J183">
        <v>0</v>
      </c>
      <c r="K183" t="s">
        <v>249</v>
      </c>
      <c r="L183" t="str">
        <f>_xlfn.XLOOKUP(AllResponses[[#This Row],[QuestionID]], FinalQuestions!$A:$A, FinalQuestions!$D:$D,"")</f>
        <v>Compliance Confidence in team</v>
      </c>
    </row>
    <row r="184" spans="1:12" x14ac:dyDescent="0.35">
      <c r="A184" t="s">
        <v>92</v>
      </c>
      <c r="B184" t="s">
        <v>55</v>
      </c>
      <c r="F184">
        <v>60</v>
      </c>
      <c r="G184" t="s">
        <v>8</v>
      </c>
      <c r="H184" t="s">
        <v>4</v>
      </c>
      <c r="I184">
        <v>3</v>
      </c>
      <c r="J184">
        <v>0</v>
      </c>
      <c r="K184" t="s">
        <v>250</v>
      </c>
      <c r="L184" t="str">
        <f>_xlfn.XLOOKUP(AllResponses[[#This Row],[QuestionID]], FinalQuestions!$A:$A, FinalQuestions!$D:$D,"")</f>
        <v>Transparency in Decision‑Making</v>
      </c>
    </row>
    <row r="185" spans="1:12" x14ac:dyDescent="0.35">
      <c r="A185" t="s">
        <v>92</v>
      </c>
      <c r="B185" t="s">
        <v>57</v>
      </c>
      <c r="F185">
        <v>60</v>
      </c>
      <c r="G185" t="s">
        <v>8</v>
      </c>
      <c r="H185" t="s">
        <v>4</v>
      </c>
      <c r="I185">
        <v>3</v>
      </c>
      <c r="J185">
        <v>0</v>
      </c>
      <c r="K185" t="s">
        <v>251</v>
      </c>
      <c r="L185" t="str">
        <f>_xlfn.XLOOKUP(AllResponses[[#This Row],[QuestionID]], FinalQuestions!$A:$A, FinalQuestions!$D:$D,"")</f>
        <v>Fairness &amp; Equity of Expectations</v>
      </c>
    </row>
    <row r="186" spans="1:12" x14ac:dyDescent="0.35">
      <c r="A186" t="s">
        <v>92</v>
      </c>
      <c r="B186" t="s">
        <v>59</v>
      </c>
      <c r="F186">
        <v>60</v>
      </c>
      <c r="G186" t="s">
        <v>8</v>
      </c>
      <c r="H186" t="s">
        <v>4</v>
      </c>
      <c r="I186">
        <v>3</v>
      </c>
      <c r="J186">
        <v>0</v>
      </c>
      <c r="K186" t="s">
        <v>252</v>
      </c>
      <c r="L186" t="str">
        <f>_xlfn.XLOOKUP(AllResponses[[#This Row],[QuestionID]], FinalQuestions!$A:$A, FinalQuestions!$D:$D,"")</f>
        <v>Leadership Awareness in the team</v>
      </c>
    </row>
    <row r="187" spans="1:12" x14ac:dyDescent="0.35">
      <c r="A187" t="s">
        <v>92</v>
      </c>
      <c r="B187" t="s">
        <v>61</v>
      </c>
      <c r="F187">
        <v>60</v>
      </c>
      <c r="G187" t="s">
        <v>9</v>
      </c>
      <c r="H187" t="s">
        <v>4</v>
      </c>
      <c r="I187">
        <v>3</v>
      </c>
      <c r="J187">
        <v>0</v>
      </c>
      <c r="K187" t="s">
        <v>241</v>
      </c>
      <c r="L187" t="str">
        <f>_xlfn.XLOOKUP(AllResponses[[#This Row],[QuestionID]], FinalQuestions!$A:$A, FinalQuestions!$D:$D,"")</f>
        <v>Motivation for Risk Ownership</v>
      </c>
    </row>
    <row r="188" spans="1:12" x14ac:dyDescent="0.35">
      <c r="A188" t="s">
        <v>92</v>
      </c>
      <c r="B188" t="s">
        <v>63</v>
      </c>
      <c r="F188">
        <v>60</v>
      </c>
      <c r="G188" t="s">
        <v>9</v>
      </c>
      <c r="H188" t="s">
        <v>4</v>
      </c>
      <c r="I188">
        <v>3</v>
      </c>
      <c r="J188">
        <v>0</v>
      </c>
      <c r="K188" t="s">
        <v>242</v>
      </c>
      <c r="L188" t="str">
        <f>_xlfn.XLOOKUP(AllResponses[[#This Row],[QuestionID]], FinalQuestions!$A:$A, FinalQuestions!$D:$D,"")</f>
        <v>Sense of Belonging to the Organization</v>
      </c>
    </row>
    <row r="189" spans="1:12" x14ac:dyDescent="0.35">
      <c r="A189" t="s">
        <v>92</v>
      </c>
      <c r="B189" t="s">
        <v>65</v>
      </c>
      <c r="F189">
        <v>60</v>
      </c>
      <c r="G189" t="s">
        <v>9</v>
      </c>
      <c r="H189" t="s">
        <v>4</v>
      </c>
      <c r="I189">
        <v>3</v>
      </c>
      <c r="J189">
        <v>0</v>
      </c>
      <c r="K189" t="s">
        <v>243</v>
      </c>
      <c r="L189" t="str">
        <f>_xlfn.XLOOKUP(AllResponses[[#This Row],[QuestionID]], FinalQuestions!$A:$A, FinalQuestions!$D:$D,"")</f>
        <v>Consideration of Impact on Others</v>
      </c>
    </row>
    <row r="190" spans="1:12" x14ac:dyDescent="0.35">
      <c r="A190" t="s">
        <v>92</v>
      </c>
      <c r="B190" t="s">
        <v>67</v>
      </c>
      <c r="F190">
        <v>60</v>
      </c>
      <c r="G190" t="s">
        <v>9</v>
      </c>
      <c r="H190" t="s">
        <v>4</v>
      </c>
      <c r="I190">
        <v>3</v>
      </c>
      <c r="J190">
        <v>0</v>
      </c>
      <c r="K190" t="s">
        <v>244</v>
      </c>
      <c r="L190" t="str">
        <f>_xlfn.XLOOKUP(AllResponses[[#This Row],[QuestionID]], FinalQuestions!$A:$A, FinalQuestions!$D:$D,"")</f>
        <v>Accountability for Risk Actions</v>
      </c>
    </row>
    <row r="191" spans="1:12" x14ac:dyDescent="0.35">
      <c r="A191" t="s">
        <v>92</v>
      </c>
      <c r="B191" t="s">
        <v>69</v>
      </c>
      <c r="F191">
        <v>60</v>
      </c>
      <c r="G191" t="s">
        <v>10</v>
      </c>
      <c r="H191" t="s">
        <v>4</v>
      </c>
      <c r="I191">
        <v>3</v>
      </c>
      <c r="J191">
        <v>0</v>
      </c>
      <c r="K191" t="s">
        <v>245</v>
      </c>
      <c r="L191" t="str">
        <f>_xlfn.XLOOKUP(AllResponses[[#This Row],[QuestionID]], FinalQuestions!$A:$A, FinalQuestions!$D:$D,"")</f>
        <v xml:space="preserve">Peer to peer Accountability </v>
      </c>
    </row>
    <row r="192" spans="1:12" x14ac:dyDescent="0.35">
      <c r="A192" t="s">
        <v>92</v>
      </c>
      <c r="B192" t="s">
        <v>71</v>
      </c>
      <c r="F192">
        <v>60</v>
      </c>
      <c r="G192" t="s">
        <v>10</v>
      </c>
      <c r="H192" t="s">
        <v>4</v>
      </c>
      <c r="I192">
        <v>3</v>
      </c>
      <c r="J192">
        <v>0</v>
      </c>
      <c r="K192" t="s">
        <v>246</v>
      </c>
      <c r="L192" t="str">
        <f>_xlfn.XLOOKUP(AllResponses[[#This Row],[QuestionID]], FinalQuestions!$A:$A, FinalQuestions!$D:$D,"")</f>
        <v>Timely Resolution of Accountability Issues</v>
      </c>
    </row>
    <row r="193" spans="1:12" x14ac:dyDescent="0.35">
      <c r="A193" t="s">
        <v>92</v>
      </c>
      <c r="B193" t="s">
        <v>73</v>
      </c>
      <c r="F193">
        <v>60</v>
      </c>
      <c r="G193" t="s">
        <v>10</v>
      </c>
      <c r="H193" t="s">
        <v>4</v>
      </c>
      <c r="I193">
        <v>3</v>
      </c>
      <c r="J193">
        <v>0</v>
      </c>
      <c r="K193" t="s">
        <v>247</v>
      </c>
      <c r="L193" t="str">
        <f>_xlfn.XLOOKUP(AllResponses[[#This Row],[QuestionID]], FinalQuestions!$A:$A, FinalQuestions!$D:$D,"")</f>
        <v>Comfort for Reporting Non‑Compliance.</v>
      </c>
    </row>
    <row r="194" spans="1:12" x14ac:dyDescent="0.35">
      <c r="A194" t="s">
        <v>92</v>
      </c>
      <c r="B194" t="s">
        <v>75</v>
      </c>
      <c r="F194">
        <v>60</v>
      </c>
      <c r="G194" t="s">
        <v>10</v>
      </c>
      <c r="H194" t="s">
        <v>4</v>
      </c>
      <c r="I194">
        <v>3</v>
      </c>
      <c r="J194">
        <v>0</v>
      </c>
      <c r="K194" t="s">
        <v>248</v>
      </c>
      <c r="L194" t="str">
        <f>_xlfn.XLOOKUP(AllResponses[[#This Row],[QuestionID]], FinalQuestions!$A:$A, FinalQuestions!$D:$D,"")</f>
        <v>Consistency of Conduct Enforcement</v>
      </c>
    </row>
    <row r="195" spans="1:12" x14ac:dyDescent="0.35">
      <c r="A195" t="s">
        <v>93</v>
      </c>
      <c r="B195" t="s">
        <v>13</v>
      </c>
      <c r="F195">
        <v>60</v>
      </c>
      <c r="G195" t="s">
        <v>0</v>
      </c>
      <c r="H195" t="s">
        <v>4</v>
      </c>
      <c r="I195">
        <v>3</v>
      </c>
      <c r="J195">
        <v>0</v>
      </c>
      <c r="K195" t="s">
        <v>253</v>
      </c>
      <c r="L195" t="str">
        <f>_xlfn.XLOOKUP(AllResponses[[#This Row],[QuestionID]], FinalQuestions!$A:$A, FinalQuestions!$D:$D,"")</f>
        <v xml:space="preserve">Leadership Example‑Setting in Risk Management </v>
      </c>
    </row>
    <row r="196" spans="1:12" x14ac:dyDescent="0.35">
      <c r="A196" t="s">
        <v>93</v>
      </c>
      <c r="B196" t="s">
        <v>15</v>
      </c>
      <c r="F196">
        <v>60</v>
      </c>
      <c r="G196" t="s">
        <v>0</v>
      </c>
      <c r="H196" t="s">
        <v>4</v>
      </c>
      <c r="I196">
        <v>3</v>
      </c>
      <c r="J196">
        <v>0</v>
      </c>
      <c r="K196" t="s">
        <v>222</v>
      </c>
      <c r="L196" t="str">
        <f>_xlfn.XLOOKUP(AllResponses[[#This Row],[QuestionID]], FinalQuestions!$A:$A, FinalQuestions!$D:$D,"")</f>
        <v>Executive Commitment to Risk Culture</v>
      </c>
    </row>
    <row r="197" spans="1:12" x14ac:dyDescent="0.35">
      <c r="A197" t="s">
        <v>93</v>
      </c>
      <c r="B197" t="s">
        <v>17</v>
      </c>
      <c r="F197">
        <v>60</v>
      </c>
      <c r="G197" t="s">
        <v>0</v>
      </c>
      <c r="H197" t="s">
        <v>4</v>
      </c>
      <c r="I197">
        <v>3</v>
      </c>
      <c r="J197">
        <v>0</v>
      </c>
      <c r="K197" t="s">
        <v>223</v>
      </c>
      <c r="L197" t="str">
        <f>_xlfn.XLOOKUP(AllResponses[[#This Row],[QuestionID]], FinalQuestions!$A:$A, FinalQuestions!$D:$D,"")</f>
        <v>Leadership Encouragement to Escalate Risks</v>
      </c>
    </row>
    <row r="198" spans="1:12" x14ac:dyDescent="0.35">
      <c r="A198" t="s">
        <v>93</v>
      </c>
      <c r="B198" t="s">
        <v>19</v>
      </c>
      <c r="F198">
        <v>60</v>
      </c>
      <c r="G198" t="s">
        <v>0</v>
      </c>
      <c r="H198" t="s">
        <v>4</v>
      </c>
      <c r="I198">
        <v>3</v>
      </c>
      <c r="J198">
        <v>0</v>
      </c>
      <c r="K198" t="s">
        <v>224</v>
      </c>
      <c r="L198" t="str">
        <f>_xlfn.XLOOKUP(AllResponses[[#This Row],[QuestionID]], FinalQuestions!$A:$A, FinalQuestions!$D:$D,"")</f>
        <v>Long-Term Decision Awareness</v>
      </c>
    </row>
    <row r="199" spans="1:12" x14ac:dyDescent="0.35">
      <c r="A199" t="s">
        <v>93</v>
      </c>
      <c r="B199" t="s">
        <v>21</v>
      </c>
      <c r="F199">
        <v>60</v>
      </c>
      <c r="G199" t="s">
        <v>117</v>
      </c>
      <c r="H199" t="s">
        <v>4</v>
      </c>
      <c r="I199">
        <v>3</v>
      </c>
      <c r="J199">
        <v>0</v>
      </c>
      <c r="K199" t="s">
        <v>225</v>
      </c>
      <c r="L199" t="str">
        <f>_xlfn.XLOOKUP(AllResponses[[#This Row],[QuestionID]], FinalQuestions!$A:$A, FinalQuestions!$D:$D,"")</f>
        <v>Openness to Discussions</v>
      </c>
    </row>
    <row r="200" spans="1:12" x14ac:dyDescent="0.35">
      <c r="A200" t="s">
        <v>93</v>
      </c>
      <c r="B200" t="s">
        <v>23</v>
      </c>
      <c r="F200">
        <v>60</v>
      </c>
      <c r="G200" t="s">
        <v>117</v>
      </c>
      <c r="H200" t="s">
        <v>4</v>
      </c>
      <c r="I200">
        <v>3</v>
      </c>
      <c r="J200">
        <v>0</v>
      </c>
      <c r="K200" t="s">
        <v>226</v>
      </c>
      <c r="L200" t="str">
        <f>_xlfn.XLOOKUP(AllResponses[[#This Row],[QuestionID]], FinalQuestions!$A:$A, FinalQuestions!$D:$D,"")</f>
        <v>Access to Guidance</v>
      </c>
    </row>
    <row r="201" spans="1:12" x14ac:dyDescent="0.35">
      <c r="A201" t="s">
        <v>93</v>
      </c>
      <c r="B201" t="s">
        <v>25</v>
      </c>
      <c r="F201">
        <v>60</v>
      </c>
      <c r="G201" t="s">
        <v>117</v>
      </c>
      <c r="H201" t="s">
        <v>4</v>
      </c>
      <c r="I201">
        <v>3</v>
      </c>
      <c r="J201">
        <v>0</v>
      </c>
      <c r="K201" t="s">
        <v>227</v>
      </c>
      <c r="L201" t="str">
        <f>_xlfn.XLOOKUP(AllResponses[[#This Row],[QuestionID]], FinalQuestions!$A:$A, FinalQuestions!$D:$D,"")</f>
        <v>Openness to Sharing Opinions</v>
      </c>
    </row>
    <row r="202" spans="1:12" x14ac:dyDescent="0.35">
      <c r="A202" t="s">
        <v>93</v>
      </c>
      <c r="B202" t="s">
        <v>27</v>
      </c>
      <c r="F202">
        <v>60</v>
      </c>
      <c r="G202" t="s">
        <v>117</v>
      </c>
      <c r="H202" t="s">
        <v>4</v>
      </c>
      <c r="I202">
        <v>3</v>
      </c>
      <c r="J202">
        <v>0</v>
      </c>
      <c r="K202" t="s">
        <v>228</v>
      </c>
      <c r="L202" t="str">
        <f>_xlfn.XLOOKUP(AllResponses[[#This Row],[QuestionID]], FinalQuestions!$A:$A, FinalQuestions!$D:$D,"")</f>
        <v>Comfort in Reporting Risk Dilemmas</v>
      </c>
    </row>
    <row r="203" spans="1:12" x14ac:dyDescent="0.35">
      <c r="A203" t="s">
        <v>93</v>
      </c>
      <c r="B203" t="s">
        <v>29</v>
      </c>
      <c r="F203">
        <v>60</v>
      </c>
      <c r="G203" t="s">
        <v>3</v>
      </c>
      <c r="H203" t="s">
        <v>4</v>
      </c>
      <c r="I203">
        <v>3</v>
      </c>
      <c r="J203">
        <v>0</v>
      </c>
      <c r="K203" t="s">
        <v>229</v>
      </c>
      <c r="L203" t="str">
        <f>_xlfn.XLOOKUP(AllResponses[[#This Row],[QuestionID]], FinalQuestions!$A:$A, FinalQuestions!$D:$D,"")</f>
        <v>Adequacy of Risk Management Training</v>
      </c>
    </row>
    <row r="204" spans="1:12" x14ac:dyDescent="0.35">
      <c r="A204" t="s">
        <v>93</v>
      </c>
      <c r="B204" t="s">
        <v>31</v>
      </c>
      <c r="F204">
        <v>60</v>
      </c>
      <c r="G204" t="s">
        <v>3</v>
      </c>
      <c r="H204" t="s">
        <v>4</v>
      </c>
      <c r="I204">
        <v>3</v>
      </c>
      <c r="J204">
        <v>0</v>
      </c>
      <c r="K204" t="s">
        <v>230</v>
      </c>
      <c r="L204" t="str">
        <f>_xlfn.XLOOKUP(AllResponses[[#This Row],[QuestionID]], FinalQuestions!$A:$A, FinalQuestions!$D:$D,"")</f>
        <v>Workload Balance &amp; Resource Sufficiency</v>
      </c>
    </row>
    <row r="205" spans="1:12" x14ac:dyDescent="0.35">
      <c r="A205" t="s">
        <v>93</v>
      </c>
      <c r="B205" t="s">
        <v>33</v>
      </c>
      <c r="F205">
        <v>60</v>
      </c>
      <c r="G205" t="s">
        <v>3</v>
      </c>
      <c r="H205" t="s">
        <v>4</v>
      </c>
      <c r="I205">
        <v>3</v>
      </c>
      <c r="J205">
        <v>0</v>
      </c>
      <c r="K205" t="s">
        <v>231</v>
      </c>
      <c r="L205" t="str">
        <f>_xlfn.XLOOKUP(AllResponses[[#This Row],[QuestionID]], FinalQuestions!$A:$A, FinalQuestions!$D:$D,"")</f>
        <v>Realistic Target Setting</v>
      </c>
    </row>
    <row r="206" spans="1:12" x14ac:dyDescent="0.35">
      <c r="A206" t="s">
        <v>93</v>
      </c>
      <c r="B206" t="s">
        <v>35</v>
      </c>
      <c r="F206">
        <v>60</v>
      </c>
      <c r="G206" t="s">
        <v>3</v>
      </c>
      <c r="H206" t="s">
        <v>4</v>
      </c>
      <c r="I206">
        <v>3</v>
      </c>
      <c r="J206">
        <v>0</v>
      </c>
      <c r="K206" t="s">
        <v>232</v>
      </c>
      <c r="L206" t="str">
        <f>_xlfn.XLOOKUP(AllResponses[[#This Row],[QuestionID]], FinalQuestions!$A:$A, FinalQuestions!$D:$D,"")</f>
        <v>Risk Insight in Decision Making</v>
      </c>
    </row>
    <row r="207" spans="1:12" x14ac:dyDescent="0.35">
      <c r="A207" t="s">
        <v>93</v>
      </c>
      <c r="B207" t="s">
        <v>37</v>
      </c>
      <c r="F207">
        <v>60</v>
      </c>
      <c r="G207" t="s">
        <v>5</v>
      </c>
      <c r="H207" t="s">
        <v>4</v>
      </c>
      <c r="I207">
        <v>3</v>
      </c>
      <c r="J207">
        <v>0</v>
      </c>
      <c r="K207" t="s">
        <v>233</v>
      </c>
      <c r="L207" t="str">
        <f>_xlfn.XLOOKUP(AllResponses[[#This Row],[QuestionID]], FinalQuestions!$A:$A, FinalQuestions!$D:$D,"")</f>
        <v>Learning Culture from Non‑Compliance Cases</v>
      </c>
    </row>
    <row r="208" spans="1:12" x14ac:dyDescent="0.35">
      <c r="A208" t="s">
        <v>93</v>
      </c>
      <c r="B208" t="s">
        <v>39</v>
      </c>
      <c r="F208">
        <v>60</v>
      </c>
      <c r="G208" t="s">
        <v>5</v>
      </c>
      <c r="H208" t="s">
        <v>4</v>
      </c>
      <c r="I208">
        <v>3</v>
      </c>
      <c r="J208">
        <v>0</v>
      </c>
      <c r="K208" t="s">
        <v>234</v>
      </c>
      <c r="L208" t="str">
        <f>_xlfn.XLOOKUP(AllResponses[[#This Row],[QuestionID]], FinalQuestions!$A:$A, FinalQuestions!$D:$D,"")</f>
        <v>Organizational View on Risk Culture</v>
      </c>
    </row>
    <row r="209" spans="1:12" x14ac:dyDescent="0.35">
      <c r="A209" t="s">
        <v>93</v>
      </c>
      <c r="B209" t="s">
        <v>41</v>
      </c>
      <c r="F209">
        <v>60</v>
      </c>
      <c r="G209" t="s">
        <v>5</v>
      </c>
      <c r="H209" t="s">
        <v>4</v>
      </c>
      <c r="I209">
        <v>3</v>
      </c>
      <c r="J209">
        <v>0</v>
      </c>
      <c r="K209" t="s">
        <v>235</v>
      </c>
      <c r="L209" t="str">
        <f>_xlfn.XLOOKUP(AllResponses[[#This Row],[QuestionID]], FinalQuestions!$A:$A, FinalQuestions!$D:$D,"")</f>
        <v>Compliance Recognition &amp; enforcement</v>
      </c>
    </row>
    <row r="210" spans="1:12" x14ac:dyDescent="0.35">
      <c r="A210" t="s">
        <v>93</v>
      </c>
      <c r="B210" t="s">
        <v>43</v>
      </c>
      <c r="F210">
        <v>60</v>
      </c>
      <c r="G210" t="s">
        <v>5</v>
      </c>
      <c r="H210" t="s">
        <v>4</v>
      </c>
      <c r="I210">
        <v>3</v>
      </c>
      <c r="J210">
        <v>0</v>
      </c>
      <c r="K210" t="s">
        <v>236</v>
      </c>
      <c r="L210" t="str">
        <f>_xlfn.XLOOKUP(AllResponses[[#This Row],[QuestionID]], FinalQuestions!$A:$A, FinalQuestions!$D:$D,"")</f>
        <v>Sense of Ownership</v>
      </c>
    </row>
    <row r="211" spans="1:12" x14ac:dyDescent="0.35">
      <c r="A211" t="s">
        <v>93</v>
      </c>
      <c r="B211" t="s">
        <v>45</v>
      </c>
      <c r="F211">
        <v>60</v>
      </c>
      <c r="G211" t="s">
        <v>7</v>
      </c>
      <c r="H211" t="s">
        <v>4</v>
      </c>
      <c r="I211">
        <v>3</v>
      </c>
      <c r="J211">
        <v>0</v>
      </c>
      <c r="K211" t="s">
        <v>237</v>
      </c>
      <c r="L211" t="str">
        <f>_xlfn.XLOOKUP(AllResponses[[#This Row],[QuestionID]], FinalQuestions!$A:$A, FinalQuestions!$D:$D,"")</f>
        <v>Clarity of Role and Responsibilities</v>
      </c>
    </row>
    <row r="212" spans="1:12" x14ac:dyDescent="0.35">
      <c r="A212" t="s">
        <v>93</v>
      </c>
      <c r="B212" t="s">
        <v>47</v>
      </c>
      <c r="F212">
        <v>60</v>
      </c>
      <c r="G212" t="s">
        <v>7</v>
      </c>
      <c r="H212" t="s">
        <v>4</v>
      </c>
      <c r="I212">
        <v>3</v>
      </c>
      <c r="J212">
        <v>0</v>
      </c>
      <c r="K212" t="s">
        <v>238</v>
      </c>
      <c r="L212" t="str">
        <f>_xlfn.XLOOKUP(AllResponses[[#This Row],[QuestionID]], FinalQuestions!$A:$A, FinalQuestions!$D:$D,"")</f>
        <v>Understanding of Risk Policies &amp; Procedures</v>
      </c>
    </row>
    <row r="213" spans="1:12" x14ac:dyDescent="0.35">
      <c r="A213" t="s">
        <v>93</v>
      </c>
      <c r="B213" t="s">
        <v>49</v>
      </c>
      <c r="F213">
        <v>60</v>
      </c>
      <c r="G213" t="s">
        <v>7</v>
      </c>
      <c r="H213" t="s">
        <v>4</v>
      </c>
      <c r="I213">
        <v>3</v>
      </c>
      <c r="J213">
        <v>0</v>
      </c>
      <c r="K213" t="s">
        <v>239</v>
      </c>
      <c r="L213" t="str">
        <f>_xlfn.XLOOKUP(AllResponses[[#This Row],[QuestionID]], FinalQuestions!$A:$A, FinalQuestions!$D:$D,"")</f>
        <v>Clarity of Personal Risk Boundaries</v>
      </c>
    </row>
    <row r="214" spans="1:12" x14ac:dyDescent="0.35">
      <c r="A214" t="s">
        <v>93</v>
      </c>
      <c r="B214" t="s">
        <v>51</v>
      </c>
      <c r="F214">
        <v>60</v>
      </c>
      <c r="G214" t="s">
        <v>7</v>
      </c>
      <c r="H214" t="s">
        <v>4</v>
      </c>
      <c r="I214">
        <v>3</v>
      </c>
      <c r="J214">
        <v>0</v>
      </c>
      <c r="K214" t="s">
        <v>240</v>
      </c>
      <c r="L214" t="str">
        <f>_xlfn.XLOOKUP(AllResponses[[#This Row],[QuestionID]], FinalQuestions!$A:$A, FinalQuestions!$D:$D,"")</f>
        <v>Effectiveness of Risk Communication &amp; Training</v>
      </c>
    </row>
    <row r="215" spans="1:12" x14ac:dyDescent="0.35">
      <c r="A215" t="s">
        <v>93</v>
      </c>
      <c r="B215" t="s">
        <v>53</v>
      </c>
      <c r="F215">
        <v>60</v>
      </c>
      <c r="G215" t="s">
        <v>8</v>
      </c>
      <c r="H215" t="s">
        <v>4</v>
      </c>
      <c r="I215">
        <v>3</v>
      </c>
      <c r="J215">
        <v>0</v>
      </c>
      <c r="K215" t="s">
        <v>249</v>
      </c>
      <c r="L215" t="str">
        <f>_xlfn.XLOOKUP(AllResponses[[#This Row],[QuestionID]], FinalQuestions!$A:$A, FinalQuestions!$D:$D,"")</f>
        <v>Compliance Confidence in team</v>
      </c>
    </row>
    <row r="216" spans="1:12" x14ac:dyDescent="0.35">
      <c r="A216" t="s">
        <v>93</v>
      </c>
      <c r="B216" t="s">
        <v>55</v>
      </c>
      <c r="F216">
        <v>60</v>
      </c>
      <c r="G216" t="s">
        <v>8</v>
      </c>
      <c r="H216" t="s">
        <v>4</v>
      </c>
      <c r="I216">
        <v>3</v>
      </c>
      <c r="J216">
        <v>0</v>
      </c>
      <c r="K216" t="s">
        <v>250</v>
      </c>
      <c r="L216" t="str">
        <f>_xlfn.XLOOKUP(AllResponses[[#This Row],[QuestionID]], FinalQuestions!$A:$A, FinalQuestions!$D:$D,"")</f>
        <v>Transparency in Decision‑Making</v>
      </c>
    </row>
    <row r="217" spans="1:12" x14ac:dyDescent="0.35">
      <c r="A217" t="s">
        <v>93</v>
      </c>
      <c r="B217" t="s">
        <v>57</v>
      </c>
      <c r="F217">
        <v>60</v>
      </c>
      <c r="G217" t="s">
        <v>8</v>
      </c>
      <c r="H217" t="s">
        <v>4</v>
      </c>
      <c r="I217">
        <v>3</v>
      </c>
      <c r="J217">
        <v>0</v>
      </c>
      <c r="K217" t="s">
        <v>251</v>
      </c>
      <c r="L217" t="str">
        <f>_xlfn.XLOOKUP(AllResponses[[#This Row],[QuestionID]], FinalQuestions!$A:$A, FinalQuestions!$D:$D,"")</f>
        <v>Fairness &amp; Equity of Expectations</v>
      </c>
    </row>
    <row r="218" spans="1:12" x14ac:dyDescent="0.35">
      <c r="A218" t="s">
        <v>93</v>
      </c>
      <c r="B218" t="s">
        <v>59</v>
      </c>
      <c r="F218">
        <v>60</v>
      </c>
      <c r="G218" t="s">
        <v>8</v>
      </c>
      <c r="H218" t="s">
        <v>4</v>
      </c>
      <c r="I218">
        <v>3</v>
      </c>
      <c r="J218">
        <v>0</v>
      </c>
      <c r="K218" t="s">
        <v>252</v>
      </c>
      <c r="L218" t="str">
        <f>_xlfn.XLOOKUP(AllResponses[[#This Row],[QuestionID]], FinalQuestions!$A:$A, FinalQuestions!$D:$D,"")</f>
        <v>Leadership Awareness in the team</v>
      </c>
    </row>
    <row r="219" spans="1:12" x14ac:dyDescent="0.35">
      <c r="A219" t="s">
        <v>93</v>
      </c>
      <c r="B219" t="s">
        <v>61</v>
      </c>
      <c r="F219">
        <v>60</v>
      </c>
      <c r="G219" t="s">
        <v>9</v>
      </c>
      <c r="H219" t="s">
        <v>4</v>
      </c>
      <c r="I219">
        <v>3</v>
      </c>
      <c r="J219">
        <v>0</v>
      </c>
      <c r="K219" t="s">
        <v>241</v>
      </c>
      <c r="L219" t="str">
        <f>_xlfn.XLOOKUP(AllResponses[[#This Row],[QuestionID]], FinalQuestions!$A:$A, FinalQuestions!$D:$D,"")</f>
        <v>Motivation for Risk Ownership</v>
      </c>
    </row>
    <row r="220" spans="1:12" x14ac:dyDescent="0.35">
      <c r="A220" t="s">
        <v>93</v>
      </c>
      <c r="B220" t="s">
        <v>63</v>
      </c>
      <c r="F220">
        <v>60</v>
      </c>
      <c r="G220" t="s">
        <v>9</v>
      </c>
      <c r="H220" t="s">
        <v>4</v>
      </c>
      <c r="I220">
        <v>3</v>
      </c>
      <c r="J220">
        <v>0</v>
      </c>
      <c r="K220" t="s">
        <v>242</v>
      </c>
      <c r="L220" t="str">
        <f>_xlfn.XLOOKUP(AllResponses[[#This Row],[QuestionID]], FinalQuestions!$A:$A, FinalQuestions!$D:$D,"")</f>
        <v>Sense of Belonging to the Organization</v>
      </c>
    </row>
    <row r="221" spans="1:12" x14ac:dyDescent="0.35">
      <c r="A221" t="s">
        <v>93</v>
      </c>
      <c r="B221" t="s">
        <v>65</v>
      </c>
      <c r="F221">
        <v>60</v>
      </c>
      <c r="G221" t="s">
        <v>9</v>
      </c>
      <c r="H221" t="s">
        <v>4</v>
      </c>
      <c r="I221">
        <v>3</v>
      </c>
      <c r="J221">
        <v>0</v>
      </c>
      <c r="K221" t="s">
        <v>243</v>
      </c>
      <c r="L221" t="str">
        <f>_xlfn.XLOOKUP(AllResponses[[#This Row],[QuestionID]], FinalQuestions!$A:$A, FinalQuestions!$D:$D,"")</f>
        <v>Consideration of Impact on Others</v>
      </c>
    </row>
    <row r="222" spans="1:12" x14ac:dyDescent="0.35">
      <c r="A222" t="s">
        <v>93</v>
      </c>
      <c r="B222" t="s">
        <v>67</v>
      </c>
      <c r="F222">
        <v>60</v>
      </c>
      <c r="G222" t="s">
        <v>9</v>
      </c>
      <c r="H222" t="s">
        <v>4</v>
      </c>
      <c r="I222">
        <v>3</v>
      </c>
      <c r="J222">
        <v>0</v>
      </c>
      <c r="K222" t="s">
        <v>244</v>
      </c>
      <c r="L222" t="str">
        <f>_xlfn.XLOOKUP(AllResponses[[#This Row],[QuestionID]], FinalQuestions!$A:$A, FinalQuestions!$D:$D,"")</f>
        <v>Accountability for Risk Actions</v>
      </c>
    </row>
    <row r="223" spans="1:12" x14ac:dyDescent="0.35">
      <c r="A223" t="s">
        <v>93</v>
      </c>
      <c r="B223" t="s">
        <v>69</v>
      </c>
      <c r="F223">
        <v>60</v>
      </c>
      <c r="G223" t="s">
        <v>10</v>
      </c>
      <c r="H223" t="s">
        <v>4</v>
      </c>
      <c r="I223">
        <v>3</v>
      </c>
      <c r="J223">
        <v>0</v>
      </c>
      <c r="K223" t="s">
        <v>245</v>
      </c>
      <c r="L223" t="str">
        <f>_xlfn.XLOOKUP(AllResponses[[#This Row],[QuestionID]], FinalQuestions!$A:$A, FinalQuestions!$D:$D,"")</f>
        <v xml:space="preserve">Peer to peer Accountability </v>
      </c>
    </row>
    <row r="224" spans="1:12" x14ac:dyDescent="0.35">
      <c r="A224" t="s">
        <v>93</v>
      </c>
      <c r="B224" t="s">
        <v>71</v>
      </c>
      <c r="F224">
        <v>60</v>
      </c>
      <c r="G224" t="s">
        <v>10</v>
      </c>
      <c r="H224" t="s">
        <v>4</v>
      </c>
      <c r="I224">
        <v>3</v>
      </c>
      <c r="J224">
        <v>0</v>
      </c>
      <c r="K224" t="s">
        <v>246</v>
      </c>
      <c r="L224" t="str">
        <f>_xlfn.XLOOKUP(AllResponses[[#This Row],[QuestionID]], FinalQuestions!$A:$A, FinalQuestions!$D:$D,"")</f>
        <v>Timely Resolution of Accountability Issues</v>
      </c>
    </row>
    <row r="225" spans="1:12" x14ac:dyDescent="0.35">
      <c r="A225" t="s">
        <v>93</v>
      </c>
      <c r="B225" t="s">
        <v>73</v>
      </c>
      <c r="F225">
        <v>60</v>
      </c>
      <c r="G225" t="s">
        <v>10</v>
      </c>
      <c r="H225" t="s">
        <v>4</v>
      </c>
      <c r="I225">
        <v>3</v>
      </c>
      <c r="J225">
        <v>0</v>
      </c>
      <c r="K225" t="s">
        <v>247</v>
      </c>
      <c r="L225" t="str">
        <f>_xlfn.XLOOKUP(AllResponses[[#This Row],[QuestionID]], FinalQuestions!$A:$A, FinalQuestions!$D:$D,"")</f>
        <v>Comfort for Reporting Non‑Compliance.</v>
      </c>
    </row>
    <row r="226" spans="1:12" x14ac:dyDescent="0.35">
      <c r="A226" t="s">
        <v>93</v>
      </c>
      <c r="B226" t="s">
        <v>75</v>
      </c>
      <c r="F226">
        <v>60</v>
      </c>
      <c r="G226" t="s">
        <v>10</v>
      </c>
      <c r="H226" t="s">
        <v>4</v>
      </c>
      <c r="I226">
        <v>3</v>
      </c>
      <c r="J226">
        <v>0</v>
      </c>
      <c r="K226" t="s">
        <v>248</v>
      </c>
      <c r="L226" t="str">
        <f>_xlfn.XLOOKUP(AllResponses[[#This Row],[QuestionID]], FinalQuestions!$A:$A, FinalQuestions!$D:$D,"")</f>
        <v>Consistency of Conduct Enforcement</v>
      </c>
    </row>
    <row r="227" spans="1:12" x14ac:dyDescent="0.35">
      <c r="A227" t="s">
        <v>94</v>
      </c>
      <c r="B227" t="s">
        <v>13</v>
      </c>
      <c r="F227">
        <v>60</v>
      </c>
      <c r="G227" t="s">
        <v>0</v>
      </c>
      <c r="H227" t="s">
        <v>4</v>
      </c>
      <c r="I227">
        <v>3</v>
      </c>
      <c r="J227">
        <v>0</v>
      </c>
      <c r="K227" t="s">
        <v>253</v>
      </c>
      <c r="L227" t="str">
        <f>_xlfn.XLOOKUP(AllResponses[[#This Row],[QuestionID]], FinalQuestions!$A:$A, FinalQuestions!$D:$D,"")</f>
        <v xml:space="preserve">Leadership Example‑Setting in Risk Management </v>
      </c>
    </row>
    <row r="228" spans="1:12" x14ac:dyDescent="0.35">
      <c r="A228" t="s">
        <v>94</v>
      </c>
      <c r="B228" t="s">
        <v>15</v>
      </c>
      <c r="F228">
        <v>60</v>
      </c>
      <c r="G228" t="s">
        <v>0</v>
      </c>
      <c r="H228" t="s">
        <v>4</v>
      </c>
      <c r="I228">
        <v>3</v>
      </c>
      <c r="J228">
        <v>0</v>
      </c>
      <c r="K228" t="s">
        <v>222</v>
      </c>
      <c r="L228" t="str">
        <f>_xlfn.XLOOKUP(AllResponses[[#This Row],[QuestionID]], FinalQuestions!$A:$A, FinalQuestions!$D:$D,"")</f>
        <v>Executive Commitment to Risk Culture</v>
      </c>
    </row>
    <row r="229" spans="1:12" x14ac:dyDescent="0.35">
      <c r="A229" t="s">
        <v>94</v>
      </c>
      <c r="B229" t="s">
        <v>17</v>
      </c>
      <c r="F229">
        <v>60</v>
      </c>
      <c r="G229" t="s">
        <v>0</v>
      </c>
      <c r="H229" t="s">
        <v>4</v>
      </c>
      <c r="I229">
        <v>3</v>
      </c>
      <c r="J229">
        <v>0</v>
      </c>
      <c r="K229" t="s">
        <v>223</v>
      </c>
      <c r="L229" t="str">
        <f>_xlfn.XLOOKUP(AllResponses[[#This Row],[QuestionID]], FinalQuestions!$A:$A, FinalQuestions!$D:$D,"")</f>
        <v>Leadership Encouragement to Escalate Risks</v>
      </c>
    </row>
    <row r="230" spans="1:12" x14ac:dyDescent="0.35">
      <c r="A230" t="s">
        <v>94</v>
      </c>
      <c r="B230" t="s">
        <v>19</v>
      </c>
      <c r="F230">
        <v>60</v>
      </c>
      <c r="G230" t="s">
        <v>0</v>
      </c>
      <c r="H230" t="s">
        <v>4</v>
      </c>
      <c r="I230">
        <v>3</v>
      </c>
      <c r="J230">
        <v>0</v>
      </c>
      <c r="K230" t="s">
        <v>224</v>
      </c>
      <c r="L230" t="str">
        <f>_xlfn.XLOOKUP(AllResponses[[#This Row],[QuestionID]], FinalQuestions!$A:$A, FinalQuestions!$D:$D,"")</f>
        <v>Long-Term Decision Awareness</v>
      </c>
    </row>
    <row r="231" spans="1:12" x14ac:dyDescent="0.35">
      <c r="A231" t="s">
        <v>94</v>
      </c>
      <c r="B231" t="s">
        <v>21</v>
      </c>
      <c r="F231">
        <v>60</v>
      </c>
      <c r="G231" t="s">
        <v>117</v>
      </c>
      <c r="H231" t="s">
        <v>4</v>
      </c>
      <c r="I231">
        <v>3</v>
      </c>
      <c r="J231">
        <v>0</v>
      </c>
      <c r="K231" t="s">
        <v>225</v>
      </c>
      <c r="L231" t="str">
        <f>_xlfn.XLOOKUP(AllResponses[[#This Row],[QuestionID]], FinalQuestions!$A:$A, FinalQuestions!$D:$D,"")</f>
        <v>Openness to Discussions</v>
      </c>
    </row>
    <row r="232" spans="1:12" x14ac:dyDescent="0.35">
      <c r="A232" t="s">
        <v>94</v>
      </c>
      <c r="B232" t="s">
        <v>23</v>
      </c>
      <c r="F232">
        <v>60</v>
      </c>
      <c r="G232" t="s">
        <v>117</v>
      </c>
      <c r="H232" t="s">
        <v>4</v>
      </c>
      <c r="I232">
        <v>3</v>
      </c>
      <c r="J232">
        <v>0</v>
      </c>
      <c r="K232" t="s">
        <v>226</v>
      </c>
      <c r="L232" t="str">
        <f>_xlfn.XLOOKUP(AllResponses[[#This Row],[QuestionID]], FinalQuestions!$A:$A, FinalQuestions!$D:$D,"")</f>
        <v>Access to Guidance</v>
      </c>
    </row>
    <row r="233" spans="1:12" x14ac:dyDescent="0.35">
      <c r="A233" t="s">
        <v>94</v>
      </c>
      <c r="B233" t="s">
        <v>25</v>
      </c>
      <c r="F233">
        <v>60</v>
      </c>
      <c r="G233" t="s">
        <v>117</v>
      </c>
      <c r="H233" t="s">
        <v>4</v>
      </c>
      <c r="I233">
        <v>3</v>
      </c>
      <c r="J233">
        <v>0</v>
      </c>
      <c r="K233" t="s">
        <v>227</v>
      </c>
      <c r="L233" t="str">
        <f>_xlfn.XLOOKUP(AllResponses[[#This Row],[QuestionID]], FinalQuestions!$A:$A, FinalQuestions!$D:$D,"")</f>
        <v>Openness to Sharing Opinions</v>
      </c>
    </row>
    <row r="234" spans="1:12" x14ac:dyDescent="0.35">
      <c r="A234" t="s">
        <v>94</v>
      </c>
      <c r="B234" t="s">
        <v>27</v>
      </c>
      <c r="F234">
        <v>60</v>
      </c>
      <c r="G234" t="s">
        <v>117</v>
      </c>
      <c r="H234" t="s">
        <v>4</v>
      </c>
      <c r="I234">
        <v>3</v>
      </c>
      <c r="J234">
        <v>0</v>
      </c>
      <c r="K234" t="s">
        <v>228</v>
      </c>
      <c r="L234" t="str">
        <f>_xlfn.XLOOKUP(AllResponses[[#This Row],[QuestionID]], FinalQuestions!$A:$A, FinalQuestions!$D:$D,"")</f>
        <v>Comfort in Reporting Risk Dilemmas</v>
      </c>
    </row>
    <row r="235" spans="1:12" x14ac:dyDescent="0.35">
      <c r="A235" t="s">
        <v>94</v>
      </c>
      <c r="B235" t="s">
        <v>29</v>
      </c>
      <c r="F235">
        <v>60</v>
      </c>
      <c r="G235" t="s">
        <v>3</v>
      </c>
      <c r="H235" t="s">
        <v>4</v>
      </c>
      <c r="I235">
        <v>3</v>
      </c>
      <c r="J235">
        <v>0</v>
      </c>
      <c r="K235" t="s">
        <v>229</v>
      </c>
      <c r="L235" t="str">
        <f>_xlfn.XLOOKUP(AllResponses[[#This Row],[QuestionID]], FinalQuestions!$A:$A, FinalQuestions!$D:$D,"")</f>
        <v>Adequacy of Risk Management Training</v>
      </c>
    </row>
    <row r="236" spans="1:12" x14ac:dyDescent="0.35">
      <c r="A236" t="s">
        <v>94</v>
      </c>
      <c r="B236" t="s">
        <v>31</v>
      </c>
      <c r="F236">
        <v>60</v>
      </c>
      <c r="G236" t="s">
        <v>3</v>
      </c>
      <c r="H236" t="s">
        <v>4</v>
      </c>
      <c r="I236">
        <v>3</v>
      </c>
      <c r="J236">
        <v>0</v>
      </c>
      <c r="K236" t="s">
        <v>230</v>
      </c>
      <c r="L236" t="str">
        <f>_xlfn.XLOOKUP(AllResponses[[#This Row],[QuestionID]], FinalQuestions!$A:$A, FinalQuestions!$D:$D,"")</f>
        <v>Workload Balance &amp; Resource Sufficiency</v>
      </c>
    </row>
    <row r="237" spans="1:12" x14ac:dyDescent="0.35">
      <c r="A237" t="s">
        <v>94</v>
      </c>
      <c r="B237" t="s">
        <v>33</v>
      </c>
      <c r="F237">
        <v>60</v>
      </c>
      <c r="G237" t="s">
        <v>3</v>
      </c>
      <c r="H237" t="s">
        <v>4</v>
      </c>
      <c r="I237">
        <v>3</v>
      </c>
      <c r="J237">
        <v>0</v>
      </c>
      <c r="K237" t="s">
        <v>231</v>
      </c>
      <c r="L237" t="str">
        <f>_xlfn.XLOOKUP(AllResponses[[#This Row],[QuestionID]], FinalQuestions!$A:$A, FinalQuestions!$D:$D,"")</f>
        <v>Realistic Target Setting</v>
      </c>
    </row>
    <row r="238" spans="1:12" x14ac:dyDescent="0.35">
      <c r="A238" t="s">
        <v>94</v>
      </c>
      <c r="B238" t="s">
        <v>35</v>
      </c>
      <c r="F238">
        <v>60</v>
      </c>
      <c r="G238" t="s">
        <v>3</v>
      </c>
      <c r="H238" t="s">
        <v>4</v>
      </c>
      <c r="I238">
        <v>3</v>
      </c>
      <c r="J238">
        <v>0</v>
      </c>
      <c r="K238" t="s">
        <v>232</v>
      </c>
      <c r="L238" t="str">
        <f>_xlfn.XLOOKUP(AllResponses[[#This Row],[QuestionID]], FinalQuestions!$A:$A, FinalQuestions!$D:$D,"")</f>
        <v>Risk Insight in Decision Making</v>
      </c>
    </row>
    <row r="239" spans="1:12" x14ac:dyDescent="0.35">
      <c r="A239" t="s">
        <v>94</v>
      </c>
      <c r="B239" t="s">
        <v>37</v>
      </c>
      <c r="F239">
        <v>60</v>
      </c>
      <c r="G239" t="s">
        <v>5</v>
      </c>
      <c r="H239" t="s">
        <v>4</v>
      </c>
      <c r="I239">
        <v>3</v>
      </c>
      <c r="J239">
        <v>0</v>
      </c>
      <c r="K239" t="s">
        <v>233</v>
      </c>
      <c r="L239" t="str">
        <f>_xlfn.XLOOKUP(AllResponses[[#This Row],[QuestionID]], FinalQuestions!$A:$A, FinalQuestions!$D:$D,"")</f>
        <v>Learning Culture from Non‑Compliance Cases</v>
      </c>
    </row>
    <row r="240" spans="1:12" x14ac:dyDescent="0.35">
      <c r="A240" t="s">
        <v>94</v>
      </c>
      <c r="B240" t="s">
        <v>39</v>
      </c>
      <c r="F240">
        <v>60</v>
      </c>
      <c r="G240" t="s">
        <v>5</v>
      </c>
      <c r="H240" t="s">
        <v>4</v>
      </c>
      <c r="I240">
        <v>3</v>
      </c>
      <c r="J240">
        <v>0</v>
      </c>
      <c r="K240" t="s">
        <v>234</v>
      </c>
      <c r="L240" t="str">
        <f>_xlfn.XLOOKUP(AllResponses[[#This Row],[QuestionID]], FinalQuestions!$A:$A, FinalQuestions!$D:$D,"")</f>
        <v>Organizational View on Risk Culture</v>
      </c>
    </row>
    <row r="241" spans="1:12" x14ac:dyDescent="0.35">
      <c r="A241" t="s">
        <v>94</v>
      </c>
      <c r="B241" t="s">
        <v>41</v>
      </c>
      <c r="F241">
        <v>60</v>
      </c>
      <c r="G241" t="s">
        <v>5</v>
      </c>
      <c r="H241" t="s">
        <v>4</v>
      </c>
      <c r="I241">
        <v>3</v>
      </c>
      <c r="J241">
        <v>0</v>
      </c>
      <c r="K241" t="s">
        <v>235</v>
      </c>
      <c r="L241" t="str">
        <f>_xlfn.XLOOKUP(AllResponses[[#This Row],[QuestionID]], FinalQuestions!$A:$A, FinalQuestions!$D:$D,"")</f>
        <v>Compliance Recognition &amp; enforcement</v>
      </c>
    </row>
    <row r="242" spans="1:12" x14ac:dyDescent="0.35">
      <c r="A242" t="s">
        <v>94</v>
      </c>
      <c r="B242" t="s">
        <v>43</v>
      </c>
      <c r="F242">
        <v>60</v>
      </c>
      <c r="G242" t="s">
        <v>5</v>
      </c>
      <c r="H242" t="s">
        <v>4</v>
      </c>
      <c r="I242">
        <v>3</v>
      </c>
      <c r="J242">
        <v>0</v>
      </c>
      <c r="K242" t="s">
        <v>236</v>
      </c>
      <c r="L242" t="str">
        <f>_xlfn.XLOOKUP(AllResponses[[#This Row],[QuestionID]], FinalQuestions!$A:$A, FinalQuestions!$D:$D,"")</f>
        <v>Sense of Ownership</v>
      </c>
    </row>
    <row r="243" spans="1:12" x14ac:dyDescent="0.35">
      <c r="A243" t="s">
        <v>94</v>
      </c>
      <c r="B243" t="s">
        <v>45</v>
      </c>
      <c r="F243">
        <v>60</v>
      </c>
      <c r="G243" t="s">
        <v>7</v>
      </c>
      <c r="H243" t="s">
        <v>4</v>
      </c>
      <c r="I243">
        <v>3</v>
      </c>
      <c r="J243">
        <v>0</v>
      </c>
      <c r="K243" t="s">
        <v>237</v>
      </c>
      <c r="L243" t="str">
        <f>_xlfn.XLOOKUP(AllResponses[[#This Row],[QuestionID]], FinalQuestions!$A:$A, FinalQuestions!$D:$D,"")</f>
        <v>Clarity of Role and Responsibilities</v>
      </c>
    </row>
    <row r="244" spans="1:12" x14ac:dyDescent="0.35">
      <c r="A244" t="s">
        <v>94</v>
      </c>
      <c r="B244" t="s">
        <v>47</v>
      </c>
      <c r="F244">
        <v>60</v>
      </c>
      <c r="G244" t="s">
        <v>7</v>
      </c>
      <c r="H244" t="s">
        <v>4</v>
      </c>
      <c r="I244">
        <v>3</v>
      </c>
      <c r="J244">
        <v>0</v>
      </c>
      <c r="K244" t="s">
        <v>238</v>
      </c>
      <c r="L244" t="str">
        <f>_xlfn.XLOOKUP(AllResponses[[#This Row],[QuestionID]], FinalQuestions!$A:$A, FinalQuestions!$D:$D,"")</f>
        <v>Understanding of Risk Policies &amp; Procedures</v>
      </c>
    </row>
    <row r="245" spans="1:12" x14ac:dyDescent="0.35">
      <c r="A245" t="s">
        <v>94</v>
      </c>
      <c r="B245" t="s">
        <v>49</v>
      </c>
      <c r="F245">
        <v>60</v>
      </c>
      <c r="G245" t="s">
        <v>7</v>
      </c>
      <c r="H245" t="s">
        <v>4</v>
      </c>
      <c r="I245">
        <v>3</v>
      </c>
      <c r="J245">
        <v>0</v>
      </c>
      <c r="K245" t="s">
        <v>239</v>
      </c>
      <c r="L245" t="str">
        <f>_xlfn.XLOOKUP(AllResponses[[#This Row],[QuestionID]], FinalQuestions!$A:$A, FinalQuestions!$D:$D,"")</f>
        <v>Clarity of Personal Risk Boundaries</v>
      </c>
    </row>
    <row r="246" spans="1:12" x14ac:dyDescent="0.35">
      <c r="A246" t="s">
        <v>94</v>
      </c>
      <c r="B246" t="s">
        <v>51</v>
      </c>
      <c r="F246">
        <v>60</v>
      </c>
      <c r="G246" t="s">
        <v>7</v>
      </c>
      <c r="H246" t="s">
        <v>4</v>
      </c>
      <c r="I246">
        <v>3</v>
      </c>
      <c r="J246">
        <v>0</v>
      </c>
      <c r="K246" t="s">
        <v>240</v>
      </c>
      <c r="L246" t="str">
        <f>_xlfn.XLOOKUP(AllResponses[[#This Row],[QuestionID]], FinalQuestions!$A:$A, FinalQuestions!$D:$D,"")</f>
        <v>Effectiveness of Risk Communication &amp; Training</v>
      </c>
    </row>
    <row r="247" spans="1:12" x14ac:dyDescent="0.35">
      <c r="A247" t="s">
        <v>94</v>
      </c>
      <c r="B247" t="s">
        <v>53</v>
      </c>
      <c r="F247">
        <v>60</v>
      </c>
      <c r="G247" t="s">
        <v>8</v>
      </c>
      <c r="H247" t="s">
        <v>4</v>
      </c>
      <c r="I247">
        <v>3</v>
      </c>
      <c r="J247">
        <v>0</v>
      </c>
      <c r="K247" t="s">
        <v>249</v>
      </c>
      <c r="L247" t="str">
        <f>_xlfn.XLOOKUP(AllResponses[[#This Row],[QuestionID]], FinalQuestions!$A:$A, FinalQuestions!$D:$D,"")</f>
        <v>Compliance Confidence in team</v>
      </c>
    </row>
    <row r="248" spans="1:12" x14ac:dyDescent="0.35">
      <c r="A248" t="s">
        <v>94</v>
      </c>
      <c r="B248" t="s">
        <v>55</v>
      </c>
      <c r="F248">
        <v>60</v>
      </c>
      <c r="G248" t="s">
        <v>8</v>
      </c>
      <c r="H248" t="s">
        <v>4</v>
      </c>
      <c r="I248">
        <v>3</v>
      </c>
      <c r="J248">
        <v>0</v>
      </c>
      <c r="K248" t="s">
        <v>250</v>
      </c>
      <c r="L248" t="str">
        <f>_xlfn.XLOOKUP(AllResponses[[#This Row],[QuestionID]], FinalQuestions!$A:$A, FinalQuestions!$D:$D,"")</f>
        <v>Transparency in Decision‑Making</v>
      </c>
    </row>
    <row r="249" spans="1:12" x14ac:dyDescent="0.35">
      <c r="A249" t="s">
        <v>94</v>
      </c>
      <c r="B249" t="s">
        <v>57</v>
      </c>
      <c r="F249">
        <v>60</v>
      </c>
      <c r="G249" t="s">
        <v>8</v>
      </c>
      <c r="H249" t="s">
        <v>4</v>
      </c>
      <c r="I249">
        <v>3</v>
      </c>
      <c r="J249">
        <v>0</v>
      </c>
      <c r="K249" t="s">
        <v>251</v>
      </c>
      <c r="L249" t="str">
        <f>_xlfn.XLOOKUP(AllResponses[[#This Row],[QuestionID]], FinalQuestions!$A:$A, FinalQuestions!$D:$D,"")</f>
        <v>Fairness &amp; Equity of Expectations</v>
      </c>
    </row>
    <row r="250" spans="1:12" x14ac:dyDescent="0.35">
      <c r="A250" t="s">
        <v>94</v>
      </c>
      <c r="B250" t="s">
        <v>59</v>
      </c>
      <c r="F250">
        <v>60</v>
      </c>
      <c r="G250" t="s">
        <v>8</v>
      </c>
      <c r="H250" t="s">
        <v>4</v>
      </c>
      <c r="I250">
        <v>3</v>
      </c>
      <c r="J250">
        <v>0</v>
      </c>
      <c r="K250" t="s">
        <v>252</v>
      </c>
      <c r="L250" t="str">
        <f>_xlfn.XLOOKUP(AllResponses[[#This Row],[QuestionID]], FinalQuestions!$A:$A, FinalQuestions!$D:$D,"")</f>
        <v>Leadership Awareness in the team</v>
      </c>
    </row>
    <row r="251" spans="1:12" x14ac:dyDescent="0.35">
      <c r="A251" t="s">
        <v>94</v>
      </c>
      <c r="B251" t="s">
        <v>61</v>
      </c>
      <c r="F251">
        <v>60</v>
      </c>
      <c r="G251" t="s">
        <v>9</v>
      </c>
      <c r="H251" t="s">
        <v>4</v>
      </c>
      <c r="I251">
        <v>3</v>
      </c>
      <c r="J251">
        <v>0</v>
      </c>
      <c r="K251" t="s">
        <v>241</v>
      </c>
      <c r="L251" t="str">
        <f>_xlfn.XLOOKUP(AllResponses[[#This Row],[QuestionID]], FinalQuestions!$A:$A, FinalQuestions!$D:$D,"")</f>
        <v>Motivation for Risk Ownership</v>
      </c>
    </row>
    <row r="252" spans="1:12" x14ac:dyDescent="0.35">
      <c r="A252" t="s">
        <v>94</v>
      </c>
      <c r="B252" t="s">
        <v>63</v>
      </c>
      <c r="F252">
        <v>60</v>
      </c>
      <c r="G252" t="s">
        <v>9</v>
      </c>
      <c r="H252" t="s">
        <v>4</v>
      </c>
      <c r="I252">
        <v>3</v>
      </c>
      <c r="J252">
        <v>0</v>
      </c>
      <c r="K252" t="s">
        <v>242</v>
      </c>
      <c r="L252" t="str">
        <f>_xlfn.XLOOKUP(AllResponses[[#This Row],[QuestionID]], FinalQuestions!$A:$A, FinalQuestions!$D:$D,"")</f>
        <v>Sense of Belonging to the Organization</v>
      </c>
    </row>
    <row r="253" spans="1:12" x14ac:dyDescent="0.35">
      <c r="A253" t="s">
        <v>94</v>
      </c>
      <c r="B253" t="s">
        <v>65</v>
      </c>
      <c r="F253">
        <v>60</v>
      </c>
      <c r="G253" t="s">
        <v>9</v>
      </c>
      <c r="H253" t="s">
        <v>4</v>
      </c>
      <c r="I253">
        <v>3</v>
      </c>
      <c r="J253">
        <v>0</v>
      </c>
      <c r="K253" t="s">
        <v>243</v>
      </c>
      <c r="L253" t="str">
        <f>_xlfn.XLOOKUP(AllResponses[[#This Row],[QuestionID]], FinalQuestions!$A:$A, FinalQuestions!$D:$D,"")</f>
        <v>Consideration of Impact on Others</v>
      </c>
    </row>
    <row r="254" spans="1:12" x14ac:dyDescent="0.35">
      <c r="A254" t="s">
        <v>94</v>
      </c>
      <c r="B254" t="s">
        <v>67</v>
      </c>
      <c r="F254">
        <v>60</v>
      </c>
      <c r="G254" t="s">
        <v>9</v>
      </c>
      <c r="H254" t="s">
        <v>4</v>
      </c>
      <c r="I254">
        <v>3</v>
      </c>
      <c r="J254">
        <v>0</v>
      </c>
      <c r="K254" t="s">
        <v>244</v>
      </c>
      <c r="L254" t="str">
        <f>_xlfn.XLOOKUP(AllResponses[[#This Row],[QuestionID]], FinalQuestions!$A:$A, FinalQuestions!$D:$D,"")</f>
        <v>Accountability for Risk Actions</v>
      </c>
    </row>
    <row r="255" spans="1:12" x14ac:dyDescent="0.35">
      <c r="A255" t="s">
        <v>94</v>
      </c>
      <c r="B255" t="s">
        <v>69</v>
      </c>
      <c r="F255">
        <v>60</v>
      </c>
      <c r="G255" t="s">
        <v>10</v>
      </c>
      <c r="H255" t="s">
        <v>4</v>
      </c>
      <c r="I255">
        <v>3</v>
      </c>
      <c r="J255">
        <v>0</v>
      </c>
      <c r="K255" t="s">
        <v>245</v>
      </c>
      <c r="L255" t="str">
        <f>_xlfn.XLOOKUP(AllResponses[[#This Row],[QuestionID]], FinalQuestions!$A:$A, FinalQuestions!$D:$D,"")</f>
        <v xml:space="preserve">Peer to peer Accountability </v>
      </c>
    </row>
    <row r="256" spans="1:12" x14ac:dyDescent="0.35">
      <c r="A256" t="s">
        <v>94</v>
      </c>
      <c r="B256" t="s">
        <v>71</v>
      </c>
      <c r="F256">
        <v>60</v>
      </c>
      <c r="G256" t="s">
        <v>10</v>
      </c>
      <c r="H256" t="s">
        <v>4</v>
      </c>
      <c r="I256">
        <v>3</v>
      </c>
      <c r="J256">
        <v>0</v>
      </c>
      <c r="K256" t="s">
        <v>246</v>
      </c>
      <c r="L256" t="str">
        <f>_xlfn.XLOOKUP(AllResponses[[#This Row],[QuestionID]], FinalQuestions!$A:$A, FinalQuestions!$D:$D,"")</f>
        <v>Timely Resolution of Accountability Issues</v>
      </c>
    </row>
    <row r="257" spans="1:12" x14ac:dyDescent="0.35">
      <c r="A257" t="s">
        <v>94</v>
      </c>
      <c r="B257" t="s">
        <v>73</v>
      </c>
      <c r="F257">
        <v>60</v>
      </c>
      <c r="G257" t="s">
        <v>10</v>
      </c>
      <c r="H257" t="s">
        <v>4</v>
      </c>
      <c r="I257">
        <v>3</v>
      </c>
      <c r="J257">
        <v>0</v>
      </c>
      <c r="K257" t="s">
        <v>247</v>
      </c>
      <c r="L257" t="str">
        <f>_xlfn.XLOOKUP(AllResponses[[#This Row],[QuestionID]], FinalQuestions!$A:$A, FinalQuestions!$D:$D,"")</f>
        <v>Comfort for Reporting Non‑Compliance.</v>
      </c>
    </row>
    <row r="258" spans="1:12" x14ac:dyDescent="0.35">
      <c r="A258" t="s">
        <v>94</v>
      </c>
      <c r="B258" t="s">
        <v>75</v>
      </c>
      <c r="F258">
        <v>60</v>
      </c>
      <c r="G258" t="s">
        <v>10</v>
      </c>
      <c r="H258" t="s">
        <v>4</v>
      </c>
      <c r="I258">
        <v>3</v>
      </c>
      <c r="J258">
        <v>0</v>
      </c>
      <c r="K258" t="s">
        <v>248</v>
      </c>
      <c r="L258" t="str">
        <f>_xlfn.XLOOKUP(AllResponses[[#This Row],[QuestionID]], FinalQuestions!$A:$A, FinalQuestions!$D:$D,"")</f>
        <v>Consistency of Conduct Enforcement</v>
      </c>
    </row>
    <row r="259" spans="1:12" x14ac:dyDescent="0.35">
      <c r="A259" t="s">
        <v>95</v>
      </c>
      <c r="B259" t="s">
        <v>13</v>
      </c>
      <c r="F259">
        <v>60</v>
      </c>
      <c r="G259" t="s">
        <v>0</v>
      </c>
      <c r="H259" t="s">
        <v>4</v>
      </c>
      <c r="I259">
        <v>3</v>
      </c>
      <c r="J259">
        <v>0</v>
      </c>
      <c r="K259" t="s">
        <v>253</v>
      </c>
      <c r="L259" t="str">
        <f>_xlfn.XLOOKUP(AllResponses[[#This Row],[QuestionID]], FinalQuestions!$A:$A, FinalQuestions!$D:$D,"")</f>
        <v xml:space="preserve">Leadership Example‑Setting in Risk Management </v>
      </c>
    </row>
    <row r="260" spans="1:12" x14ac:dyDescent="0.35">
      <c r="A260" t="s">
        <v>95</v>
      </c>
      <c r="B260" t="s">
        <v>15</v>
      </c>
      <c r="F260">
        <v>60</v>
      </c>
      <c r="G260" t="s">
        <v>0</v>
      </c>
      <c r="H260" t="s">
        <v>4</v>
      </c>
      <c r="I260">
        <v>3</v>
      </c>
      <c r="J260">
        <v>0</v>
      </c>
      <c r="K260" t="s">
        <v>222</v>
      </c>
      <c r="L260" t="str">
        <f>_xlfn.XLOOKUP(AllResponses[[#This Row],[QuestionID]], FinalQuestions!$A:$A, FinalQuestions!$D:$D,"")</f>
        <v>Executive Commitment to Risk Culture</v>
      </c>
    </row>
    <row r="261" spans="1:12" x14ac:dyDescent="0.35">
      <c r="A261" t="s">
        <v>95</v>
      </c>
      <c r="B261" t="s">
        <v>17</v>
      </c>
      <c r="F261">
        <v>60</v>
      </c>
      <c r="G261" t="s">
        <v>0</v>
      </c>
      <c r="H261" t="s">
        <v>4</v>
      </c>
      <c r="I261">
        <v>3</v>
      </c>
      <c r="J261">
        <v>0</v>
      </c>
      <c r="K261" t="s">
        <v>223</v>
      </c>
      <c r="L261" t="str">
        <f>_xlfn.XLOOKUP(AllResponses[[#This Row],[QuestionID]], FinalQuestions!$A:$A, FinalQuestions!$D:$D,"")</f>
        <v>Leadership Encouragement to Escalate Risks</v>
      </c>
    </row>
    <row r="262" spans="1:12" x14ac:dyDescent="0.35">
      <c r="A262" t="s">
        <v>95</v>
      </c>
      <c r="B262" t="s">
        <v>19</v>
      </c>
      <c r="F262">
        <v>60</v>
      </c>
      <c r="G262" t="s">
        <v>0</v>
      </c>
      <c r="H262" t="s">
        <v>4</v>
      </c>
      <c r="I262">
        <v>3</v>
      </c>
      <c r="J262">
        <v>0</v>
      </c>
      <c r="K262" t="s">
        <v>224</v>
      </c>
      <c r="L262" t="str">
        <f>_xlfn.XLOOKUP(AllResponses[[#This Row],[QuestionID]], FinalQuestions!$A:$A, FinalQuestions!$D:$D,"")</f>
        <v>Long-Term Decision Awareness</v>
      </c>
    </row>
    <row r="263" spans="1:12" x14ac:dyDescent="0.35">
      <c r="A263" t="s">
        <v>95</v>
      </c>
      <c r="B263" t="s">
        <v>21</v>
      </c>
      <c r="F263">
        <v>60</v>
      </c>
      <c r="G263" t="s">
        <v>117</v>
      </c>
      <c r="H263" t="s">
        <v>4</v>
      </c>
      <c r="I263">
        <v>3</v>
      </c>
      <c r="J263">
        <v>0</v>
      </c>
      <c r="K263" t="s">
        <v>225</v>
      </c>
      <c r="L263" t="str">
        <f>_xlfn.XLOOKUP(AllResponses[[#This Row],[QuestionID]], FinalQuestions!$A:$A, FinalQuestions!$D:$D,"")</f>
        <v>Openness to Discussions</v>
      </c>
    </row>
    <row r="264" spans="1:12" x14ac:dyDescent="0.35">
      <c r="A264" t="s">
        <v>95</v>
      </c>
      <c r="B264" t="s">
        <v>23</v>
      </c>
      <c r="F264">
        <v>60</v>
      </c>
      <c r="G264" t="s">
        <v>117</v>
      </c>
      <c r="H264" t="s">
        <v>4</v>
      </c>
      <c r="I264">
        <v>3</v>
      </c>
      <c r="J264">
        <v>0</v>
      </c>
      <c r="K264" t="s">
        <v>226</v>
      </c>
      <c r="L264" t="str">
        <f>_xlfn.XLOOKUP(AllResponses[[#This Row],[QuestionID]], FinalQuestions!$A:$A, FinalQuestions!$D:$D,"")</f>
        <v>Access to Guidance</v>
      </c>
    </row>
    <row r="265" spans="1:12" x14ac:dyDescent="0.35">
      <c r="A265" t="s">
        <v>95</v>
      </c>
      <c r="B265" t="s">
        <v>25</v>
      </c>
      <c r="F265">
        <v>60</v>
      </c>
      <c r="G265" t="s">
        <v>117</v>
      </c>
      <c r="H265" t="s">
        <v>4</v>
      </c>
      <c r="I265">
        <v>3</v>
      </c>
      <c r="J265">
        <v>0</v>
      </c>
      <c r="K265" t="s">
        <v>227</v>
      </c>
      <c r="L265" t="str">
        <f>_xlfn.XLOOKUP(AllResponses[[#This Row],[QuestionID]], FinalQuestions!$A:$A, FinalQuestions!$D:$D,"")</f>
        <v>Openness to Sharing Opinions</v>
      </c>
    </row>
    <row r="266" spans="1:12" x14ac:dyDescent="0.35">
      <c r="A266" t="s">
        <v>95</v>
      </c>
      <c r="B266" t="s">
        <v>27</v>
      </c>
      <c r="F266">
        <v>60</v>
      </c>
      <c r="G266" t="s">
        <v>117</v>
      </c>
      <c r="H266" t="s">
        <v>4</v>
      </c>
      <c r="I266">
        <v>3</v>
      </c>
      <c r="J266">
        <v>0</v>
      </c>
      <c r="K266" t="s">
        <v>228</v>
      </c>
      <c r="L266" t="str">
        <f>_xlfn.XLOOKUP(AllResponses[[#This Row],[QuestionID]], FinalQuestions!$A:$A, FinalQuestions!$D:$D,"")</f>
        <v>Comfort in Reporting Risk Dilemmas</v>
      </c>
    </row>
    <row r="267" spans="1:12" x14ac:dyDescent="0.35">
      <c r="A267" t="s">
        <v>95</v>
      </c>
      <c r="B267" t="s">
        <v>29</v>
      </c>
      <c r="F267">
        <v>60</v>
      </c>
      <c r="G267" t="s">
        <v>3</v>
      </c>
      <c r="H267" t="s">
        <v>4</v>
      </c>
      <c r="I267">
        <v>3</v>
      </c>
      <c r="J267">
        <v>0</v>
      </c>
      <c r="K267" t="s">
        <v>229</v>
      </c>
      <c r="L267" t="str">
        <f>_xlfn.XLOOKUP(AllResponses[[#This Row],[QuestionID]], FinalQuestions!$A:$A, FinalQuestions!$D:$D,"")</f>
        <v>Adequacy of Risk Management Training</v>
      </c>
    </row>
    <row r="268" spans="1:12" x14ac:dyDescent="0.35">
      <c r="A268" t="s">
        <v>95</v>
      </c>
      <c r="B268" t="s">
        <v>31</v>
      </c>
      <c r="F268">
        <v>60</v>
      </c>
      <c r="G268" t="s">
        <v>3</v>
      </c>
      <c r="H268" t="s">
        <v>4</v>
      </c>
      <c r="I268">
        <v>3</v>
      </c>
      <c r="J268">
        <v>0</v>
      </c>
      <c r="K268" t="s">
        <v>230</v>
      </c>
      <c r="L268" t="str">
        <f>_xlfn.XLOOKUP(AllResponses[[#This Row],[QuestionID]], FinalQuestions!$A:$A, FinalQuestions!$D:$D,"")</f>
        <v>Workload Balance &amp; Resource Sufficiency</v>
      </c>
    </row>
    <row r="269" spans="1:12" x14ac:dyDescent="0.35">
      <c r="A269" t="s">
        <v>95</v>
      </c>
      <c r="B269" t="s">
        <v>33</v>
      </c>
      <c r="F269">
        <v>80</v>
      </c>
      <c r="G269" t="s">
        <v>3</v>
      </c>
      <c r="H269" t="s">
        <v>2</v>
      </c>
      <c r="I269">
        <v>4</v>
      </c>
      <c r="J269">
        <v>1</v>
      </c>
      <c r="K269" t="s">
        <v>231</v>
      </c>
      <c r="L269" t="str">
        <f>_xlfn.XLOOKUP(AllResponses[[#This Row],[QuestionID]], FinalQuestions!$A:$A, FinalQuestions!$D:$D,"")</f>
        <v>Realistic Target Setting</v>
      </c>
    </row>
    <row r="270" spans="1:12" x14ac:dyDescent="0.35">
      <c r="A270" t="s">
        <v>95</v>
      </c>
      <c r="B270" t="s">
        <v>35</v>
      </c>
      <c r="F270">
        <v>40</v>
      </c>
      <c r="G270" t="s">
        <v>3</v>
      </c>
      <c r="H270" t="s">
        <v>6</v>
      </c>
      <c r="I270">
        <v>2</v>
      </c>
      <c r="J270">
        <v>0</v>
      </c>
      <c r="K270" t="s">
        <v>232</v>
      </c>
      <c r="L270" t="str">
        <f>_xlfn.XLOOKUP(AllResponses[[#This Row],[QuestionID]], FinalQuestions!$A:$A, FinalQuestions!$D:$D,"")</f>
        <v>Risk Insight in Decision Making</v>
      </c>
    </row>
    <row r="271" spans="1:12" x14ac:dyDescent="0.35">
      <c r="A271" t="s">
        <v>95</v>
      </c>
      <c r="B271" t="s">
        <v>37</v>
      </c>
      <c r="F271">
        <v>60</v>
      </c>
      <c r="G271" t="s">
        <v>5</v>
      </c>
      <c r="H271" t="s">
        <v>4</v>
      </c>
      <c r="I271">
        <v>3</v>
      </c>
      <c r="J271">
        <v>0</v>
      </c>
      <c r="K271" t="s">
        <v>233</v>
      </c>
      <c r="L271" t="str">
        <f>_xlfn.XLOOKUP(AllResponses[[#This Row],[QuestionID]], FinalQuestions!$A:$A, FinalQuestions!$D:$D,"")</f>
        <v>Learning Culture from Non‑Compliance Cases</v>
      </c>
    </row>
    <row r="272" spans="1:12" x14ac:dyDescent="0.35">
      <c r="A272" t="s">
        <v>95</v>
      </c>
      <c r="B272" t="s">
        <v>39</v>
      </c>
      <c r="F272">
        <v>100</v>
      </c>
      <c r="G272" t="s">
        <v>5</v>
      </c>
      <c r="H272" t="s">
        <v>85</v>
      </c>
      <c r="I272">
        <v>5</v>
      </c>
      <c r="J272">
        <v>1</v>
      </c>
      <c r="K272" t="s">
        <v>234</v>
      </c>
      <c r="L272" t="str">
        <f>_xlfn.XLOOKUP(AllResponses[[#This Row],[QuestionID]], FinalQuestions!$A:$A, FinalQuestions!$D:$D,"")</f>
        <v>Organizational View on Risk Culture</v>
      </c>
    </row>
    <row r="273" spans="1:12" x14ac:dyDescent="0.35">
      <c r="A273" t="s">
        <v>95</v>
      </c>
      <c r="B273" t="s">
        <v>41</v>
      </c>
      <c r="F273">
        <v>80</v>
      </c>
      <c r="G273" t="s">
        <v>5</v>
      </c>
      <c r="H273" t="s">
        <v>2</v>
      </c>
      <c r="I273">
        <v>4</v>
      </c>
      <c r="J273">
        <v>1</v>
      </c>
      <c r="K273" t="s">
        <v>235</v>
      </c>
      <c r="L273" t="str">
        <f>_xlfn.XLOOKUP(AllResponses[[#This Row],[QuestionID]], FinalQuestions!$A:$A, FinalQuestions!$D:$D,"")</f>
        <v>Compliance Recognition &amp; enforcement</v>
      </c>
    </row>
    <row r="274" spans="1:12" x14ac:dyDescent="0.35">
      <c r="A274" t="s">
        <v>95</v>
      </c>
      <c r="B274" t="s">
        <v>43</v>
      </c>
      <c r="F274">
        <v>40</v>
      </c>
      <c r="G274" t="s">
        <v>5</v>
      </c>
      <c r="H274" t="s">
        <v>6</v>
      </c>
      <c r="I274">
        <v>2</v>
      </c>
      <c r="J274">
        <v>0</v>
      </c>
      <c r="K274" t="s">
        <v>236</v>
      </c>
      <c r="L274" t="str">
        <f>_xlfn.XLOOKUP(AllResponses[[#This Row],[QuestionID]], FinalQuestions!$A:$A, FinalQuestions!$D:$D,"")</f>
        <v>Sense of Ownership</v>
      </c>
    </row>
    <row r="275" spans="1:12" x14ac:dyDescent="0.35">
      <c r="A275" t="s">
        <v>95</v>
      </c>
      <c r="B275" t="s">
        <v>45</v>
      </c>
      <c r="F275">
        <v>60</v>
      </c>
      <c r="G275" t="s">
        <v>7</v>
      </c>
      <c r="H275" t="s">
        <v>4</v>
      </c>
      <c r="I275">
        <v>3</v>
      </c>
      <c r="J275">
        <v>0</v>
      </c>
      <c r="K275" t="s">
        <v>237</v>
      </c>
      <c r="L275" t="str">
        <f>_xlfn.XLOOKUP(AllResponses[[#This Row],[QuestionID]], FinalQuestions!$A:$A, FinalQuestions!$D:$D,"")</f>
        <v>Clarity of Role and Responsibilities</v>
      </c>
    </row>
    <row r="276" spans="1:12" x14ac:dyDescent="0.35">
      <c r="A276" t="s">
        <v>95</v>
      </c>
      <c r="B276" t="s">
        <v>47</v>
      </c>
      <c r="F276">
        <v>100</v>
      </c>
      <c r="G276" t="s">
        <v>7</v>
      </c>
      <c r="H276" t="s">
        <v>85</v>
      </c>
      <c r="I276">
        <v>5</v>
      </c>
      <c r="J276">
        <v>1</v>
      </c>
      <c r="K276" t="s">
        <v>238</v>
      </c>
      <c r="L276" t="str">
        <f>_xlfn.XLOOKUP(AllResponses[[#This Row],[QuestionID]], FinalQuestions!$A:$A, FinalQuestions!$D:$D,"")</f>
        <v>Understanding of Risk Policies &amp; Procedures</v>
      </c>
    </row>
    <row r="277" spans="1:12" x14ac:dyDescent="0.35">
      <c r="A277" t="s">
        <v>95</v>
      </c>
      <c r="B277" t="s">
        <v>49</v>
      </c>
      <c r="F277">
        <v>100</v>
      </c>
      <c r="G277" t="s">
        <v>7</v>
      </c>
      <c r="H277" t="s">
        <v>85</v>
      </c>
      <c r="I277">
        <v>5</v>
      </c>
      <c r="J277">
        <v>1</v>
      </c>
      <c r="K277" t="s">
        <v>239</v>
      </c>
      <c r="L277" t="str">
        <f>_xlfn.XLOOKUP(AllResponses[[#This Row],[QuestionID]], FinalQuestions!$A:$A, FinalQuestions!$D:$D,"")</f>
        <v>Clarity of Personal Risk Boundaries</v>
      </c>
    </row>
    <row r="278" spans="1:12" x14ac:dyDescent="0.35">
      <c r="A278" t="s">
        <v>95</v>
      </c>
      <c r="B278" t="s">
        <v>51</v>
      </c>
      <c r="F278">
        <v>80</v>
      </c>
      <c r="G278" t="s">
        <v>7</v>
      </c>
      <c r="H278" t="s">
        <v>2</v>
      </c>
      <c r="I278">
        <v>4</v>
      </c>
      <c r="J278">
        <v>1</v>
      </c>
      <c r="K278" t="s">
        <v>240</v>
      </c>
      <c r="L278" t="str">
        <f>_xlfn.XLOOKUP(AllResponses[[#This Row],[QuestionID]], FinalQuestions!$A:$A, FinalQuestions!$D:$D,"")</f>
        <v>Effectiveness of Risk Communication &amp; Training</v>
      </c>
    </row>
    <row r="279" spans="1:12" x14ac:dyDescent="0.35">
      <c r="A279" t="s">
        <v>95</v>
      </c>
      <c r="B279" t="s">
        <v>53</v>
      </c>
      <c r="F279">
        <v>80</v>
      </c>
      <c r="G279" t="s">
        <v>8</v>
      </c>
      <c r="H279" t="s">
        <v>2</v>
      </c>
      <c r="I279">
        <v>4</v>
      </c>
      <c r="J279">
        <v>1</v>
      </c>
      <c r="K279" t="s">
        <v>249</v>
      </c>
      <c r="L279" t="str">
        <f>_xlfn.XLOOKUP(AllResponses[[#This Row],[QuestionID]], FinalQuestions!$A:$A, FinalQuestions!$D:$D,"")</f>
        <v>Compliance Confidence in team</v>
      </c>
    </row>
    <row r="280" spans="1:12" x14ac:dyDescent="0.35">
      <c r="A280" t="s">
        <v>95</v>
      </c>
      <c r="B280" t="s">
        <v>55</v>
      </c>
      <c r="F280">
        <v>40</v>
      </c>
      <c r="G280" t="s">
        <v>8</v>
      </c>
      <c r="H280" t="s">
        <v>6</v>
      </c>
      <c r="I280">
        <v>2</v>
      </c>
      <c r="J280">
        <v>0</v>
      </c>
      <c r="K280" t="s">
        <v>250</v>
      </c>
      <c r="L280" t="str">
        <f>_xlfn.XLOOKUP(AllResponses[[#This Row],[QuestionID]], FinalQuestions!$A:$A, FinalQuestions!$D:$D,"")</f>
        <v>Transparency in Decision‑Making</v>
      </c>
    </row>
    <row r="281" spans="1:12" x14ac:dyDescent="0.35">
      <c r="A281" t="s">
        <v>95</v>
      </c>
      <c r="B281" t="s">
        <v>57</v>
      </c>
      <c r="F281">
        <v>60</v>
      </c>
      <c r="G281" t="s">
        <v>8</v>
      </c>
      <c r="H281" t="s">
        <v>4</v>
      </c>
      <c r="I281">
        <v>3</v>
      </c>
      <c r="J281">
        <v>0</v>
      </c>
      <c r="K281" t="s">
        <v>251</v>
      </c>
      <c r="L281" t="str">
        <f>_xlfn.XLOOKUP(AllResponses[[#This Row],[QuestionID]], FinalQuestions!$A:$A, FinalQuestions!$D:$D,"")</f>
        <v>Fairness &amp; Equity of Expectations</v>
      </c>
    </row>
    <row r="282" spans="1:12" x14ac:dyDescent="0.35">
      <c r="A282" t="s">
        <v>95</v>
      </c>
      <c r="B282" t="s">
        <v>59</v>
      </c>
      <c r="F282">
        <v>40</v>
      </c>
      <c r="G282" t="s">
        <v>8</v>
      </c>
      <c r="H282" t="s">
        <v>6</v>
      </c>
      <c r="I282">
        <v>2</v>
      </c>
      <c r="J282">
        <v>0</v>
      </c>
      <c r="K282" t="s">
        <v>252</v>
      </c>
      <c r="L282" t="str">
        <f>_xlfn.XLOOKUP(AllResponses[[#This Row],[QuestionID]], FinalQuestions!$A:$A, FinalQuestions!$D:$D,"")</f>
        <v>Leadership Awareness in the team</v>
      </c>
    </row>
    <row r="283" spans="1:12" x14ac:dyDescent="0.35">
      <c r="A283" t="s">
        <v>95</v>
      </c>
      <c r="B283" t="s">
        <v>61</v>
      </c>
      <c r="F283">
        <v>80</v>
      </c>
      <c r="G283" t="s">
        <v>9</v>
      </c>
      <c r="H283" t="s">
        <v>2</v>
      </c>
      <c r="I283">
        <v>4</v>
      </c>
      <c r="J283">
        <v>1</v>
      </c>
      <c r="K283" t="s">
        <v>241</v>
      </c>
      <c r="L283" t="str">
        <f>_xlfn.XLOOKUP(AllResponses[[#This Row],[QuestionID]], FinalQuestions!$A:$A, FinalQuestions!$D:$D,"")</f>
        <v>Motivation for Risk Ownership</v>
      </c>
    </row>
    <row r="284" spans="1:12" x14ac:dyDescent="0.35">
      <c r="A284" t="s">
        <v>95</v>
      </c>
      <c r="B284" t="s">
        <v>63</v>
      </c>
      <c r="F284">
        <v>40</v>
      </c>
      <c r="G284" t="s">
        <v>9</v>
      </c>
      <c r="H284" t="s">
        <v>6</v>
      </c>
      <c r="I284">
        <v>2</v>
      </c>
      <c r="J284">
        <v>0</v>
      </c>
      <c r="K284" t="s">
        <v>242</v>
      </c>
      <c r="L284" t="str">
        <f>_xlfn.XLOOKUP(AllResponses[[#This Row],[QuestionID]], FinalQuestions!$A:$A, FinalQuestions!$D:$D,"")</f>
        <v>Sense of Belonging to the Organization</v>
      </c>
    </row>
    <row r="285" spans="1:12" x14ac:dyDescent="0.35">
      <c r="A285" t="s">
        <v>95</v>
      </c>
      <c r="B285" t="s">
        <v>65</v>
      </c>
      <c r="F285">
        <v>60</v>
      </c>
      <c r="G285" t="s">
        <v>9</v>
      </c>
      <c r="H285" t="s">
        <v>4</v>
      </c>
      <c r="I285">
        <v>3</v>
      </c>
      <c r="J285">
        <v>0</v>
      </c>
      <c r="K285" t="s">
        <v>243</v>
      </c>
      <c r="L285" t="str">
        <f>_xlfn.XLOOKUP(AllResponses[[#This Row],[QuestionID]], FinalQuestions!$A:$A, FinalQuestions!$D:$D,"")</f>
        <v>Consideration of Impact on Others</v>
      </c>
    </row>
    <row r="286" spans="1:12" x14ac:dyDescent="0.35">
      <c r="A286" t="s">
        <v>95</v>
      </c>
      <c r="B286" t="s">
        <v>67</v>
      </c>
      <c r="F286">
        <v>100</v>
      </c>
      <c r="G286" t="s">
        <v>9</v>
      </c>
      <c r="H286" t="s">
        <v>85</v>
      </c>
      <c r="I286">
        <v>5</v>
      </c>
      <c r="J286">
        <v>1</v>
      </c>
      <c r="K286" t="s">
        <v>244</v>
      </c>
      <c r="L286" t="str">
        <f>_xlfn.XLOOKUP(AllResponses[[#This Row],[QuestionID]], FinalQuestions!$A:$A, FinalQuestions!$D:$D,"")</f>
        <v>Accountability for Risk Actions</v>
      </c>
    </row>
    <row r="287" spans="1:12" x14ac:dyDescent="0.35">
      <c r="A287" t="s">
        <v>95</v>
      </c>
      <c r="B287" t="s">
        <v>69</v>
      </c>
      <c r="F287">
        <v>40</v>
      </c>
      <c r="G287" t="s">
        <v>10</v>
      </c>
      <c r="H287" t="s">
        <v>6</v>
      </c>
      <c r="I287">
        <v>2</v>
      </c>
      <c r="J287">
        <v>0</v>
      </c>
      <c r="K287" t="s">
        <v>245</v>
      </c>
      <c r="L287" t="str">
        <f>_xlfn.XLOOKUP(AllResponses[[#This Row],[QuestionID]], FinalQuestions!$A:$A, FinalQuestions!$D:$D,"")</f>
        <v xml:space="preserve">Peer to peer Accountability </v>
      </c>
    </row>
    <row r="288" spans="1:12" x14ac:dyDescent="0.35">
      <c r="A288" t="s">
        <v>95</v>
      </c>
      <c r="B288" t="s">
        <v>71</v>
      </c>
      <c r="F288">
        <v>20</v>
      </c>
      <c r="G288" t="s">
        <v>10</v>
      </c>
      <c r="H288" t="s">
        <v>84</v>
      </c>
      <c r="I288">
        <v>1</v>
      </c>
      <c r="J288">
        <v>0</v>
      </c>
      <c r="K288" t="s">
        <v>246</v>
      </c>
      <c r="L288" t="str">
        <f>_xlfn.XLOOKUP(AllResponses[[#This Row],[QuestionID]], FinalQuestions!$A:$A, FinalQuestions!$D:$D,"")</f>
        <v>Timely Resolution of Accountability Issues</v>
      </c>
    </row>
    <row r="289" spans="1:12" x14ac:dyDescent="0.35">
      <c r="A289" t="s">
        <v>95</v>
      </c>
      <c r="B289" t="s">
        <v>73</v>
      </c>
      <c r="F289">
        <v>40</v>
      </c>
      <c r="G289" t="s">
        <v>10</v>
      </c>
      <c r="H289" t="s">
        <v>6</v>
      </c>
      <c r="I289">
        <v>2</v>
      </c>
      <c r="J289">
        <v>0</v>
      </c>
      <c r="K289" t="s">
        <v>247</v>
      </c>
      <c r="L289" t="str">
        <f>_xlfn.XLOOKUP(AllResponses[[#This Row],[QuestionID]], FinalQuestions!$A:$A, FinalQuestions!$D:$D,"")</f>
        <v>Comfort for Reporting Non‑Compliance.</v>
      </c>
    </row>
    <row r="290" spans="1:12" x14ac:dyDescent="0.35">
      <c r="A290" t="s">
        <v>95</v>
      </c>
      <c r="B290" t="s">
        <v>75</v>
      </c>
      <c r="F290">
        <v>60</v>
      </c>
      <c r="G290" t="s">
        <v>10</v>
      </c>
      <c r="H290" t="s">
        <v>4</v>
      </c>
      <c r="I290">
        <v>3</v>
      </c>
      <c r="J290">
        <v>0</v>
      </c>
      <c r="K290" t="s">
        <v>248</v>
      </c>
      <c r="L290" t="str">
        <f>_xlfn.XLOOKUP(AllResponses[[#This Row],[QuestionID]], FinalQuestions!$A:$A, FinalQuestions!$D:$D,"")</f>
        <v>Consistency of Conduct Enforcement</v>
      </c>
    </row>
    <row r="291" spans="1:12" x14ac:dyDescent="0.35">
      <c r="A291" t="s">
        <v>96</v>
      </c>
      <c r="B291" t="s">
        <v>13</v>
      </c>
      <c r="F291">
        <v>60</v>
      </c>
      <c r="G291" t="s">
        <v>0</v>
      </c>
      <c r="H291" t="s">
        <v>4</v>
      </c>
      <c r="I291">
        <v>3</v>
      </c>
      <c r="J291">
        <v>0</v>
      </c>
      <c r="K291" t="s">
        <v>253</v>
      </c>
      <c r="L291" t="str">
        <f>_xlfn.XLOOKUP(AllResponses[[#This Row],[QuestionID]], FinalQuestions!$A:$A, FinalQuestions!$D:$D,"")</f>
        <v xml:space="preserve">Leadership Example‑Setting in Risk Management </v>
      </c>
    </row>
    <row r="292" spans="1:12" x14ac:dyDescent="0.35">
      <c r="A292" t="s">
        <v>96</v>
      </c>
      <c r="B292" t="s">
        <v>15</v>
      </c>
      <c r="F292">
        <v>80</v>
      </c>
      <c r="G292" t="s">
        <v>0</v>
      </c>
      <c r="H292" t="s">
        <v>2</v>
      </c>
      <c r="I292">
        <v>4</v>
      </c>
      <c r="J292">
        <v>1</v>
      </c>
      <c r="K292" t="s">
        <v>222</v>
      </c>
      <c r="L292" t="str">
        <f>_xlfn.XLOOKUP(AllResponses[[#This Row],[QuestionID]], FinalQuestions!$A:$A, FinalQuestions!$D:$D,"")</f>
        <v>Executive Commitment to Risk Culture</v>
      </c>
    </row>
    <row r="293" spans="1:12" x14ac:dyDescent="0.35">
      <c r="A293" t="s">
        <v>96</v>
      </c>
      <c r="B293" t="s">
        <v>17</v>
      </c>
      <c r="F293">
        <v>80</v>
      </c>
      <c r="G293" t="s">
        <v>0</v>
      </c>
      <c r="H293" t="s">
        <v>2</v>
      </c>
      <c r="I293">
        <v>4</v>
      </c>
      <c r="J293">
        <v>1</v>
      </c>
      <c r="K293" t="s">
        <v>223</v>
      </c>
      <c r="L293" t="str">
        <f>_xlfn.XLOOKUP(AllResponses[[#This Row],[QuestionID]], FinalQuestions!$A:$A, FinalQuestions!$D:$D,"")</f>
        <v>Leadership Encouragement to Escalate Risks</v>
      </c>
    </row>
    <row r="294" spans="1:12" x14ac:dyDescent="0.35">
      <c r="A294" t="s">
        <v>96</v>
      </c>
      <c r="B294" t="s">
        <v>19</v>
      </c>
      <c r="F294">
        <v>60</v>
      </c>
      <c r="G294" t="s">
        <v>0</v>
      </c>
      <c r="H294" t="s">
        <v>4</v>
      </c>
      <c r="I294">
        <v>3</v>
      </c>
      <c r="J294">
        <v>0</v>
      </c>
      <c r="K294" t="s">
        <v>224</v>
      </c>
      <c r="L294" t="str">
        <f>_xlfn.XLOOKUP(AllResponses[[#This Row],[QuestionID]], FinalQuestions!$A:$A, FinalQuestions!$D:$D,"")</f>
        <v>Long-Term Decision Awareness</v>
      </c>
    </row>
    <row r="295" spans="1:12" x14ac:dyDescent="0.35">
      <c r="A295" t="s">
        <v>96</v>
      </c>
      <c r="B295" t="s">
        <v>21</v>
      </c>
      <c r="F295">
        <v>60</v>
      </c>
      <c r="G295" t="s">
        <v>117</v>
      </c>
      <c r="H295" t="s">
        <v>4</v>
      </c>
      <c r="I295">
        <v>3</v>
      </c>
      <c r="J295">
        <v>0</v>
      </c>
      <c r="K295" t="s">
        <v>225</v>
      </c>
      <c r="L295" t="str">
        <f>_xlfn.XLOOKUP(AllResponses[[#This Row],[QuestionID]], FinalQuestions!$A:$A, FinalQuestions!$D:$D,"")</f>
        <v>Openness to Discussions</v>
      </c>
    </row>
    <row r="296" spans="1:12" x14ac:dyDescent="0.35">
      <c r="A296" t="s">
        <v>96</v>
      </c>
      <c r="B296" t="s">
        <v>23</v>
      </c>
      <c r="F296">
        <v>60</v>
      </c>
      <c r="G296" t="s">
        <v>117</v>
      </c>
      <c r="H296" t="s">
        <v>4</v>
      </c>
      <c r="I296">
        <v>3</v>
      </c>
      <c r="J296">
        <v>0</v>
      </c>
      <c r="K296" t="s">
        <v>226</v>
      </c>
      <c r="L296" t="str">
        <f>_xlfn.XLOOKUP(AllResponses[[#This Row],[QuestionID]], FinalQuestions!$A:$A, FinalQuestions!$D:$D,"")</f>
        <v>Access to Guidance</v>
      </c>
    </row>
    <row r="297" spans="1:12" x14ac:dyDescent="0.35">
      <c r="A297" t="s">
        <v>96</v>
      </c>
      <c r="B297" t="s">
        <v>25</v>
      </c>
      <c r="F297">
        <v>80</v>
      </c>
      <c r="G297" t="s">
        <v>117</v>
      </c>
      <c r="H297" t="s">
        <v>2</v>
      </c>
      <c r="I297">
        <v>4</v>
      </c>
      <c r="J297">
        <v>1</v>
      </c>
      <c r="K297" t="s">
        <v>227</v>
      </c>
      <c r="L297" t="str">
        <f>_xlfn.XLOOKUP(AllResponses[[#This Row],[QuestionID]], FinalQuestions!$A:$A, FinalQuestions!$D:$D,"")</f>
        <v>Openness to Sharing Opinions</v>
      </c>
    </row>
    <row r="298" spans="1:12" x14ac:dyDescent="0.35">
      <c r="A298" t="s">
        <v>96</v>
      </c>
      <c r="B298" t="s">
        <v>27</v>
      </c>
      <c r="F298">
        <v>100</v>
      </c>
      <c r="G298" t="s">
        <v>117</v>
      </c>
      <c r="H298" t="s">
        <v>85</v>
      </c>
      <c r="I298">
        <v>5</v>
      </c>
      <c r="J298">
        <v>1</v>
      </c>
      <c r="K298" t="s">
        <v>228</v>
      </c>
      <c r="L298" t="str">
        <f>_xlfn.XLOOKUP(AllResponses[[#This Row],[QuestionID]], FinalQuestions!$A:$A, FinalQuestions!$D:$D,"")</f>
        <v>Comfort in Reporting Risk Dilemmas</v>
      </c>
    </row>
    <row r="299" spans="1:12" x14ac:dyDescent="0.35">
      <c r="A299" t="s">
        <v>96</v>
      </c>
      <c r="B299" t="s">
        <v>29</v>
      </c>
      <c r="F299">
        <v>100</v>
      </c>
      <c r="G299" t="s">
        <v>3</v>
      </c>
      <c r="H299" t="s">
        <v>85</v>
      </c>
      <c r="I299">
        <v>5</v>
      </c>
      <c r="J299">
        <v>1</v>
      </c>
      <c r="K299" t="s">
        <v>229</v>
      </c>
      <c r="L299" t="str">
        <f>_xlfn.XLOOKUP(AllResponses[[#This Row],[QuestionID]], FinalQuestions!$A:$A, FinalQuestions!$D:$D,"")</f>
        <v>Adequacy of Risk Management Training</v>
      </c>
    </row>
    <row r="300" spans="1:12" x14ac:dyDescent="0.35">
      <c r="A300" t="s">
        <v>96</v>
      </c>
      <c r="B300" t="s">
        <v>31</v>
      </c>
      <c r="F300">
        <v>80</v>
      </c>
      <c r="G300" t="s">
        <v>3</v>
      </c>
      <c r="H300" t="s">
        <v>2</v>
      </c>
      <c r="I300">
        <v>4</v>
      </c>
      <c r="J300">
        <v>1</v>
      </c>
      <c r="K300" t="s">
        <v>230</v>
      </c>
      <c r="L300" t="str">
        <f>_xlfn.XLOOKUP(AllResponses[[#This Row],[QuestionID]], FinalQuestions!$A:$A, FinalQuestions!$D:$D,"")</f>
        <v>Workload Balance &amp; Resource Sufficiency</v>
      </c>
    </row>
    <row r="301" spans="1:12" x14ac:dyDescent="0.35">
      <c r="A301" t="s">
        <v>96</v>
      </c>
      <c r="B301" t="s">
        <v>33</v>
      </c>
      <c r="F301">
        <v>40</v>
      </c>
      <c r="G301" t="s">
        <v>3</v>
      </c>
      <c r="H301" t="s">
        <v>6</v>
      </c>
      <c r="I301">
        <v>2</v>
      </c>
      <c r="J301">
        <v>0</v>
      </c>
      <c r="K301" t="s">
        <v>231</v>
      </c>
      <c r="L301" t="str">
        <f>_xlfn.XLOOKUP(AllResponses[[#This Row],[QuestionID]], FinalQuestions!$A:$A, FinalQuestions!$D:$D,"")</f>
        <v>Realistic Target Setting</v>
      </c>
    </row>
    <row r="302" spans="1:12" x14ac:dyDescent="0.35">
      <c r="A302" t="s">
        <v>96</v>
      </c>
      <c r="B302" t="s">
        <v>35</v>
      </c>
      <c r="F302">
        <v>60</v>
      </c>
      <c r="G302" t="s">
        <v>3</v>
      </c>
      <c r="H302" t="s">
        <v>4</v>
      </c>
      <c r="I302">
        <v>3</v>
      </c>
      <c r="J302">
        <v>0</v>
      </c>
      <c r="K302" t="s">
        <v>232</v>
      </c>
      <c r="L302" t="str">
        <f>_xlfn.XLOOKUP(AllResponses[[#This Row],[QuestionID]], FinalQuestions!$A:$A, FinalQuestions!$D:$D,"")</f>
        <v>Risk Insight in Decision Making</v>
      </c>
    </row>
    <row r="303" spans="1:12" x14ac:dyDescent="0.35">
      <c r="A303" t="s">
        <v>96</v>
      </c>
      <c r="B303" t="s">
        <v>37</v>
      </c>
      <c r="F303">
        <v>40</v>
      </c>
      <c r="G303" t="s">
        <v>5</v>
      </c>
      <c r="H303" t="s">
        <v>6</v>
      </c>
      <c r="I303">
        <v>2</v>
      </c>
      <c r="J303">
        <v>0</v>
      </c>
      <c r="K303" t="s">
        <v>233</v>
      </c>
      <c r="L303" t="str">
        <f>_xlfn.XLOOKUP(AllResponses[[#This Row],[QuestionID]], FinalQuestions!$A:$A, FinalQuestions!$D:$D,"")</f>
        <v>Learning Culture from Non‑Compliance Cases</v>
      </c>
    </row>
    <row r="304" spans="1:12" x14ac:dyDescent="0.35">
      <c r="A304" t="s">
        <v>96</v>
      </c>
      <c r="B304" t="s">
        <v>39</v>
      </c>
      <c r="F304">
        <v>80</v>
      </c>
      <c r="G304" t="s">
        <v>5</v>
      </c>
      <c r="H304" t="s">
        <v>2</v>
      </c>
      <c r="I304">
        <v>4</v>
      </c>
      <c r="J304">
        <v>1</v>
      </c>
      <c r="K304" t="s">
        <v>234</v>
      </c>
      <c r="L304" t="str">
        <f>_xlfn.XLOOKUP(AllResponses[[#This Row],[QuestionID]], FinalQuestions!$A:$A, FinalQuestions!$D:$D,"")</f>
        <v>Organizational View on Risk Culture</v>
      </c>
    </row>
    <row r="305" spans="1:12" x14ac:dyDescent="0.35">
      <c r="A305" t="s">
        <v>96</v>
      </c>
      <c r="B305" t="s">
        <v>41</v>
      </c>
      <c r="F305">
        <v>40</v>
      </c>
      <c r="G305" t="s">
        <v>5</v>
      </c>
      <c r="H305" t="s">
        <v>6</v>
      </c>
      <c r="I305">
        <v>2</v>
      </c>
      <c r="J305">
        <v>0</v>
      </c>
      <c r="K305" t="s">
        <v>235</v>
      </c>
      <c r="L305" t="str">
        <f>_xlfn.XLOOKUP(AllResponses[[#This Row],[QuestionID]], FinalQuestions!$A:$A, FinalQuestions!$D:$D,"")</f>
        <v>Compliance Recognition &amp; enforcement</v>
      </c>
    </row>
    <row r="306" spans="1:12" x14ac:dyDescent="0.35">
      <c r="A306" t="s">
        <v>96</v>
      </c>
      <c r="B306" t="s">
        <v>43</v>
      </c>
      <c r="F306">
        <v>20</v>
      </c>
      <c r="G306" t="s">
        <v>5</v>
      </c>
      <c r="H306" t="s">
        <v>84</v>
      </c>
      <c r="I306">
        <v>1</v>
      </c>
      <c r="J306">
        <v>0</v>
      </c>
      <c r="K306" t="s">
        <v>236</v>
      </c>
      <c r="L306" t="str">
        <f>_xlfn.XLOOKUP(AllResponses[[#This Row],[QuestionID]], FinalQuestions!$A:$A, FinalQuestions!$D:$D,"")</f>
        <v>Sense of Ownership</v>
      </c>
    </row>
    <row r="307" spans="1:12" x14ac:dyDescent="0.35">
      <c r="A307" t="s">
        <v>96</v>
      </c>
      <c r="B307" t="s">
        <v>45</v>
      </c>
      <c r="F307">
        <v>40</v>
      </c>
      <c r="G307" t="s">
        <v>7</v>
      </c>
      <c r="H307" t="s">
        <v>6</v>
      </c>
      <c r="I307">
        <v>2</v>
      </c>
      <c r="J307">
        <v>0</v>
      </c>
      <c r="K307" t="s">
        <v>237</v>
      </c>
      <c r="L307" t="str">
        <f>_xlfn.XLOOKUP(AllResponses[[#This Row],[QuestionID]], FinalQuestions!$A:$A, FinalQuestions!$D:$D,"")</f>
        <v>Clarity of Role and Responsibilities</v>
      </c>
    </row>
    <row r="308" spans="1:12" x14ac:dyDescent="0.35">
      <c r="A308" t="s">
        <v>96</v>
      </c>
      <c r="B308" t="s">
        <v>47</v>
      </c>
      <c r="F308">
        <v>60</v>
      </c>
      <c r="G308" t="s">
        <v>7</v>
      </c>
      <c r="H308" t="s">
        <v>4</v>
      </c>
      <c r="I308">
        <v>3</v>
      </c>
      <c r="J308">
        <v>0</v>
      </c>
      <c r="K308" t="s">
        <v>238</v>
      </c>
      <c r="L308" t="str">
        <f>_xlfn.XLOOKUP(AllResponses[[#This Row],[QuestionID]], FinalQuestions!$A:$A, FinalQuestions!$D:$D,"")</f>
        <v>Understanding of Risk Policies &amp; Procedures</v>
      </c>
    </row>
    <row r="309" spans="1:12" x14ac:dyDescent="0.35">
      <c r="A309" t="s">
        <v>96</v>
      </c>
      <c r="B309" t="s">
        <v>49</v>
      </c>
      <c r="F309">
        <v>60</v>
      </c>
      <c r="G309" t="s">
        <v>7</v>
      </c>
      <c r="H309" t="s">
        <v>4</v>
      </c>
      <c r="I309">
        <v>3</v>
      </c>
      <c r="J309">
        <v>0</v>
      </c>
      <c r="K309" t="s">
        <v>239</v>
      </c>
      <c r="L309" t="str">
        <f>_xlfn.XLOOKUP(AllResponses[[#This Row],[QuestionID]], FinalQuestions!$A:$A, FinalQuestions!$D:$D,"")</f>
        <v>Clarity of Personal Risk Boundaries</v>
      </c>
    </row>
    <row r="310" spans="1:12" x14ac:dyDescent="0.35">
      <c r="A310" t="s">
        <v>96</v>
      </c>
      <c r="B310" t="s">
        <v>51</v>
      </c>
      <c r="F310">
        <v>80</v>
      </c>
      <c r="G310" t="s">
        <v>7</v>
      </c>
      <c r="H310" t="s">
        <v>2</v>
      </c>
      <c r="I310">
        <v>4</v>
      </c>
      <c r="J310">
        <v>1</v>
      </c>
      <c r="K310" t="s">
        <v>240</v>
      </c>
      <c r="L310" t="str">
        <f>_xlfn.XLOOKUP(AllResponses[[#This Row],[QuestionID]], FinalQuestions!$A:$A, FinalQuestions!$D:$D,"")</f>
        <v>Effectiveness of Risk Communication &amp; Training</v>
      </c>
    </row>
    <row r="311" spans="1:12" x14ac:dyDescent="0.35">
      <c r="A311" t="s">
        <v>96</v>
      </c>
      <c r="B311" t="s">
        <v>53</v>
      </c>
      <c r="F311">
        <v>80</v>
      </c>
      <c r="G311" t="s">
        <v>8</v>
      </c>
      <c r="H311" t="s">
        <v>2</v>
      </c>
      <c r="I311">
        <v>4</v>
      </c>
      <c r="J311">
        <v>1</v>
      </c>
      <c r="K311" t="s">
        <v>249</v>
      </c>
      <c r="L311" t="str">
        <f>_xlfn.XLOOKUP(AllResponses[[#This Row],[QuestionID]], FinalQuestions!$A:$A, FinalQuestions!$D:$D,"")</f>
        <v>Compliance Confidence in team</v>
      </c>
    </row>
    <row r="312" spans="1:12" x14ac:dyDescent="0.35">
      <c r="A312" t="s">
        <v>96</v>
      </c>
      <c r="B312" t="s">
        <v>55</v>
      </c>
      <c r="F312">
        <v>60</v>
      </c>
      <c r="G312" t="s">
        <v>8</v>
      </c>
      <c r="H312" t="s">
        <v>4</v>
      </c>
      <c r="I312">
        <v>3</v>
      </c>
      <c r="J312">
        <v>0</v>
      </c>
      <c r="K312" t="s">
        <v>250</v>
      </c>
      <c r="L312" t="str">
        <f>_xlfn.XLOOKUP(AllResponses[[#This Row],[QuestionID]], FinalQuestions!$A:$A, FinalQuestions!$D:$D,"")</f>
        <v>Transparency in Decision‑Making</v>
      </c>
    </row>
    <row r="313" spans="1:12" x14ac:dyDescent="0.35">
      <c r="A313" t="s">
        <v>96</v>
      </c>
      <c r="B313" t="s">
        <v>57</v>
      </c>
      <c r="F313">
        <v>60</v>
      </c>
      <c r="G313" t="s">
        <v>8</v>
      </c>
      <c r="H313" t="s">
        <v>4</v>
      </c>
      <c r="I313">
        <v>3</v>
      </c>
      <c r="J313">
        <v>0</v>
      </c>
      <c r="K313" t="s">
        <v>251</v>
      </c>
      <c r="L313" t="str">
        <f>_xlfn.XLOOKUP(AllResponses[[#This Row],[QuestionID]], FinalQuestions!$A:$A, FinalQuestions!$D:$D,"")</f>
        <v>Fairness &amp; Equity of Expectations</v>
      </c>
    </row>
    <row r="314" spans="1:12" x14ac:dyDescent="0.35">
      <c r="A314" t="s">
        <v>96</v>
      </c>
      <c r="B314" t="s">
        <v>59</v>
      </c>
      <c r="F314">
        <v>60</v>
      </c>
      <c r="G314" t="s">
        <v>8</v>
      </c>
      <c r="H314" t="s">
        <v>4</v>
      </c>
      <c r="I314">
        <v>3</v>
      </c>
      <c r="J314">
        <v>0</v>
      </c>
      <c r="K314" t="s">
        <v>252</v>
      </c>
      <c r="L314" t="str">
        <f>_xlfn.XLOOKUP(AllResponses[[#This Row],[QuestionID]], FinalQuestions!$A:$A, FinalQuestions!$D:$D,"")</f>
        <v>Leadership Awareness in the team</v>
      </c>
    </row>
    <row r="315" spans="1:12" x14ac:dyDescent="0.35">
      <c r="A315" t="s">
        <v>96</v>
      </c>
      <c r="B315" t="s">
        <v>61</v>
      </c>
      <c r="F315">
        <v>80</v>
      </c>
      <c r="G315" t="s">
        <v>9</v>
      </c>
      <c r="H315" t="s">
        <v>2</v>
      </c>
      <c r="I315">
        <v>4</v>
      </c>
      <c r="J315">
        <v>1</v>
      </c>
      <c r="K315" t="s">
        <v>241</v>
      </c>
      <c r="L315" t="str">
        <f>_xlfn.XLOOKUP(AllResponses[[#This Row],[QuestionID]], FinalQuestions!$A:$A, FinalQuestions!$D:$D,"")</f>
        <v>Motivation for Risk Ownership</v>
      </c>
    </row>
    <row r="316" spans="1:12" x14ac:dyDescent="0.35">
      <c r="A316" t="s">
        <v>96</v>
      </c>
      <c r="B316" t="s">
        <v>63</v>
      </c>
      <c r="F316">
        <v>100</v>
      </c>
      <c r="G316" t="s">
        <v>9</v>
      </c>
      <c r="H316" t="s">
        <v>85</v>
      </c>
      <c r="I316">
        <v>5</v>
      </c>
      <c r="J316">
        <v>1</v>
      </c>
      <c r="K316" t="s">
        <v>242</v>
      </c>
      <c r="L316" t="str">
        <f>_xlfn.XLOOKUP(AllResponses[[#This Row],[QuestionID]], FinalQuestions!$A:$A, FinalQuestions!$D:$D,"")</f>
        <v>Sense of Belonging to the Organization</v>
      </c>
    </row>
    <row r="317" spans="1:12" x14ac:dyDescent="0.35">
      <c r="A317" t="s">
        <v>96</v>
      </c>
      <c r="B317" t="s">
        <v>65</v>
      </c>
      <c r="F317">
        <v>40</v>
      </c>
      <c r="G317" t="s">
        <v>9</v>
      </c>
      <c r="H317" t="s">
        <v>6</v>
      </c>
      <c r="I317">
        <v>2</v>
      </c>
      <c r="J317">
        <v>0</v>
      </c>
      <c r="K317" t="s">
        <v>243</v>
      </c>
      <c r="L317" t="str">
        <f>_xlfn.XLOOKUP(AllResponses[[#This Row],[QuestionID]], FinalQuestions!$A:$A, FinalQuestions!$D:$D,"")</f>
        <v>Consideration of Impact on Others</v>
      </c>
    </row>
    <row r="318" spans="1:12" x14ac:dyDescent="0.35">
      <c r="A318" t="s">
        <v>96</v>
      </c>
      <c r="B318" t="s">
        <v>67</v>
      </c>
      <c r="F318">
        <v>20</v>
      </c>
      <c r="G318" t="s">
        <v>9</v>
      </c>
      <c r="H318" t="s">
        <v>84</v>
      </c>
      <c r="I318">
        <v>1</v>
      </c>
      <c r="J318">
        <v>0</v>
      </c>
      <c r="K318" t="s">
        <v>244</v>
      </c>
      <c r="L318" t="str">
        <f>_xlfn.XLOOKUP(AllResponses[[#This Row],[QuestionID]], FinalQuestions!$A:$A, FinalQuestions!$D:$D,"")</f>
        <v>Accountability for Risk Actions</v>
      </c>
    </row>
    <row r="319" spans="1:12" x14ac:dyDescent="0.35">
      <c r="A319" t="s">
        <v>96</v>
      </c>
      <c r="B319" t="s">
        <v>69</v>
      </c>
      <c r="F319">
        <v>40</v>
      </c>
      <c r="G319" t="s">
        <v>10</v>
      </c>
      <c r="H319" t="s">
        <v>6</v>
      </c>
      <c r="I319">
        <v>2</v>
      </c>
      <c r="J319">
        <v>0</v>
      </c>
      <c r="K319" t="s">
        <v>245</v>
      </c>
      <c r="L319" t="str">
        <f>_xlfn.XLOOKUP(AllResponses[[#This Row],[QuestionID]], FinalQuestions!$A:$A, FinalQuestions!$D:$D,"")</f>
        <v xml:space="preserve">Peer to peer Accountability </v>
      </c>
    </row>
    <row r="320" spans="1:12" x14ac:dyDescent="0.35">
      <c r="A320" t="s">
        <v>96</v>
      </c>
      <c r="B320" t="s">
        <v>71</v>
      </c>
      <c r="F320">
        <v>60</v>
      </c>
      <c r="G320" t="s">
        <v>10</v>
      </c>
      <c r="H320" t="s">
        <v>4</v>
      </c>
      <c r="I320">
        <v>3</v>
      </c>
      <c r="J320">
        <v>0</v>
      </c>
      <c r="K320" t="s">
        <v>246</v>
      </c>
      <c r="L320" t="str">
        <f>_xlfn.XLOOKUP(AllResponses[[#This Row],[QuestionID]], FinalQuestions!$A:$A, FinalQuestions!$D:$D,"")</f>
        <v>Timely Resolution of Accountability Issues</v>
      </c>
    </row>
    <row r="321" spans="1:12" x14ac:dyDescent="0.35">
      <c r="A321" t="s">
        <v>96</v>
      </c>
      <c r="B321" t="s">
        <v>73</v>
      </c>
      <c r="F321">
        <v>60</v>
      </c>
      <c r="G321" t="s">
        <v>10</v>
      </c>
      <c r="H321" t="s">
        <v>4</v>
      </c>
      <c r="I321">
        <v>3</v>
      </c>
      <c r="J321">
        <v>0</v>
      </c>
      <c r="K321" t="s">
        <v>247</v>
      </c>
      <c r="L321" t="str">
        <f>_xlfn.XLOOKUP(AllResponses[[#This Row],[QuestionID]], FinalQuestions!$A:$A, FinalQuestions!$D:$D,"")</f>
        <v>Comfort for Reporting Non‑Compliance.</v>
      </c>
    </row>
    <row r="322" spans="1:12" x14ac:dyDescent="0.35">
      <c r="A322" t="s">
        <v>96</v>
      </c>
      <c r="B322" t="s">
        <v>75</v>
      </c>
      <c r="F322">
        <v>80</v>
      </c>
      <c r="G322" t="s">
        <v>10</v>
      </c>
      <c r="H322" t="s">
        <v>2</v>
      </c>
      <c r="I322">
        <v>4</v>
      </c>
      <c r="J322">
        <v>1</v>
      </c>
      <c r="K322" t="s">
        <v>248</v>
      </c>
      <c r="L322" t="str">
        <f>_xlfn.XLOOKUP(AllResponses[[#This Row],[QuestionID]], FinalQuestions!$A:$A, FinalQuestions!$D:$D,"")</f>
        <v>Consistency of Conduct Enforcement</v>
      </c>
    </row>
    <row r="323" spans="1:12" x14ac:dyDescent="0.35">
      <c r="A323" t="s">
        <v>97</v>
      </c>
      <c r="B323" t="s">
        <v>13</v>
      </c>
      <c r="F323">
        <v>80</v>
      </c>
      <c r="G323" t="s">
        <v>0</v>
      </c>
      <c r="H323" t="s">
        <v>2</v>
      </c>
      <c r="I323">
        <v>4</v>
      </c>
      <c r="J323">
        <v>1</v>
      </c>
      <c r="K323" t="s">
        <v>253</v>
      </c>
      <c r="L323" t="str">
        <f>_xlfn.XLOOKUP(AllResponses[[#This Row],[QuestionID]], FinalQuestions!$A:$A, FinalQuestions!$D:$D,"")</f>
        <v xml:space="preserve">Leadership Example‑Setting in Risk Management </v>
      </c>
    </row>
    <row r="324" spans="1:12" x14ac:dyDescent="0.35">
      <c r="A324" t="s">
        <v>97</v>
      </c>
      <c r="B324" t="s">
        <v>15</v>
      </c>
      <c r="F324">
        <v>60</v>
      </c>
      <c r="G324" t="s">
        <v>0</v>
      </c>
      <c r="H324" t="s">
        <v>4</v>
      </c>
      <c r="I324">
        <v>3</v>
      </c>
      <c r="J324">
        <v>0</v>
      </c>
      <c r="K324" t="s">
        <v>222</v>
      </c>
      <c r="L324" t="str">
        <f>_xlfn.XLOOKUP(AllResponses[[#This Row],[QuestionID]], FinalQuestions!$A:$A, FinalQuestions!$D:$D,"")</f>
        <v>Executive Commitment to Risk Culture</v>
      </c>
    </row>
    <row r="325" spans="1:12" x14ac:dyDescent="0.35">
      <c r="A325" t="s">
        <v>97</v>
      </c>
      <c r="B325" t="s">
        <v>17</v>
      </c>
      <c r="F325">
        <v>60</v>
      </c>
      <c r="G325" t="s">
        <v>0</v>
      </c>
      <c r="H325" t="s">
        <v>4</v>
      </c>
      <c r="I325">
        <v>3</v>
      </c>
      <c r="J325">
        <v>0</v>
      </c>
      <c r="K325" t="s">
        <v>223</v>
      </c>
      <c r="L325" t="str">
        <f>_xlfn.XLOOKUP(AllResponses[[#This Row],[QuestionID]], FinalQuestions!$A:$A, FinalQuestions!$D:$D,"")</f>
        <v>Leadership Encouragement to Escalate Risks</v>
      </c>
    </row>
    <row r="326" spans="1:12" x14ac:dyDescent="0.35">
      <c r="A326" t="s">
        <v>97</v>
      </c>
      <c r="B326" t="s">
        <v>19</v>
      </c>
      <c r="F326">
        <v>60</v>
      </c>
      <c r="G326" t="s">
        <v>0</v>
      </c>
      <c r="H326" t="s">
        <v>4</v>
      </c>
      <c r="I326">
        <v>3</v>
      </c>
      <c r="J326">
        <v>0</v>
      </c>
      <c r="K326" t="s">
        <v>224</v>
      </c>
      <c r="L326" t="str">
        <f>_xlfn.XLOOKUP(AllResponses[[#This Row],[QuestionID]], FinalQuestions!$A:$A, FinalQuestions!$D:$D,"")</f>
        <v>Long-Term Decision Awareness</v>
      </c>
    </row>
    <row r="327" spans="1:12" x14ac:dyDescent="0.35">
      <c r="A327" t="s">
        <v>97</v>
      </c>
      <c r="B327" t="s">
        <v>21</v>
      </c>
      <c r="F327">
        <v>80</v>
      </c>
      <c r="G327" t="s">
        <v>117</v>
      </c>
      <c r="H327" t="s">
        <v>2</v>
      </c>
      <c r="I327">
        <v>4</v>
      </c>
      <c r="J327">
        <v>1</v>
      </c>
      <c r="K327" t="s">
        <v>225</v>
      </c>
      <c r="L327" t="str">
        <f>_xlfn.XLOOKUP(AllResponses[[#This Row],[QuestionID]], FinalQuestions!$A:$A, FinalQuestions!$D:$D,"")</f>
        <v>Openness to Discussions</v>
      </c>
    </row>
    <row r="328" spans="1:12" x14ac:dyDescent="0.35">
      <c r="A328" t="s">
        <v>97</v>
      </c>
      <c r="B328" t="s">
        <v>23</v>
      </c>
      <c r="F328">
        <v>100</v>
      </c>
      <c r="G328" t="s">
        <v>117</v>
      </c>
      <c r="H328" t="s">
        <v>85</v>
      </c>
      <c r="I328">
        <v>5</v>
      </c>
      <c r="J328">
        <v>1</v>
      </c>
      <c r="K328" t="s">
        <v>226</v>
      </c>
      <c r="L328" t="str">
        <f>_xlfn.XLOOKUP(AllResponses[[#This Row],[QuestionID]], FinalQuestions!$A:$A, FinalQuestions!$D:$D,"")</f>
        <v>Access to Guidance</v>
      </c>
    </row>
    <row r="329" spans="1:12" x14ac:dyDescent="0.35">
      <c r="A329" t="s">
        <v>97</v>
      </c>
      <c r="B329" t="s">
        <v>25</v>
      </c>
      <c r="F329">
        <v>100</v>
      </c>
      <c r="G329" t="s">
        <v>117</v>
      </c>
      <c r="H329" t="s">
        <v>85</v>
      </c>
      <c r="I329">
        <v>5</v>
      </c>
      <c r="J329">
        <v>1</v>
      </c>
      <c r="K329" t="s">
        <v>227</v>
      </c>
      <c r="L329" t="str">
        <f>_xlfn.XLOOKUP(AllResponses[[#This Row],[QuestionID]], FinalQuestions!$A:$A, FinalQuestions!$D:$D,"")</f>
        <v>Openness to Sharing Opinions</v>
      </c>
    </row>
    <row r="330" spans="1:12" x14ac:dyDescent="0.35">
      <c r="A330" t="s">
        <v>97</v>
      </c>
      <c r="B330" t="s">
        <v>27</v>
      </c>
      <c r="F330">
        <v>80</v>
      </c>
      <c r="G330" t="s">
        <v>117</v>
      </c>
      <c r="H330" t="s">
        <v>2</v>
      </c>
      <c r="I330">
        <v>4</v>
      </c>
      <c r="J330">
        <v>1</v>
      </c>
      <c r="K330" t="s">
        <v>228</v>
      </c>
      <c r="L330" t="str">
        <f>_xlfn.XLOOKUP(AllResponses[[#This Row],[QuestionID]], FinalQuestions!$A:$A, FinalQuestions!$D:$D,"")</f>
        <v>Comfort in Reporting Risk Dilemmas</v>
      </c>
    </row>
    <row r="331" spans="1:12" x14ac:dyDescent="0.35">
      <c r="A331" t="s">
        <v>97</v>
      </c>
      <c r="B331" t="s">
        <v>29</v>
      </c>
      <c r="F331">
        <v>40</v>
      </c>
      <c r="G331" t="s">
        <v>3</v>
      </c>
      <c r="H331" t="s">
        <v>6</v>
      </c>
      <c r="I331">
        <v>2</v>
      </c>
      <c r="J331">
        <v>0</v>
      </c>
      <c r="K331" t="s">
        <v>229</v>
      </c>
      <c r="L331" t="str">
        <f>_xlfn.XLOOKUP(AllResponses[[#This Row],[QuestionID]], FinalQuestions!$A:$A, FinalQuestions!$D:$D,"")</f>
        <v>Adequacy of Risk Management Training</v>
      </c>
    </row>
    <row r="332" spans="1:12" x14ac:dyDescent="0.35">
      <c r="A332" t="s">
        <v>97</v>
      </c>
      <c r="B332" t="s">
        <v>31</v>
      </c>
      <c r="F332">
        <v>60</v>
      </c>
      <c r="G332" t="s">
        <v>3</v>
      </c>
      <c r="H332" t="s">
        <v>4</v>
      </c>
      <c r="I332">
        <v>3</v>
      </c>
      <c r="J332">
        <v>0</v>
      </c>
      <c r="K332" t="s">
        <v>230</v>
      </c>
      <c r="L332" t="str">
        <f>_xlfn.XLOOKUP(AllResponses[[#This Row],[QuestionID]], FinalQuestions!$A:$A, FinalQuestions!$D:$D,"")</f>
        <v>Workload Balance &amp; Resource Sufficiency</v>
      </c>
    </row>
    <row r="333" spans="1:12" x14ac:dyDescent="0.35">
      <c r="A333" t="s">
        <v>97</v>
      </c>
      <c r="B333" t="s">
        <v>33</v>
      </c>
      <c r="F333">
        <v>40</v>
      </c>
      <c r="G333" t="s">
        <v>3</v>
      </c>
      <c r="H333" t="s">
        <v>6</v>
      </c>
      <c r="I333">
        <v>2</v>
      </c>
      <c r="J333">
        <v>0</v>
      </c>
      <c r="K333" t="s">
        <v>231</v>
      </c>
      <c r="L333" t="str">
        <f>_xlfn.XLOOKUP(AllResponses[[#This Row],[QuestionID]], FinalQuestions!$A:$A, FinalQuestions!$D:$D,"")</f>
        <v>Realistic Target Setting</v>
      </c>
    </row>
    <row r="334" spans="1:12" x14ac:dyDescent="0.35">
      <c r="A334" t="s">
        <v>97</v>
      </c>
      <c r="B334" t="s">
        <v>35</v>
      </c>
      <c r="F334">
        <v>80</v>
      </c>
      <c r="G334" t="s">
        <v>3</v>
      </c>
      <c r="H334" t="s">
        <v>2</v>
      </c>
      <c r="I334">
        <v>4</v>
      </c>
      <c r="J334">
        <v>1</v>
      </c>
      <c r="K334" t="s">
        <v>232</v>
      </c>
      <c r="L334" t="str">
        <f>_xlfn.XLOOKUP(AllResponses[[#This Row],[QuestionID]], FinalQuestions!$A:$A, FinalQuestions!$D:$D,"")</f>
        <v>Risk Insight in Decision Making</v>
      </c>
    </row>
    <row r="335" spans="1:12" x14ac:dyDescent="0.35">
      <c r="A335" t="s">
        <v>97</v>
      </c>
      <c r="B335" t="s">
        <v>37</v>
      </c>
      <c r="F335">
        <v>40</v>
      </c>
      <c r="G335" t="s">
        <v>5</v>
      </c>
      <c r="H335" t="s">
        <v>6</v>
      </c>
      <c r="I335">
        <v>2</v>
      </c>
      <c r="J335">
        <v>0</v>
      </c>
      <c r="K335" t="s">
        <v>233</v>
      </c>
      <c r="L335" t="str">
        <f>_xlfn.XLOOKUP(AllResponses[[#This Row],[QuestionID]], FinalQuestions!$A:$A, FinalQuestions!$D:$D,"")</f>
        <v>Learning Culture from Non‑Compliance Cases</v>
      </c>
    </row>
    <row r="336" spans="1:12" x14ac:dyDescent="0.35">
      <c r="A336" t="s">
        <v>97</v>
      </c>
      <c r="B336" t="s">
        <v>39</v>
      </c>
      <c r="F336">
        <v>60</v>
      </c>
      <c r="G336" t="s">
        <v>5</v>
      </c>
      <c r="H336" t="s">
        <v>4</v>
      </c>
      <c r="I336">
        <v>3</v>
      </c>
      <c r="J336">
        <v>0</v>
      </c>
      <c r="K336" t="s">
        <v>234</v>
      </c>
      <c r="L336" t="str">
        <f>_xlfn.XLOOKUP(AllResponses[[#This Row],[QuestionID]], FinalQuestions!$A:$A, FinalQuestions!$D:$D,"")</f>
        <v>Organizational View on Risk Culture</v>
      </c>
    </row>
    <row r="337" spans="1:12" x14ac:dyDescent="0.35">
      <c r="A337" t="s">
        <v>97</v>
      </c>
      <c r="B337" t="s">
        <v>41</v>
      </c>
      <c r="F337">
        <v>100</v>
      </c>
      <c r="G337" t="s">
        <v>5</v>
      </c>
      <c r="H337" t="s">
        <v>85</v>
      </c>
      <c r="I337">
        <v>5</v>
      </c>
      <c r="J337">
        <v>1</v>
      </c>
      <c r="K337" t="s">
        <v>235</v>
      </c>
      <c r="L337" t="str">
        <f>_xlfn.XLOOKUP(AllResponses[[#This Row],[QuestionID]], FinalQuestions!$A:$A, FinalQuestions!$D:$D,"")</f>
        <v>Compliance Recognition &amp; enforcement</v>
      </c>
    </row>
    <row r="338" spans="1:12" x14ac:dyDescent="0.35">
      <c r="A338" t="s">
        <v>97</v>
      </c>
      <c r="B338" t="s">
        <v>43</v>
      </c>
      <c r="F338">
        <v>100</v>
      </c>
      <c r="G338" t="s">
        <v>5</v>
      </c>
      <c r="H338" t="s">
        <v>85</v>
      </c>
      <c r="I338">
        <v>5</v>
      </c>
      <c r="J338">
        <v>1</v>
      </c>
      <c r="K338" t="s">
        <v>236</v>
      </c>
      <c r="L338" t="str">
        <f>_xlfn.XLOOKUP(AllResponses[[#This Row],[QuestionID]], FinalQuestions!$A:$A, FinalQuestions!$D:$D,"")</f>
        <v>Sense of Ownership</v>
      </c>
    </row>
    <row r="339" spans="1:12" x14ac:dyDescent="0.35">
      <c r="A339" t="s">
        <v>97</v>
      </c>
      <c r="B339" t="s">
        <v>45</v>
      </c>
      <c r="F339">
        <v>40</v>
      </c>
      <c r="G339" t="s">
        <v>7</v>
      </c>
      <c r="H339" t="s">
        <v>6</v>
      </c>
      <c r="I339">
        <v>2</v>
      </c>
      <c r="J339">
        <v>0</v>
      </c>
      <c r="K339" t="s">
        <v>237</v>
      </c>
      <c r="L339" t="str">
        <f>_xlfn.XLOOKUP(AllResponses[[#This Row],[QuestionID]], FinalQuestions!$A:$A, FinalQuestions!$D:$D,"")</f>
        <v>Clarity of Role and Responsibilities</v>
      </c>
    </row>
    <row r="340" spans="1:12" x14ac:dyDescent="0.35">
      <c r="A340" t="s">
        <v>97</v>
      </c>
      <c r="B340" t="s">
        <v>47</v>
      </c>
      <c r="F340">
        <v>20</v>
      </c>
      <c r="G340" t="s">
        <v>7</v>
      </c>
      <c r="H340" t="s">
        <v>84</v>
      </c>
      <c r="I340">
        <v>1</v>
      </c>
      <c r="J340">
        <v>0</v>
      </c>
      <c r="K340" t="s">
        <v>238</v>
      </c>
      <c r="L340" t="str">
        <f>_xlfn.XLOOKUP(AllResponses[[#This Row],[QuestionID]], FinalQuestions!$A:$A, FinalQuestions!$D:$D,"")</f>
        <v>Understanding of Risk Policies &amp; Procedures</v>
      </c>
    </row>
    <row r="341" spans="1:12" x14ac:dyDescent="0.35">
      <c r="A341" t="s">
        <v>97</v>
      </c>
      <c r="B341" t="s">
        <v>49</v>
      </c>
      <c r="F341">
        <v>40</v>
      </c>
      <c r="G341" t="s">
        <v>7</v>
      </c>
      <c r="H341" t="s">
        <v>6</v>
      </c>
      <c r="I341">
        <v>2</v>
      </c>
      <c r="J341">
        <v>0</v>
      </c>
      <c r="K341" t="s">
        <v>239</v>
      </c>
      <c r="L341" t="str">
        <f>_xlfn.XLOOKUP(AllResponses[[#This Row],[QuestionID]], FinalQuestions!$A:$A, FinalQuestions!$D:$D,"")</f>
        <v>Clarity of Personal Risk Boundaries</v>
      </c>
    </row>
    <row r="342" spans="1:12" x14ac:dyDescent="0.35">
      <c r="A342" t="s">
        <v>97</v>
      </c>
      <c r="B342" t="s">
        <v>51</v>
      </c>
      <c r="F342">
        <v>60</v>
      </c>
      <c r="G342" t="s">
        <v>7</v>
      </c>
      <c r="H342" t="s">
        <v>4</v>
      </c>
      <c r="I342">
        <v>3</v>
      </c>
      <c r="J342">
        <v>0</v>
      </c>
      <c r="K342" t="s">
        <v>240</v>
      </c>
      <c r="L342" t="str">
        <f>_xlfn.XLOOKUP(AllResponses[[#This Row],[QuestionID]], FinalQuestions!$A:$A, FinalQuestions!$D:$D,"")</f>
        <v>Effectiveness of Risk Communication &amp; Training</v>
      </c>
    </row>
    <row r="343" spans="1:12" x14ac:dyDescent="0.35">
      <c r="A343" t="s">
        <v>97</v>
      </c>
      <c r="B343" t="s">
        <v>53</v>
      </c>
      <c r="F343">
        <v>60</v>
      </c>
      <c r="G343" t="s">
        <v>8</v>
      </c>
      <c r="H343" t="s">
        <v>4</v>
      </c>
      <c r="I343">
        <v>3</v>
      </c>
      <c r="J343">
        <v>0</v>
      </c>
      <c r="K343" t="s">
        <v>249</v>
      </c>
      <c r="L343" t="str">
        <f>_xlfn.XLOOKUP(AllResponses[[#This Row],[QuestionID]], FinalQuestions!$A:$A, FinalQuestions!$D:$D,"")</f>
        <v>Compliance Confidence in team</v>
      </c>
    </row>
    <row r="344" spans="1:12" x14ac:dyDescent="0.35">
      <c r="A344" t="s">
        <v>97</v>
      </c>
      <c r="B344" t="s">
        <v>55</v>
      </c>
      <c r="F344">
        <v>80</v>
      </c>
      <c r="G344" t="s">
        <v>8</v>
      </c>
      <c r="H344" t="s">
        <v>2</v>
      </c>
      <c r="I344">
        <v>4</v>
      </c>
      <c r="J344">
        <v>1</v>
      </c>
      <c r="K344" t="s">
        <v>250</v>
      </c>
      <c r="L344" t="str">
        <f>_xlfn.XLOOKUP(AllResponses[[#This Row],[QuestionID]], FinalQuestions!$A:$A, FinalQuestions!$D:$D,"")</f>
        <v>Transparency in Decision‑Making</v>
      </c>
    </row>
    <row r="345" spans="1:12" x14ac:dyDescent="0.35">
      <c r="A345" t="s">
        <v>97</v>
      </c>
      <c r="B345" t="s">
        <v>57</v>
      </c>
      <c r="F345">
        <v>80</v>
      </c>
      <c r="G345" t="s">
        <v>8</v>
      </c>
      <c r="H345" t="s">
        <v>2</v>
      </c>
      <c r="I345">
        <v>4</v>
      </c>
      <c r="J345">
        <v>1</v>
      </c>
      <c r="K345" t="s">
        <v>251</v>
      </c>
      <c r="L345" t="str">
        <f>_xlfn.XLOOKUP(AllResponses[[#This Row],[QuestionID]], FinalQuestions!$A:$A, FinalQuestions!$D:$D,"")</f>
        <v>Fairness &amp; Equity of Expectations</v>
      </c>
    </row>
    <row r="346" spans="1:12" x14ac:dyDescent="0.35">
      <c r="A346" t="s">
        <v>97</v>
      </c>
      <c r="B346" t="s">
        <v>59</v>
      </c>
      <c r="F346">
        <v>60</v>
      </c>
      <c r="G346" t="s">
        <v>8</v>
      </c>
      <c r="H346" t="s">
        <v>4</v>
      </c>
      <c r="I346">
        <v>3</v>
      </c>
      <c r="J346">
        <v>0</v>
      </c>
      <c r="K346" t="s">
        <v>252</v>
      </c>
      <c r="L346" t="str">
        <f>_xlfn.XLOOKUP(AllResponses[[#This Row],[QuestionID]], FinalQuestions!$A:$A, FinalQuestions!$D:$D,"")</f>
        <v>Leadership Awareness in the team</v>
      </c>
    </row>
    <row r="347" spans="1:12" x14ac:dyDescent="0.35">
      <c r="A347" t="s">
        <v>97</v>
      </c>
      <c r="B347" t="s">
        <v>61</v>
      </c>
      <c r="F347">
        <v>60</v>
      </c>
      <c r="G347" t="s">
        <v>9</v>
      </c>
      <c r="H347" t="s">
        <v>4</v>
      </c>
      <c r="I347">
        <v>3</v>
      </c>
      <c r="J347">
        <v>0</v>
      </c>
      <c r="K347" t="s">
        <v>241</v>
      </c>
      <c r="L347" t="str">
        <f>_xlfn.XLOOKUP(AllResponses[[#This Row],[QuestionID]], FinalQuestions!$A:$A, FinalQuestions!$D:$D,"")</f>
        <v>Motivation for Risk Ownership</v>
      </c>
    </row>
    <row r="348" spans="1:12" x14ac:dyDescent="0.35">
      <c r="A348" t="s">
        <v>97</v>
      </c>
      <c r="B348" t="s">
        <v>63</v>
      </c>
      <c r="F348">
        <v>60</v>
      </c>
      <c r="G348" t="s">
        <v>9</v>
      </c>
      <c r="H348" t="s">
        <v>4</v>
      </c>
      <c r="I348">
        <v>3</v>
      </c>
      <c r="J348">
        <v>0</v>
      </c>
      <c r="K348" t="s">
        <v>242</v>
      </c>
      <c r="L348" t="str">
        <f>_xlfn.XLOOKUP(AllResponses[[#This Row],[QuestionID]], FinalQuestions!$A:$A, FinalQuestions!$D:$D,"")</f>
        <v>Sense of Belonging to the Organization</v>
      </c>
    </row>
    <row r="349" spans="1:12" x14ac:dyDescent="0.35">
      <c r="A349" t="s">
        <v>97</v>
      </c>
      <c r="B349" t="s">
        <v>65</v>
      </c>
      <c r="F349">
        <v>80</v>
      </c>
      <c r="G349" t="s">
        <v>9</v>
      </c>
      <c r="H349" t="s">
        <v>2</v>
      </c>
      <c r="I349">
        <v>4</v>
      </c>
      <c r="J349">
        <v>1</v>
      </c>
      <c r="K349" t="s">
        <v>243</v>
      </c>
      <c r="L349" t="str">
        <f>_xlfn.XLOOKUP(AllResponses[[#This Row],[QuestionID]], FinalQuestions!$A:$A, FinalQuestions!$D:$D,"")</f>
        <v>Consideration of Impact on Others</v>
      </c>
    </row>
    <row r="350" spans="1:12" x14ac:dyDescent="0.35">
      <c r="A350" t="s">
        <v>97</v>
      </c>
      <c r="B350" t="s">
        <v>67</v>
      </c>
      <c r="F350">
        <v>100</v>
      </c>
      <c r="G350" t="s">
        <v>9</v>
      </c>
      <c r="H350" t="s">
        <v>85</v>
      </c>
      <c r="I350">
        <v>5</v>
      </c>
      <c r="J350">
        <v>1</v>
      </c>
      <c r="K350" t="s">
        <v>244</v>
      </c>
      <c r="L350" t="str">
        <f>_xlfn.XLOOKUP(AllResponses[[#This Row],[QuestionID]], FinalQuestions!$A:$A, FinalQuestions!$D:$D,"")</f>
        <v>Accountability for Risk Actions</v>
      </c>
    </row>
    <row r="351" spans="1:12" x14ac:dyDescent="0.35">
      <c r="A351" t="s">
        <v>97</v>
      </c>
      <c r="B351" t="s">
        <v>69</v>
      </c>
      <c r="F351">
        <v>40</v>
      </c>
      <c r="G351" t="s">
        <v>10</v>
      </c>
      <c r="H351" t="s">
        <v>6</v>
      </c>
      <c r="I351">
        <v>2</v>
      </c>
      <c r="J351">
        <v>0</v>
      </c>
      <c r="K351" t="s">
        <v>245</v>
      </c>
      <c r="L351" t="str">
        <f>_xlfn.XLOOKUP(AllResponses[[#This Row],[QuestionID]], FinalQuestions!$A:$A, FinalQuestions!$D:$D,"")</f>
        <v xml:space="preserve">Peer to peer Accountability </v>
      </c>
    </row>
    <row r="352" spans="1:12" x14ac:dyDescent="0.35">
      <c r="A352" t="s">
        <v>97</v>
      </c>
      <c r="B352" t="s">
        <v>71</v>
      </c>
      <c r="F352">
        <v>20</v>
      </c>
      <c r="G352" t="s">
        <v>10</v>
      </c>
      <c r="H352" t="s">
        <v>84</v>
      </c>
      <c r="I352">
        <v>1</v>
      </c>
      <c r="J352">
        <v>0</v>
      </c>
      <c r="K352" t="s">
        <v>246</v>
      </c>
      <c r="L352" t="str">
        <f>_xlfn.XLOOKUP(AllResponses[[#This Row],[QuestionID]], FinalQuestions!$A:$A, FinalQuestions!$D:$D,"")</f>
        <v>Timely Resolution of Accountability Issues</v>
      </c>
    </row>
    <row r="353" spans="1:12" x14ac:dyDescent="0.35">
      <c r="A353" t="s">
        <v>97</v>
      </c>
      <c r="B353" t="s">
        <v>73</v>
      </c>
      <c r="F353">
        <v>40</v>
      </c>
      <c r="G353" t="s">
        <v>10</v>
      </c>
      <c r="H353" t="s">
        <v>6</v>
      </c>
      <c r="I353">
        <v>2</v>
      </c>
      <c r="J353">
        <v>0</v>
      </c>
      <c r="K353" t="s">
        <v>247</v>
      </c>
      <c r="L353" t="str">
        <f>_xlfn.XLOOKUP(AllResponses[[#This Row],[QuestionID]], FinalQuestions!$A:$A, FinalQuestions!$D:$D,"")</f>
        <v>Comfort for Reporting Non‑Compliance.</v>
      </c>
    </row>
    <row r="354" spans="1:12" x14ac:dyDescent="0.35">
      <c r="A354" t="s">
        <v>97</v>
      </c>
      <c r="B354" t="s">
        <v>75</v>
      </c>
      <c r="F354">
        <v>60</v>
      </c>
      <c r="G354" t="s">
        <v>10</v>
      </c>
      <c r="H354" t="s">
        <v>4</v>
      </c>
      <c r="I354">
        <v>3</v>
      </c>
      <c r="J354">
        <v>0</v>
      </c>
      <c r="K354" t="s">
        <v>248</v>
      </c>
      <c r="L354" t="str">
        <f>_xlfn.XLOOKUP(AllResponses[[#This Row],[QuestionID]], FinalQuestions!$A:$A, FinalQuestions!$D:$D,"")</f>
        <v>Consistency of Conduct Enforcement</v>
      </c>
    </row>
    <row r="355" spans="1:12" x14ac:dyDescent="0.35">
      <c r="A355" t="s">
        <v>98</v>
      </c>
      <c r="B355" t="s">
        <v>13</v>
      </c>
      <c r="F355">
        <v>60</v>
      </c>
      <c r="G355" t="s">
        <v>0</v>
      </c>
      <c r="H355" t="s">
        <v>4</v>
      </c>
      <c r="I355">
        <v>3</v>
      </c>
      <c r="J355">
        <v>0</v>
      </c>
      <c r="K355" t="s">
        <v>253</v>
      </c>
      <c r="L355" t="str">
        <f>_xlfn.XLOOKUP(AllResponses[[#This Row],[QuestionID]], FinalQuestions!$A:$A, FinalQuestions!$D:$D,"")</f>
        <v xml:space="preserve">Leadership Example‑Setting in Risk Management </v>
      </c>
    </row>
    <row r="356" spans="1:12" x14ac:dyDescent="0.35">
      <c r="A356" t="s">
        <v>98</v>
      </c>
      <c r="B356" t="s">
        <v>15</v>
      </c>
      <c r="F356">
        <v>80</v>
      </c>
      <c r="G356" t="s">
        <v>0</v>
      </c>
      <c r="H356" t="s">
        <v>2</v>
      </c>
      <c r="I356">
        <v>4</v>
      </c>
      <c r="J356">
        <v>1</v>
      </c>
      <c r="K356" t="s">
        <v>222</v>
      </c>
      <c r="L356" t="str">
        <f>_xlfn.XLOOKUP(AllResponses[[#This Row],[QuestionID]], FinalQuestions!$A:$A, FinalQuestions!$D:$D,"")</f>
        <v>Executive Commitment to Risk Culture</v>
      </c>
    </row>
    <row r="357" spans="1:12" x14ac:dyDescent="0.35">
      <c r="A357" t="s">
        <v>98</v>
      </c>
      <c r="B357" t="s">
        <v>17</v>
      </c>
      <c r="F357">
        <v>80</v>
      </c>
      <c r="G357" t="s">
        <v>0</v>
      </c>
      <c r="H357" t="s">
        <v>2</v>
      </c>
      <c r="I357">
        <v>4</v>
      </c>
      <c r="J357">
        <v>1</v>
      </c>
      <c r="K357" t="s">
        <v>223</v>
      </c>
      <c r="L357" t="str">
        <f>_xlfn.XLOOKUP(AllResponses[[#This Row],[QuestionID]], FinalQuestions!$A:$A, FinalQuestions!$D:$D,"")</f>
        <v>Leadership Encouragement to Escalate Risks</v>
      </c>
    </row>
    <row r="358" spans="1:12" x14ac:dyDescent="0.35">
      <c r="A358" t="s">
        <v>98</v>
      </c>
      <c r="B358" t="s">
        <v>19</v>
      </c>
      <c r="F358">
        <v>60</v>
      </c>
      <c r="G358" t="s">
        <v>0</v>
      </c>
      <c r="H358" t="s">
        <v>4</v>
      </c>
      <c r="I358">
        <v>3</v>
      </c>
      <c r="J358">
        <v>0</v>
      </c>
      <c r="K358" t="s">
        <v>224</v>
      </c>
      <c r="L358" t="str">
        <f>_xlfn.XLOOKUP(AllResponses[[#This Row],[QuestionID]], FinalQuestions!$A:$A, FinalQuestions!$D:$D,"")</f>
        <v>Long-Term Decision Awareness</v>
      </c>
    </row>
    <row r="359" spans="1:12" x14ac:dyDescent="0.35">
      <c r="A359" t="s">
        <v>98</v>
      </c>
      <c r="B359" t="s">
        <v>21</v>
      </c>
      <c r="F359">
        <v>60</v>
      </c>
      <c r="G359" t="s">
        <v>117</v>
      </c>
      <c r="H359" t="s">
        <v>4</v>
      </c>
      <c r="I359">
        <v>3</v>
      </c>
      <c r="J359">
        <v>0</v>
      </c>
      <c r="K359" t="s">
        <v>225</v>
      </c>
      <c r="L359" t="str">
        <f>_xlfn.XLOOKUP(AllResponses[[#This Row],[QuestionID]], FinalQuestions!$A:$A, FinalQuestions!$D:$D,"")</f>
        <v>Openness to Discussions</v>
      </c>
    </row>
    <row r="360" spans="1:12" x14ac:dyDescent="0.35">
      <c r="A360" t="s">
        <v>98</v>
      </c>
      <c r="B360" t="s">
        <v>23</v>
      </c>
      <c r="F360">
        <v>60</v>
      </c>
      <c r="G360" t="s">
        <v>117</v>
      </c>
      <c r="H360" t="s">
        <v>4</v>
      </c>
      <c r="I360">
        <v>3</v>
      </c>
      <c r="J360">
        <v>0</v>
      </c>
      <c r="K360" t="s">
        <v>226</v>
      </c>
      <c r="L360" t="str">
        <f>_xlfn.XLOOKUP(AllResponses[[#This Row],[QuestionID]], FinalQuestions!$A:$A, FinalQuestions!$D:$D,"")</f>
        <v>Access to Guidance</v>
      </c>
    </row>
    <row r="361" spans="1:12" x14ac:dyDescent="0.35">
      <c r="A361" t="s">
        <v>98</v>
      </c>
      <c r="B361" t="s">
        <v>25</v>
      </c>
      <c r="F361">
        <v>80</v>
      </c>
      <c r="G361" t="s">
        <v>117</v>
      </c>
      <c r="H361" t="s">
        <v>2</v>
      </c>
      <c r="I361">
        <v>4</v>
      </c>
      <c r="J361">
        <v>1</v>
      </c>
      <c r="K361" t="s">
        <v>227</v>
      </c>
      <c r="L361" t="str">
        <f>_xlfn.XLOOKUP(AllResponses[[#This Row],[QuestionID]], FinalQuestions!$A:$A, FinalQuestions!$D:$D,"")</f>
        <v>Openness to Sharing Opinions</v>
      </c>
    </row>
    <row r="362" spans="1:12" x14ac:dyDescent="0.35">
      <c r="A362" t="s">
        <v>98</v>
      </c>
      <c r="B362" t="s">
        <v>27</v>
      </c>
      <c r="F362">
        <v>100</v>
      </c>
      <c r="G362" t="s">
        <v>117</v>
      </c>
      <c r="H362" t="s">
        <v>85</v>
      </c>
      <c r="I362">
        <v>5</v>
      </c>
      <c r="J362">
        <v>1</v>
      </c>
      <c r="K362" t="s">
        <v>228</v>
      </c>
      <c r="L362" t="str">
        <f>_xlfn.XLOOKUP(AllResponses[[#This Row],[QuestionID]], FinalQuestions!$A:$A, FinalQuestions!$D:$D,"")</f>
        <v>Comfort in Reporting Risk Dilemmas</v>
      </c>
    </row>
    <row r="363" spans="1:12" x14ac:dyDescent="0.35">
      <c r="A363" t="s">
        <v>98</v>
      </c>
      <c r="B363" t="s">
        <v>29</v>
      </c>
      <c r="F363">
        <v>100</v>
      </c>
      <c r="G363" t="s">
        <v>3</v>
      </c>
      <c r="H363" t="s">
        <v>85</v>
      </c>
      <c r="I363">
        <v>5</v>
      </c>
      <c r="J363">
        <v>1</v>
      </c>
      <c r="K363" t="s">
        <v>229</v>
      </c>
      <c r="L363" t="str">
        <f>_xlfn.XLOOKUP(AllResponses[[#This Row],[QuestionID]], FinalQuestions!$A:$A, FinalQuestions!$D:$D,"")</f>
        <v>Adequacy of Risk Management Training</v>
      </c>
    </row>
    <row r="364" spans="1:12" x14ac:dyDescent="0.35">
      <c r="A364" t="s">
        <v>98</v>
      </c>
      <c r="B364" t="s">
        <v>31</v>
      </c>
      <c r="F364">
        <v>80</v>
      </c>
      <c r="G364" t="s">
        <v>3</v>
      </c>
      <c r="H364" t="s">
        <v>2</v>
      </c>
      <c r="I364">
        <v>4</v>
      </c>
      <c r="J364">
        <v>1</v>
      </c>
      <c r="K364" t="s">
        <v>230</v>
      </c>
      <c r="L364" t="str">
        <f>_xlfn.XLOOKUP(AllResponses[[#This Row],[QuestionID]], FinalQuestions!$A:$A, FinalQuestions!$D:$D,"")</f>
        <v>Workload Balance &amp; Resource Sufficiency</v>
      </c>
    </row>
    <row r="365" spans="1:12" x14ac:dyDescent="0.35">
      <c r="A365" t="s">
        <v>98</v>
      </c>
      <c r="B365" t="s">
        <v>33</v>
      </c>
      <c r="F365">
        <v>40</v>
      </c>
      <c r="G365" t="s">
        <v>3</v>
      </c>
      <c r="H365" t="s">
        <v>6</v>
      </c>
      <c r="I365">
        <v>2</v>
      </c>
      <c r="J365">
        <v>0</v>
      </c>
      <c r="K365" t="s">
        <v>231</v>
      </c>
      <c r="L365" t="str">
        <f>_xlfn.XLOOKUP(AllResponses[[#This Row],[QuestionID]], FinalQuestions!$A:$A, FinalQuestions!$D:$D,"")</f>
        <v>Realistic Target Setting</v>
      </c>
    </row>
    <row r="366" spans="1:12" x14ac:dyDescent="0.35">
      <c r="A366" t="s">
        <v>98</v>
      </c>
      <c r="B366" t="s">
        <v>35</v>
      </c>
      <c r="F366">
        <v>80</v>
      </c>
      <c r="G366" t="s">
        <v>3</v>
      </c>
      <c r="H366" t="s">
        <v>2</v>
      </c>
      <c r="I366">
        <v>4</v>
      </c>
      <c r="J366">
        <v>1</v>
      </c>
      <c r="K366" t="s">
        <v>232</v>
      </c>
      <c r="L366" t="str">
        <f>_xlfn.XLOOKUP(AllResponses[[#This Row],[QuestionID]], FinalQuestions!$A:$A, FinalQuestions!$D:$D,"")</f>
        <v>Risk Insight in Decision Making</v>
      </c>
    </row>
    <row r="367" spans="1:12" x14ac:dyDescent="0.35">
      <c r="A367" t="s">
        <v>98</v>
      </c>
      <c r="B367" t="s">
        <v>37</v>
      </c>
      <c r="F367">
        <v>40</v>
      </c>
      <c r="G367" t="s">
        <v>5</v>
      </c>
      <c r="H367" t="s">
        <v>6</v>
      </c>
      <c r="I367">
        <v>2</v>
      </c>
      <c r="J367">
        <v>0</v>
      </c>
      <c r="K367" t="s">
        <v>233</v>
      </c>
      <c r="L367" t="str">
        <f>_xlfn.XLOOKUP(AllResponses[[#This Row],[QuestionID]], FinalQuestions!$A:$A, FinalQuestions!$D:$D,"")</f>
        <v>Learning Culture from Non‑Compliance Cases</v>
      </c>
    </row>
    <row r="368" spans="1:12" x14ac:dyDescent="0.35">
      <c r="A368" t="s">
        <v>98</v>
      </c>
      <c r="B368" t="s">
        <v>39</v>
      </c>
      <c r="F368">
        <v>80</v>
      </c>
      <c r="G368" t="s">
        <v>5</v>
      </c>
      <c r="H368" t="s">
        <v>2</v>
      </c>
      <c r="I368">
        <v>4</v>
      </c>
      <c r="J368">
        <v>1</v>
      </c>
      <c r="K368" t="s">
        <v>234</v>
      </c>
      <c r="L368" t="str">
        <f>_xlfn.XLOOKUP(AllResponses[[#This Row],[QuestionID]], FinalQuestions!$A:$A, FinalQuestions!$D:$D,"")</f>
        <v>Organizational View on Risk Culture</v>
      </c>
    </row>
    <row r="369" spans="1:12" x14ac:dyDescent="0.35">
      <c r="A369" t="s">
        <v>98</v>
      </c>
      <c r="B369" t="s">
        <v>41</v>
      </c>
      <c r="F369">
        <v>40</v>
      </c>
      <c r="G369" t="s">
        <v>5</v>
      </c>
      <c r="H369" t="s">
        <v>6</v>
      </c>
      <c r="I369">
        <v>2</v>
      </c>
      <c r="J369">
        <v>0</v>
      </c>
      <c r="K369" t="s">
        <v>235</v>
      </c>
      <c r="L369" t="str">
        <f>_xlfn.XLOOKUP(AllResponses[[#This Row],[QuestionID]], FinalQuestions!$A:$A, FinalQuestions!$D:$D,"")</f>
        <v>Compliance Recognition &amp; enforcement</v>
      </c>
    </row>
    <row r="370" spans="1:12" x14ac:dyDescent="0.35">
      <c r="A370" t="s">
        <v>98</v>
      </c>
      <c r="B370" t="s">
        <v>43</v>
      </c>
      <c r="F370">
        <v>60</v>
      </c>
      <c r="G370" t="s">
        <v>5</v>
      </c>
      <c r="H370" t="s">
        <v>4</v>
      </c>
      <c r="I370">
        <v>3</v>
      </c>
      <c r="J370">
        <v>0</v>
      </c>
      <c r="K370" t="s">
        <v>236</v>
      </c>
      <c r="L370" t="str">
        <f>_xlfn.XLOOKUP(AllResponses[[#This Row],[QuestionID]], FinalQuestions!$A:$A, FinalQuestions!$D:$D,"")</f>
        <v>Sense of Ownership</v>
      </c>
    </row>
    <row r="371" spans="1:12" x14ac:dyDescent="0.35">
      <c r="A371" t="s">
        <v>98</v>
      </c>
      <c r="B371" t="s">
        <v>45</v>
      </c>
      <c r="F371">
        <v>100</v>
      </c>
      <c r="G371" t="s">
        <v>7</v>
      </c>
      <c r="H371" t="s">
        <v>85</v>
      </c>
      <c r="I371">
        <v>5</v>
      </c>
      <c r="J371">
        <v>1</v>
      </c>
      <c r="K371" t="s">
        <v>237</v>
      </c>
      <c r="L371" t="str">
        <f>_xlfn.XLOOKUP(AllResponses[[#This Row],[QuestionID]], FinalQuestions!$A:$A, FinalQuestions!$D:$D,"")</f>
        <v>Clarity of Role and Responsibilities</v>
      </c>
    </row>
    <row r="372" spans="1:12" x14ac:dyDescent="0.35">
      <c r="A372" t="s">
        <v>98</v>
      </c>
      <c r="B372" t="s">
        <v>47</v>
      </c>
      <c r="F372">
        <v>100</v>
      </c>
      <c r="G372" t="s">
        <v>7</v>
      </c>
      <c r="H372" t="s">
        <v>85</v>
      </c>
      <c r="I372">
        <v>5</v>
      </c>
      <c r="J372">
        <v>1</v>
      </c>
      <c r="K372" t="s">
        <v>238</v>
      </c>
      <c r="L372" t="str">
        <f>_xlfn.XLOOKUP(AllResponses[[#This Row],[QuestionID]], FinalQuestions!$A:$A, FinalQuestions!$D:$D,"")</f>
        <v>Understanding of Risk Policies &amp; Procedures</v>
      </c>
    </row>
    <row r="373" spans="1:12" x14ac:dyDescent="0.35">
      <c r="A373" t="s">
        <v>98</v>
      </c>
      <c r="B373" t="s">
        <v>49</v>
      </c>
      <c r="F373">
        <v>80</v>
      </c>
      <c r="G373" t="s">
        <v>7</v>
      </c>
      <c r="H373" t="s">
        <v>2</v>
      </c>
      <c r="I373">
        <v>4</v>
      </c>
      <c r="J373">
        <v>1</v>
      </c>
      <c r="K373" t="s">
        <v>239</v>
      </c>
      <c r="L373" t="str">
        <f>_xlfn.XLOOKUP(AllResponses[[#This Row],[QuestionID]], FinalQuestions!$A:$A, FinalQuestions!$D:$D,"")</f>
        <v>Clarity of Personal Risk Boundaries</v>
      </c>
    </row>
    <row r="374" spans="1:12" x14ac:dyDescent="0.35">
      <c r="A374" t="s">
        <v>98</v>
      </c>
      <c r="B374" t="s">
        <v>51</v>
      </c>
      <c r="F374">
        <v>40</v>
      </c>
      <c r="G374" t="s">
        <v>7</v>
      </c>
      <c r="H374" t="s">
        <v>6</v>
      </c>
      <c r="I374">
        <v>2</v>
      </c>
      <c r="J374">
        <v>0</v>
      </c>
      <c r="K374" t="s">
        <v>240</v>
      </c>
      <c r="L374" t="str">
        <f>_xlfn.XLOOKUP(AllResponses[[#This Row],[QuestionID]], FinalQuestions!$A:$A, FinalQuestions!$D:$D,"")</f>
        <v>Effectiveness of Risk Communication &amp; Training</v>
      </c>
    </row>
    <row r="375" spans="1:12" x14ac:dyDescent="0.35">
      <c r="A375" t="s">
        <v>98</v>
      </c>
      <c r="B375" t="s">
        <v>53</v>
      </c>
      <c r="F375">
        <v>60</v>
      </c>
      <c r="G375" t="s">
        <v>8</v>
      </c>
      <c r="H375" t="s">
        <v>4</v>
      </c>
      <c r="I375">
        <v>3</v>
      </c>
      <c r="J375">
        <v>0</v>
      </c>
      <c r="K375" t="s">
        <v>249</v>
      </c>
      <c r="L375" t="str">
        <f>_xlfn.XLOOKUP(AllResponses[[#This Row],[QuestionID]], FinalQuestions!$A:$A, FinalQuestions!$D:$D,"")</f>
        <v>Compliance Confidence in team</v>
      </c>
    </row>
    <row r="376" spans="1:12" x14ac:dyDescent="0.35">
      <c r="A376" t="s">
        <v>98</v>
      </c>
      <c r="B376" t="s">
        <v>55</v>
      </c>
      <c r="F376">
        <v>100</v>
      </c>
      <c r="G376" t="s">
        <v>8</v>
      </c>
      <c r="H376" t="s">
        <v>85</v>
      </c>
      <c r="I376">
        <v>5</v>
      </c>
      <c r="J376">
        <v>1</v>
      </c>
      <c r="K376" t="s">
        <v>250</v>
      </c>
      <c r="L376" t="str">
        <f>_xlfn.XLOOKUP(AllResponses[[#This Row],[QuestionID]], FinalQuestions!$A:$A, FinalQuestions!$D:$D,"")</f>
        <v>Transparency in Decision‑Making</v>
      </c>
    </row>
    <row r="377" spans="1:12" x14ac:dyDescent="0.35">
      <c r="A377" t="s">
        <v>98</v>
      </c>
      <c r="B377" t="s">
        <v>57</v>
      </c>
      <c r="F377">
        <v>80</v>
      </c>
      <c r="G377" t="s">
        <v>8</v>
      </c>
      <c r="H377" t="s">
        <v>2</v>
      </c>
      <c r="I377">
        <v>4</v>
      </c>
      <c r="J377">
        <v>1</v>
      </c>
      <c r="K377" t="s">
        <v>251</v>
      </c>
      <c r="L377" t="str">
        <f>_xlfn.XLOOKUP(AllResponses[[#This Row],[QuestionID]], FinalQuestions!$A:$A, FinalQuestions!$D:$D,"")</f>
        <v>Fairness &amp; Equity of Expectations</v>
      </c>
    </row>
    <row r="378" spans="1:12" x14ac:dyDescent="0.35">
      <c r="A378" t="s">
        <v>98</v>
      </c>
      <c r="B378" t="s">
        <v>59</v>
      </c>
      <c r="F378">
        <v>40</v>
      </c>
      <c r="G378" t="s">
        <v>8</v>
      </c>
      <c r="H378" t="s">
        <v>6</v>
      </c>
      <c r="I378">
        <v>2</v>
      </c>
      <c r="J378">
        <v>0</v>
      </c>
      <c r="K378" t="s">
        <v>252</v>
      </c>
      <c r="L378" t="str">
        <f>_xlfn.XLOOKUP(AllResponses[[#This Row],[QuestionID]], FinalQuestions!$A:$A, FinalQuestions!$D:$D,"")</f>
        <v>Leadership Awareness in the team</v>
      </c>
    </row>
    <row r="379" spans="1:12" x14ac:dyDescent="0.35">
      <c r="A379" t="s">
        <v>98</v>
      </c>
      <c r="B379" t="s">
        <v>61</v>
      </c>
      <c r="F379">
        <v>40</v>
      </c>
      <c r="G379" t="s">
        <v>9</v>
      </c>
      <c r="H379" t="s">
        <v>6</v>
      </c>
      <c r="I379">
        <v>2</v>
      </c>
      <c r="J379">
        <v>0</v>
      </c>
      <c r="K379" t="s">
        <v>241</v>
      </c>
      <c r="L379" t="str">
        <f>_xlfn.XLOOKUP(AllResponses[[#This Row],[QuestionID]], FinalQuestions!$A:$A, FinalQuestions!$D:$D,"")</f>
        <v>Motivation for Risk Ownership</v>
      </c>
    </row>
    <row r="380" spans="1:12" x14ac:dyDescent="0.35">
      <c r="A380" t="s">
        <v>98</v>
      </c>
      <c r="B380" t="s">
        <v>63</v>
      </c>
      <c r="F380">
        <v>80</v>
      </c>
      <c r="G380" t="s">
        <v>9</v>
      </c>
      <c r="H380" t="s">
        <v>2</v>
      </c>
      <c r="I380">
        <v>4</v>
      </c>
      <c r="J380">
        <v>1</v>
      </c>
      <c r="K380" t="s">
        <v>242</v>
      </c>
      <c r="L380" t="str">
        <f>_xlfn.XLOOKUP(AllResponses[[#This Row],[QuestionID]], FinalQuestions!$A:$A, FinalQuestions!$D:$D,"")</f>
        <v>Sense of Belonging to the Organization</v>
      </c>
    </row>
    <row r="381" spans="1:12" x14ac:dyDescent="0.35">
      <c r="A381" t="s">
        <v>98</v>
      </c>
      <c r="B381" t="s">
        <v>65</v>
      </c>
      <c r="F381">
        <v>40</v>
      </c>
      <c r="G381" t="s">
        <v>9</v>
      </c>
      <c r="H381" t="s">
        <v>6</v>
      </c>
      <c r="I381">
        <v>2</v>
      </c>
      <c r="J381">
        <v>0</v>
      </c>
      <c r="K381" t="s">
        <v>243</v>
      </c>
      <c r="L381" t="str">
        <f>_xlfn.XLOOKUP(AllResponses[[#This Row],[QuestionID]], FinalQuestions!$A:$A, FinalQuestions!$D:$D,"")</f>
        <v>Consideration of Impact on Others</v>
      </c>
    </row>
    <row r="382" spans="1:12" x14ac:dyDescent="0.35">
      <c r="A382" t="s">
        <v>98</v>
      </c>
      <c r="B382" t="s">
        <v>67</v>
      </c>
      <c r="F382">
        <v>60</v>
      </c>
      <c r="G382" t="s">
        <v>9</v>
      </c>
      <c r="H382" t="s">
        <v>4</v>
      </c>
      <c r="I382">
        <v>3</v>
      </c>
      <c r="J382">
        <v>0</v>
      </c>
      <c r="K382" t="s">
        <v>244</v>
      </c>
      <c r="L382" t="str">
        <f>_xlfn.XLOOKUP(AllResponses[[#This Row],[QuestionID]], FinalQuestions!$A:$A, FinalQuestions!$D:$D,"")</f>
        <v>Accountability for Risk Actions</v>
      </c>
    </row>
    <row r="383" spans="1:12" x14ac:dyDescent="0.35">
      <c r="A383" t="s">
        <v>98</v>
      </c>
      <c r="B383" t="s">
        <v>69</v>
      </c>
      <c r="F383">
        <v>100</v>
      </c>
      <c r="G383" t="s">
        <v>10</v>
      </c>
      <c r="H383" t="s">
        <v>85</v>
      </c>
      <c r="I383">
        <v>5</v>
      </c>
      <c r="J383">
        <v>1</v>
      </c>
      <c r="K383" t="s">
        <v>245</v>
      </c>
      <c r="L383" t="str">
        <f>_xlfn.XLOOKUP(AllResponses[[#This Row],[QuestionID]], FinalQuestions!$A:$A, FinalQuestions!$D:$D,"")</f>
        <v xml:space="preserve">Peer to peer Accountability </v>
      </c>
    </row>
    <row r="384" spans="1:12" x14ac:dyDescent="0.35">
      <c r="A384" t="s">
        <v>98</v>
      </c>
      <c r="B384" t="s">
        <v>71</v>
      </c>
      <c r="F384">
        <v>100</v>
      </c>
      <c r="G384" t="s">
        <v>10</v>
      </c>
      <c r="H384" t="s">
        <v>85</v>
      </c>
      <c r="I384">
        <v>5</v>
      </c>
      <c r="J384">
        <v>1</v>
      </c>
      <c r="K384" t="s">
        <v>246</v>
      </c>
      <c r="L384" t="str">
        <f>_xlfn.XLOOKUP(AllResponses[[#This Row],[QuestionID]], FinalQuestions!$A:$A, FinalQuestions!$D:$D,"")</f>
        <v>Timely Resolution of Accountability Issues</v>
      </c>
    </row>
    <row r="385" spans="1:12" x14ac:dyDescent="0.35">
      <c r="A385" t="s">
        <v>98</v>
      </c>
      <c r="B385" t="s">
        <v>73</v>
      </c>
      <c r="F385">
        <v>80</v>
      </c>
      <c r="G385" t="s">
        <v>10</v>
      </c>
      <c r="H385" t="s">
        <v>2</v>
      </c>
      <c r="I385">
        <v>4</v>
      </c>
      <c r="J385">
        <v>1</v>
      </c>
      <c r="K385" t="s">
        <v>247</v>
      </c>
      <c r="L385" t="str">
        <f>_xlfn.XLOOKUP(AllResponses[[#This Row],[QuestionID]], FinalQuestions!$A:$A, FinalQuestions!$D:$D,"")</f>
        <v>Comfort for Reporting Non‑Compliance.</v>
      </c>
    </row>
    <row r="386" spans="1:12" x14ac:dyDescent="0.35">
      <c r="A386" t="s">
        <v>98</v>
      </c>
      <c r="B386" t="s">
        <v>75</v>
      </c>
      <c r="F386">
        <v>40</v>
      </c>
      <c r="G386" t="s">
        <v>10</v>
      </c>
      <c r="H386" t="s">
        <v>6</v>
      </c>
      <c r="I386">
        <v>2</v>
      </c>
      <c r="J386">
        <v>0</v>
      </c>
      <c r="K386" t="s">
        <v>248</v>
      </c>
      <c r="L386" t="str">
        <f>_xlfn.XLOOKUP(AllResponses[[#This Row],[QuestionID]], FinalQuestions!$A:$A, FinalQuestions!$D:$D,"")</f>
        <v>Consistency of Conduct Enforcement</v>
      </c>
    </row>
    <row r="387" spans="1:12" x14ac:dyDescent="0.35">
      <c r="A387" t="s">
        <v>99</v>
      </c>
      <c r="B387" t="s">
        <v>13</v>
      </c>
      <c r="F387">
        <v>60</v>
      </c>
      <c r="G387" t="s">
        <v>0</v>
      </c>
      <c r="H387" t="s">
        <v>4</v>
      </c>
      <c r="I387">
        <v>3</v>
      </c>
      <c r="J387">
        <v>0</v>
      </c>
      <c r="K387" t="s">
        <v>253</v>
      </c>
      <c r="L387" t="str">
        <f>_xlfn.XLOOKUP(AllResponses[[#This Row],[QuestionID]], FinalQuestions!$A:$A, FinalQuestions!$D:$D,"")</f>
        <v xml:space="preserve">Leadership Example‑Setting in Risk Management </v>
      </c>
    </row>
    <row r="388" spans="1:12" x14ac:dyDescent="0.35">
      <c r="A388" t="s">
        <v>99</v>
      </c>
      <c r="B388" t="s">
        <v>15</v>
      </c>
      <c r="F388">
        <v>100</v>
      </c>
      <c r="G388" t="s">
        <v>0</v>
      </c>
      <c r="H388" t="s">
        <v>85</v>
      </c>
      <c r="I388">
        <v>5</v>
      </c>
      <c r="J388">
        <v>1</v>
      </c>
      <c r="K388" t="s">
        <v>222</v>
      </c>
      <c r="L388" t="str">
        <f>_xlfn.XLOOKUP(AllResponses[[#This Row],[QuestionID]], FinalQuestions!$A:$A, FinalQuestions!$D:$D,"")</f>
        <v>Executive Commitment to Risk Culture</v>
      </c>
    </row>
    <row r="389" spans="1:12" x14ac:dyDescent="0.35">
      <c r="A389" t="s">
        <v>99</v>
      </c>
      <c r="B389" t="s">
        <v>17</v>
      </c>
      <c r="F389">
        <v>80</v>
      </c>
      <c r="G389" t="s">
        <v>0</v>
      </c>
      <c r="H389" t="s">
        <v>2</v>
      </c>
      <c r="I389">
        <v>4</v>
      </c>
      <c r="J389">
        <v>1</v>
      </c>
      <c r="K389" t="s">
        <v>223</v>
      </c>
      <c r="L389" t="str">
        <f>_xlfn.XLOOKUP(AllResponses[[#This Row],[QuestionID]], FinalQuestions!$A:$A, FinalQuestions!$D:$D,"")</f>
        <v>Leadership Encouragement to Escalate Risks</v>
      </c>
    </row>
    <row r="390" spans="1:12" x14ac:dyDescent="0.35">
      <c r="A390" t="s">
        <v>99</v>
      </c>
      <c r="B390" t="s">
        <v>19</v>
      </c>
      <c r="F390">
        <v>40</v>
      </c>
      <c r="G390" t="s">
        <v>0</v>
      </c>
      <c r="H390" t="s">
        <v>6</v>
      </c>
      <c r="I390">
        <v>2</v>
      </c>
      <c r="J390">
        <v>0</v>
      </c>
      <c r="K390" t="s">
        <v>224</v>
      </c>
      <c r="L390" t="str">
        <f>_xlfn.XLOOKUP(AllResponses[[#This Row],[QuestionID]], FinalQuestions!$A:$A, FinalQuestions!$D:$D,"")</f>
        <v>Long-Term Decision Awareness</v>
      </c>
    </row>
    <row r="391" spans="1:12" x14ac:dyDescent="0.35">
      <c r="A391" t="s">
        <v>99</v>
      </c>
      <c r="B391" t="s">
        <v>21</v>
      </c>
      <c r="F391">
        <v>40</v>
      </c>
      <c r="G391" t="s">
        <v>117</v>
      </c>
      <c r="H391" t="s">
        <v>6</v>
      </c>
      <c r="I391">
        <v>2</v>
      </c>
      <c r="J391">
        <v>0</v>
      </c>
      <c r="K391" t="s">
        <v>225</v>
      </c>
      <c r="L391" t="str">
        <f>_xlfn.XLOOKUP(AllResponses[[#This Row],[QuestionID]], FinalQuestions!$A:$A, FinalQuestions!$D:$D,"")</f>
        <v>Openness to Discussions</v>
      </c>
    </row>
    <row r="392" spans="1:12" x14ac:dyDescent="0.35">
      <c r="A392" t="s">
        <v>99</v>
      </c>
      <c r="B392" t="s">
        <v>23</v>
      </c>
      <c r="F392">
        <v>80</v>
      </c>
      <c r="G392" t="s">
        <v>117</v>
      </c>
      <c r="H392" t="s">
        <v>2</v>
      </c>
      <c r="I392">
        <v>4</v>
      </c>
      <c r="J392">
        <v>1</v>
      </c>
      <c r="K392" t="s">
        <v>226</v>
      </c>
      <c r="L392" t="str">
        <f>_xlfn.XLOOKUP(AllResponses[[#This Row],[QuestionID]], FinalQuestions!$A:$A, FinalQuestions!$D:$D,"")</f>
        <v>Access to Guidance</v>
      </c>
    </row>
    <row r="393" spans="1:12" x14ac:dyDescent="0.35">
      <c r="A393" t="s">
        <v>99</v>
      </c>
      <c r="B393" t="s">
        <v>25</v>
      </c>
      <c r="F393">
        <v>40</v>
      </c>
      <c r="G393" t="s">
        <v>117</v>
      </c>
      <c r="H393" t="s">
        <v>6</v>
      </c>
      <c r="I393">
        <v>2</v>
      </c>
      <c r="J393">
        <v>0</v>
      </c>
      <c r="K393" t="s">
        <v>227</v>
      </c>
      <c r="L393" t="str">
        <f>_xlfn.XLOOKUP(AllResponses[[#This Row],[QuestionID]], FinalQuestions!$A:$A, FinalQuestions!$D:$D,"")</f>
        <v>Openness to Sharing Opinions</v>
      </c>
    </row>
    <row r="394" spans="1:12" x14ac:dyDescent="0.35">
      <c r="A394" t="s">
        <v>99</v>
      </c>
      <c r="B394" t="s">
        <v>27</v>
      </c>
      <c r="F394">
        <v>60</v>
      </c>
      <c r="G394" t="s">
        <v>117</v>
      </c>
      <c r="H394" t="s">
        <v>4</v>
      </c>
      <c r="I394">
        <v>3</v>
      </c>
      <c r="J394">
        <v>0</v>
      </c>
      <c r="K394" t="s">
        <v>228</v>
      </c>
      <c r="L394" t="str">
        <f>_xlfn.XLOOKUP(AllResponses[[#This Row],[QuestionID]], FinalQuestions!$A:$A, FinalQuestions!$D:$D,"")</f>
        <v>Comfort in Reporting Risk Dilemmas</v>
      </c>
    </row>
    <row r="395" spans="1:12" x14ac:dyDescent="0.35">
      <c r="A395" t="s">
        <v>99</v>
      </c>
      <c r="B395" t="s">
        <v>29</v>
      </c>
      <c r="F395">
        <v>100</v>
      </c>
      <c r="G395" t="s">
        <v>3</v>
      </c>
      <c r="H395" t="s">
        <v>85</v>
      </c>
      <c r="I395">
        <v>5</v>
      </c>
      <c r="J395">
        <v>1</v>
      </c>
      <c r="K395" t="s">
        <v>229</v>
      </c>
      <c r="L395" t="str">
        <f>_xlfn.XLOOKUP(AllResponses[[#This Row],[QuestionID]], FinalQuestions!$A:$A, FinalQuestions!$D:$D,"")</f>
        <v>Adequacy of Risk Management Training</v>
      </c>
    </row>
    <row r="396" spans="1:12" x14ac:dyDescent="0.35">
      <c r="A396" t="s">
        <v>99</v>
      </c>
      <c r="B396" t="s">
        <v>31</v>
      </c>
      <c r="F396">
        <v>100</v>
      </c>
      <c r="G396" t="s">
        <v>3</v>
      </c>
      <c r="H396" t="s">
        <v>85</v>
      </c>
      <c r="I396">
        <v>5</v>
      </c>
      <c r="J396">
        <v>1</v>
      </c>
      <c r="K396" t="s">
        <v>230</v>
      </c>
      <c r="L396" t="str">
        <f>_xlfn.XLOOKUP(AllResponses[[#This Row],[QuestionID]], FinalQuestions!$A:$A, FinalQuestions!$D:$D,"")</f>
        <v>Workload Balance &amp; Resource Sufficiency</v>
      </c>
    </row>
    <row r="397" spans="1:12" x14ac:dyDescent="0.35">
      <c r="A397" t="s">
        <v>99</v>
      </c>
      <c r="B397" t="s">
        <v>33</v>
      </c>
      <c r="F397">
        <v>80</v>
      </c>
      <c r="G397" t="s">
        <v>3</v>
      </c>
      <c r="H397" t="s">
        <v>2</v>
      </c>
      <c r="I397">
        <v>4</v>
      </c>
      <c r="J397">
        <v>1</v>
      </c>
      <c r="K397" t="s">
        <v>231</v>
      </c>
      <c r="L397" t="str">
        <f>_xlfn.XLOOKUP(AllResponses[[#This Row],[QuestionID]], FinalQuestions!$A:$A, FinalQuestions!$D:$D,"")</f>
        <v>Realistic Target Setting</v>
      </c>
    </row>
    <row r="398" spans="1:12" x14ac:dyDescent="0.35">
      <c r="A398" t="s">
        <v>99</v>
      </c>
      <c r="B398" t="s">
        <v>35</v>
      </c>
      <c r="F398">
        <v>40</v>
      </c>
      <c r="G398" t="s">
        <v>3</v>
      </c>
      <c r="H398" t="s">
        <v>6</v>
      </c>
      <c r="I398">
        <v>2</v>
      </c>
      <c r="J398">
        <v>0</v>
      </c>
      <c r="K398" t="s">
        <v>232</v>
      </c>
      <c r="L398" t="str">
        <f>_xlfn.XLOOKUP(AllResponses[[#This Row],[QuestionID]], FinalQuestions!$A:$A, FinalQuestions!$D:$D,"")</f>
        <v>Risk Insight in Decision Making</v>
      </c>
    </row>
    <row r="399" spans="1:12" x14ac:dyDescent="0.35">
      <c r="A399" t="s">
        <v>99</v>
      </c>
      <c r="B399" t="s">
        <v>37</v>
      </c>
      <c r="F399">
        <v>60</v>
      </c>
      <c r="G399" t="s">
        <v>5</v>
      </c>
      <c r="H399" t="s">
        <v>4</v>
      </c>
      <c r="I399">
        <v>3</v>
      </c>
      <c r="J399">
        <v>0</v>
      </c>
      <c r="K399" t="s">
        <v>233</v>
      </c>
      <c r="L399" t="str">
        <f>_xlfn.XLOOKUP(AllResponses[[#This Row],[QuestionID]], FinalQuestions!$A:$A, FinalQuestions!$D:$D,"")</f>
        <v>Learning Culture from Non‑Compliance Cases</v>
      </c>
    </row>
    <row r="400" spans="1:12" x14ac:dyDescent="0.35">
      <c r="A400" t="s">
        <v>99</v>
      </c>
      <c r="B400" t="s">
        <v>39</v>
      </c>
      <c r="F400">
        <v>100</v>
      </c>
      <c r="G400" t="s">
        <v>5</v>
      </c>
      <c r="H400" t="s">
        <v>85</v>
      </c>
      <c r="I400">
        <v>5</v>
      </c>
      <c r="J400">
        <v>1</v>
      </c>
      <c r="K400" t="s">
        <v>234</v>
      </c>
      <c r="L400" t="str">
        <f>_xlfn.XLOOKUP(AllResponses[[#This Row],[QuestionID]], FinalQuestions!$A:$A, FinalQuestions!$D:$D,"")</f>
        <v>Organizational View on Risk Culture</v>
      </c>
    </row>
    <row r="401" spans="1:12" x14ac:dyDescent="0.35">
      <c r="A401" t="s">
        <v>99</v>
      </c>
      <c r="B401" t="s">
        <v>41</v>
      </c>
      <c r="F401">
        <v>80</v>
      </c>
      <c r="G401" t="s">
        <v>5</v>
      </c>
      <c r="H401" t="s">
        <v>2</v>
      </c>
      <c r="I401">
        <v>4</v>
      </c>
      <c r="J401">
        <v>1</v>
      </c>
      <c r="K401" t="s">
        <v>235</v>
      </c>
      <c r="L401" t="str">
        <f>_xlfn.XLOOKUP(AllResponses[[#This Row],[QuestionID]], FinalQuestions!$A:$A, FinalQuestions!$D:$D,"")</f>
        <v>Compliance Recognition &amp; enforcement</v>
      </c>
    </row>
    <row r="402" spans="1:12" x14ac:dyDescent="0.35">
      <c r="A402" t="s">
        <v>99</v>
      </c>
      <c r="B402" t="s">
        <v>43</v>
      </c>
      <c r="F402">
        <v>40</v>
      </c>
      <c r="G402" t="s">
        <v>5</v>
      </c>
      <c r="H402" t="s">
        <v>6</v>
      </c>
      <c r="I402">
        <v>2</v>
      </c>
      <c r="J402">
        <v>0</v>
      </c>
      <c r="K402" t="s">
        <v>236</v>
      </c>
      <c r="L402" t="str">
        <f>_xlfn.XLOOKUP(AllResponses[[#This Row],[QuestionID]], FinalQuestions!$A:$A, FinalQuestions!$D:$D,"")</f>
        <v>Sense of Ownership</v>
      </c>
    </row>
    <row r="403" spans="1:12" x14ac:dyDescent="0.35">
      <c r="A403" t="s">
        <v>99</v>
      </c>
      <c r="B403" t="s">
        <v>45</v>
      </c>
      <c r="F403">
        <v>40</v>
      </c>
      <c r="G403" t="s">
        <v>7</v>
      </c>
      <c r="H403" t="s">
        <v>6</v>
      </c>
      <c r="I403">
        <v>2</v>
      </c>
      <c r="J403">
        <v>0</v>
      </c>
      <c r="K403" t="s">
        <v>237</v>
      </c>
      <c r="L403" t="str">
        <f>_xlfn.XLOOKUP(AllResponses[[#This Row],[QuestionID]], FinalQuestions!$A:$A, FinalQuestions!$D:$D,"")</f>
        <v>Clarity of Role and Responsibilities</v>
      </c>
    </row>
    <row r="404" spans="1:12" x14ac:dyDescent="0.35">
      <c r="A404" t="s">
        <v>99</v>
      </c>
      <c r="B404" t="s">
        <v>47</v>
      </c>
      <c r="F404">
        <v>80</v>
      </c>
      <c r="G404" t="s">
        <v>7</v>
      </c>
      <c r="H404" t="s">
        <v>2</v>
      </c>
      <c r="I404">
        <v>4</v>
      </c>
      <c r="J404">
        <v>1</v>
      </c>
      <c r="K404" t="s">
        <v>238</v>
      </c>
      <c r="L404" t="str">
        <f>_xlfn.XLOOKUP(AllResponses[[#This Row],[QuestionID]], FinalQuestions!$A:$A, FinalQuestions!$D:$D,"")</f>
        <v>Understanding of Risk Policies &amp; Procedures</v>
      </c>
    </row>
    <row r="405" spans="1:12" x14ac:dyDescent="0.35">
      <c r="A405" t="s">
        <v>99</v>
      </c>
      <c r="B405" t="s">
        <v>49</v>
      </c>
      <c r="F405">
        <v>40</v>
      </c>
      <c r="G405" t="s">
        <v>7</v>
      </c>
      <c r="H405" t="s">
        <v>6</v>
      </c>
      <c r="I405">
        <v>2</v>
      </c>
      <c r="J405">
        <v>0</v>
      </c>
      <c r="K405" t="s">
        <v>239</v>
      </c>
      <c r="L405" t="str">
        <f>_xlfn.XLOOKUP(AllResponses[[#This Row],[QuestionID]], FinalQuestions!$A:$A, FinalQuestions!$D:$D,"")</f>
        <v>Clarity of Personal Risk Boundaries</v>
      </c>
    </row>
    <row r="406" spans="1:12" x14ac:dyDescent="0.35">
      <c r="A406" t="s">
        <v>99</v>
      </c>
      <c r="B406" t="s">
        <v>51</v>
      </c>
      <c r="F406">
        <v>60</v>
      </c>
      <c r="G406" t="s">
        <v>7</v>
      </c>
      <c r="H406" t="s">
        <v>4</v>
      </c>
      <c r="I406">
        <v>3</v>
      </c>
      <c r="J406">
        <v>0</v>
      </c>
      <c r="K406" t="s">
        <v>240</v>
      </c>
      <c r="L406" t="str">
        <f>_xlfn.XLOOKUP(AllResponses[[#This Row],[QuestionID]], FinalQuestions!$A:$A, FinalQuestions!$D:$D,"")</f>
        <v>Effectiveness of Risk Communication &amp; Training</v>
      </c>
    </row>
    <row r="407" spans="1:12" x14ac:dyDescent="0.35">
      <c r="A407" t="s">
        <v>99</v>
      </c>
      <c r="B407" t="s">
        <v>53</v>
      </c>
      <c r="F407">
        <v>100</v>
      </c>
      <c r="G407" t="s">
        <v>8</v>
      </c>
      <c r="H407" t="s">
        <v>85</v>
      </c>
      <c r="I407">
        <v>5</v>
      </c>
      <c r="J407">
        <v>1</v>
      </c>
      <c r="K407" t="s">
        <v>249</v>
      </c>
      <c r="L407" t="str">
        <f>_xlfn.XLOOKUP(AllResponses[[#This Row],[QuestionID]], FinalQuestions!$A:$A, FinalQuestions!$D:$D,"")</f>
        <v>Compliance Confidence in team</v>
      </c>
    </row>
    <row r="408" spans="1:12" x14ac:dyDescent="0.35">
      <c r="A408" t="s">
        <v>99</v>
      </c>
      <c r="B408" t="s">
        <v>55</v>
      </c>
      <c r="F408">
        <v>100</v>
      </c>
      <c r="G408" t="s">
        <v>8</v>
      </c>
      <c r="H408" t="s">
        <v>85</v>
      </c>
      <c r="I408">
        <v>5</v>
      </c>
      <c r="J408">
        <v>1</v>
      </c>
      <c r="K408" t="s">
        <v>250</v>
      </c>
      <c r="L408" t="str">
        <f>_xlfn.XLOOKUP(AllResponses[[#This Row],[QuestionID]], FinalQuestions!$A:$A, FinalQuestions!$D:$D,"")</f>
        <v>Transparency in Decision‑Making</v>
      </c>
    </row>
    <row r="409" spans="1:12" x14ac:dyDescent="0.35">
      <c r="A409" t="s">
        <v>99</v>
      </c>
      <c r="B409" t="s">
        <v>57</v>
      </c>
      <c r="F409">
        <v>80</v>
      </c>
      <c r="G409" t="s">
        <v>8</v>
      </c>
      <c r="H409" t="s">
        <v>2</v>
      </c>
      <c r="I409">
        <v>4</v>
      </c>
      <c r="J409">
        <v>1</v>
      </c>
      <c r="K409" t="s">
        <v>251</v>
      </c>
      <c r="L409" t="str">
        <f>_xlfn.XLOOKUP(AllResponses[[#This Row],[QuestionID]], FinalQuestions!$A:$A, FinalQuestions!$D:$D,"")</f>
        <v>Fairness &amp; Equity of Expectations</v>
      </c>
    </row>
    <row r="410" spans="1:12" x14ac:dyDescent="0.35">
      <c r="A410" t="s">
        <v>99</v>
      </c>
      <c r="B410" t="s">
        <v>59</v>
      </c>
      <c r="F410">
        <v>40</v>
      </c>
      <c r="G410" t="s">
        <v>8</v>
      </c>
      <c r="H410" t="s">
        <v>6</v>
      </c>
      <c r="I410">
        <v>2</v>
      </c>
      <c r="J410">
        <v>0</v>
      </c>
      <c r="K410" t="s">
        <v>252</v>
      </c>
      <c r="L410" t="str">
        <f>_xlfn.XLOOKUP(AllResponses[[#This Row],[QuestionID]], FinalQuestions!$A:$A, FinalQuestions!$D:$D,"")</f>
        <v>Leadership Awareness in the team</v>
      </c>
    </row>
    <row r="411" spans="1:12" x14ac:dyDescent="0.35">
      <c r="A411" t="s">
        <v>99</v>
      </c>
      <c r="B411" t="s">
        <v>61</v>
      </c>
      <c r="F411">
        <v>60</v>
      </c>
      <c r="G411" t="s">
        <v>9</v>
      </c>
      <c r="H411" t="s">
        <v>4</v>
      </c>
      <c r="I411">
        <v>3</v>
      </c>
      <c r="J411">
        <v>0</v>
      </c>
      <c r="K411" t="s">
        <v>241</v>
      </c>
      <c r="L411" t="str">
        <f>_xlfn.XLOOKUP(AllResponses[[#This Row],[QuestionID]], FinalQuestions!$A:$A, FinalQuestions!$D:$D,"")</f>
        <v>Motivation for Risk Ownership</v>
      </c>
    </row>
    <row r="412" spans="1:12" x14ac:dyDescent="0.35">
      <c r="A412" t="s">
        <v>99</v>
      </c>
      <c r="B412" t="s">
        <v>63</v>
      </c>
      <c r="F412">
        <v>100</v>
      </c>
      <c r="G412" t="s">
        <v>9</v>
      </c>
      <c r="H412" t="s">
        <v>85</v>
      </c>
      <c r="I412">
        <v>5</v>
      </c>
      <c r="J412">
        <v>1</v>
      </c>
      <c r="K412" t="s">
        <v>242</v>
      </c>
      <c r="L412" t="str">
        <f>_xlfn.XLOOKUP(AllResponses[[#This Row],[QuestionID]], FinalQuestions!$A:$A, FinalQuestions!$D:$D,"")</f>
        <v>Sense of Belonging to the Organization</v>
      </c>
    </row>
    <row r="413" spans="1:12" x14ac:dyDescent="0.35">
      <c r="A413" t="s">
        <v>99</v>
      </c>
      <c r="B413" t="s">
        <v>65</v>
      </c>
      <c r="F413">
        <v>80</v>
      </c>
      <c r="G413" t="s">
        <v>9</v>
      </c>
      <c r="H413" t="s">
        <v>2</v>
      </c>
      <c r="I413">
        <v>4</v>
      </c>
      <c r="J413">
        <v>1</v>
      </c>
      <c r="K413" t="s">
        <v>243</v>
      </c>
      <c r="L413" t="str">
        <f>_xlfn.XLOOKUP(AllResponses[[#This Row],[QuestionID]], FinalQuestions!$A:$A, FinalQuestions!$D:$D,"")</f>
        <v>Consideration of Impact on Others</v>
      </c>
    </row>
    <row r="414" spans="1:12" x14ac:dyDescent="0.35">
      <c r="A414" t="s">
        <v>99</v>
      </c>
      <c r="B414" t="s">
        <v>67</v>
      </c>
      <c r="F414">
        <v>40</v>
      </c>
      <c r="G414" t="s">
        <v>9</v>
      </c>
      <c r="H414" t="s">
        <v>6</v>
      </c>
      <c r="I414">
        <v>2</v>
      </c>
      <c r="J414">
        <v>0</v>
      </c>
      <c r="K414" t="s">
        <v>244</v>
      </c>
      <c r="L414" t="str">
        <f>_xlfn.XLOOKUP(AllResponses[[#This Row],[QuestionID]], FinalQuestions!$A:$A, FinalQuestions!$D:$D,"")</f>
        <v>Accountability for Risk Actions</v>
      </c>
    </row>
    <row r="415" spans="1:12" x14ac:dyDescent="0.35">
      <c r="A415" t="s">
        <v>99</v>
      </c>
      <c r="B415" t="s">
        <v>69</v>
      </c>
      <c r="F415">
        <v>40</v>
      </c>
      <c r="G415" t="s">
        <v>10</v>
      </c>
      <c r="H415" t="s">
        <v>6</v>
      </c>
      <c r="I415">
        <v>2</v>
      </c>
      <c r="J415">
        <v>0</v>
      </c>
      <c r="K415" t="s">
        <v>245</v>
      </c>
      <c r="L415" t="str">
        <f>_xlfn.XLOOKUP(AllResponses[[#This Row],[QuestionID]], FinalQuestions!$A:$A, FinalQuestions!$D:$D,"")</f>
        <v xml:space="preserve">Peer to peer Accountability </v>
      </c>
    </row>
    <row r="416" spans="1:12" x14ac:dyDescent="0.35">
      <c r="A416" t="s">
        <v>99</v>
      </c>
      <c r="B416" t="s">
        <v>71</v>
      </c>
      <c r="F416">
        <v>80</v>
      </c>
      <c r="G416" t="s">
        <v>10</v>
      </c>
      <c r="H416" t="s">
        <v>2</v>
      </c>
      <c r="I416">
        <v>4</v>
      </c>
      <c r="J416">
        <v>1</v>
      </c>
      <c r="K416" t="s">
        <v>246</v>
      </c>
      <c r="L416" t="str">
        <f>_xlfn.XLOOKUP(AllResponses[[#This Row],[QuestionID]], FinalQuestions!$A:$A, FinalQuestions!$D:$D,"")</f>
        <v>Timely Resolution of Accountability Issues</v>
      </c>
    </row>
    <row r="417" spans="1:12" x14ac:dyDescent="0.35">
      <c r="A417" t="s">
        <v>99</v>
      </c>
      <c r="B417" t="s">
        <v>73</v>
      </c>
      <c r="F417">
        <v>40</v>
      </c>
      <c r="G417" t="s">
        <v>10</v>
      </c>
      <c r="H417" t="s">
        <v>6</v>
      </c>
      <c r="I417">
        <v>2</v>
      </c>
      <c r="J417">
        <v>0</v>
      </c>
      <c r="K417" t="s">
        <v>247</v>
      </c>
      <c r="L417" t="str">
        <f>_xlfn.XLOOKUP(AllResponses[[#This Row],[QuestionID]], FinalQuestions!$A:$A, FinalQuestions!$D:$D,"")</f>
        <v>Comfort for Reporting Non‑Compliance.</v>
      </c>
    </row>
    <row r="418" spans="1:12" x14ac:dyDescent="0.35">
      <c r="A418" t="s">
        <v>99</v>
      </c>
      <c r="B418" t="s">
        <v>75</v>
      </c>
      <c r="F418">
        <v>60</v>
      </c>
      <c r="G418" t="s">
        <v>10</v>
      </c>
      <c r="H418" t="s">
        <v>4</v>
      </c>
      <c r="I418">
        <v>3</v>
      </c>
      <c r="J418">
        <v>0</v>
      </c>
      <c r="K418" t="s">
        <v>248</v>
      </c>
      <c r="L418" t="str">
        <f>_xlfn.XLOOKUP(AllResponses[[#This Row],[QuestionID]], FinalQuestions!$A:$A, FinalQuestions!$D:$D,"")</f>
        <v>Consistency of Conduct Enforcement</v>
      </c>
    </row>
    <row r="419" spans="1:12" x14ac:dyDescent="0.35">
      <c r="A419" t="s">
        <v>100</v>
      </c>
      <c r="B419" t="s">
        <v>13</v>
      </c>
      <c r="F419">
        <v>100</v>
      </c>
      <c r="G419" t="s">
        <v>0</v>
      </c>
      <c r="H419" t="s">
        <v>85</v>
      </c>
      <c r="I419">
        <v>5</v>
      </c>
      <c r="J419">
        <v>1</v>
      </c>
      <c r="K419" t="s">
        <v>253</v>
      </c>
      <c r="L419" t="str">
        <f>_xlfn.XLOOKUP(AllResponses[[#This Row],[QuestionID]], FinalQuestions!$A:$A, FinalQuestions!$D:$D,"")</f>
        <v xml:space="preserve">Leadership Example‑Setting in Risk Management </v>
      </c>
    </row>
    <row r="420" spans="1:12" x14ac:dyDescent="0.35">
      <c r="A420" t="s">
        <v>100</v>
      </c>
      <c r="B420" t="s">
        <v>15</v>
      </c>
      <c r="F420">
        <v>100</v>
      </c>
      <c r="G420" t="s">
        <v>0</v>
      </c>
      <c r="H420" t="s">
        <v>85</v>
      </c>
      <c r="I420">
        <v>5</v>
      </c>
      <c r="J420">
        <v>1</v>
      </c>
      <c r="K420" t="s">
        <v>222</v>
      </c>
      <c r="L420" t="str">
        <f>_xlfn.XLOOKUP(AllResponses[[#This Row],[QuestionID]], FinalQuestions!$A:$A, FinalQuestions!$D:$D,"")</f>
        <v>Executive Commitment to Risk Culture</v>
      </c>
    </row>
    <row r="421" spans="1:12" x14ac:dyDescent="0.35">
      <c r="A421" t="s">
        <v>100</v>
      </c>
      <c r="B421" t="s">
        <v>17</v>
      </c>
      <c r="F421">
        <v>80</v>
      </c>
      <c r="G421" t="s">
        <v>0</v>
      </c>
      <c r="H421" t="s">
        <v>2</v>
      </c>
      <c r="I421">
        <v>4</v>
      </c>
      <c r="J421">
        <v>1</v>
      </c>
      <c r="K421" t="s">
        <v>223</v>
      </c>
      <c r="L421" t="str">
        <f>_xlfn.XLOOKUP(AllResponses[[#This Row],[QuestionID]], FinalQuestions!$A:$A, FinalQuestions!$D:$D,"")</f>
        <v>Leadership Encouragement to Escalate Risks</v>
      </c>
    </row>
    <row r="422" spans="1:12" x14ac:dyDescent="0.35">
      <c r="A422" t="s">
        <v>100</v>
      </c>
      <c r="B422" t="s">
        <v>19</v>
      </c>
      <c r="F422">
        <v>40</v>
      </c>
      <c r="G422" t="s">
        <v>0</v>
      </c>
      <c r="H422" t="s">
        <v>6</v>
      </c>
      <c r="I422">
        <v>2</v>
      </c>
      <c r="J422">
        <v>0</v>
      </c>
      <c r="K422" t="s">
        <v>224</v>
      </c>
      <c r="L422" t="str">
        <f>_xlfn.XLOOKUP(AllResponses[[#This Row],[QuestionID]], FinalQuestions!$A:$A, FinalQuestions!$D:$D,"")</f>
        <v>Long-Term Decision Awareness</v>
      </c>
    </row>
    <row r="423" spans="1:12" x14ac:dyDescent="0.35">
      <c r="A423" t="s">
        <v>100</v>
      </c>
      <c r="B423" t="s">
        <v>21</v>
      </c>
      <c r="F423">
        <v>60</v>
      </c>
      <c r="G423" t="s">
        <v>117</v>
      </c>
      <c r="H423" t="s">
        <v>4</v>
      </c>
      <c r="I423">
        <v>3</v>
      </c>
      <c r="J423">
        <v>0</v>
      </c>
      <c r="K423" t="s">
        <v>225</v>
      </c>
      <c r="L423" t="str">
        <f>_xlfn.XLOOKUP(AllResponses[[#This Row],[QuestionID]], FinalQuestions!$A:$A, FinalQuestions!$D:$D,"")</f>
        <v>Openness to Discussions</v>
      </c>
    </row>
    <row r="424" spans="1:12" x14ac:dyDescent="0.35">
      <c r="A424" t="s">
        <v>100</v>
      </c>
      <c r="B424" t="s">
        <v>23</v>
      </c>
      <c r="F424">
        <v>100</v>
      </c>
      <c r="G424" t="s">
        <v>117</v>
      </c>
      <c r="H424" t="s">
        <v>85</v>
      </c>
      <c r="I424">
        <v>5</v>
      </c>
      <c r="J424">
        <v>1</v>
      </c>
      <c r="K424" t="s">
        <v>226</v>
      </c>
      <c r="L424" t="str">
        <f>_xlfn.XLOOKUP(AllResponses[[#This Row],[QuestionID]], FinalQuestions!$A:$A, FinalQuestions!$D:$D,"")</f>
        <v>Access to Guidance</v>
      </c>
    </row>
    <row r="425" spans="1:12" x14ac:dyDescent="0.35">
      <c r="A425" t="s">
        <v>100</v>
      </c>
      <c r="B425" t="s">
        <v>25</v>
      </c>
      <c r="F425">
        <v>80</v>
      </c>
      <c r="G425" t="s">
        <v>117</v>
      </c>
      <c r="H425" t="s">
        <v>2</v>
      </c>
      <c r="I425">
        <v>4</v>
      </c>
      <c r="J425">
        <v>1</v>
      </c>
      <c r="K425" t="s">
        <v>227</v>
      </c>
      <c r="L425" t="str">
        <f>_xlfn.XLOOKUP(AllResponses[[#This Row],[QuestionID]], FinalQuestions!$A:$A, FinalQuestions!$D:$D,"")</f>
        <v>Openness to Sharing Opinions</v>
      </c>
    </row>
    <row r="426" spans="1:12" x14ac:dyDescent="0.35">
      <c r="A426" t="s">
        <v>100</v>
      </c>
      <c r="B426" t="s">
        <v>27</v>
      </c>
      <c r="F426">
        <v>40</v>
      </c>
      <c r="G426" t="s">
        <v>117</v>
      </c>
      <c r="H426" t="s">
        <v>6</v>
      </c>
      <c r="I426">
        <v>2</v>
      </c>
      <c r="J426">
        <v>0</v>
      </c>
      <c r="K426" t="s">
        <v>228</v>
      </c>
      <c r="L426" t="str">
        <f>_xlfn.XLOOKUP(AllResponses[[#This Row],[QuestionID]], FinalQuestions!$A:$A, FinalQuestions!$D:$D,"")</f>
        <v>Comfort in Reporting Risk Dilemmas</v>
      </c>
    </row>
    <row r="427" spans="1:12" x14ac:dyDescent="0.35">
      <c r="A427" t="s">
        <v>100</v>
      </c>
      <c r="B427" t="s">
        <v>29</v>
      </c>
      <c r="F427">
        <v>80</v>
      </c>
      <c r="G427" t="s">
        <v>3</v>
      </c>
      <c r="H427" t="s">
        <v>2</v>
      </c>
      <c r="I427">
        <v>4</v>
      </c>
      <c r="J427">
        <v>1</v>
      </c>
      <c r="K427" t="s">
        <v>229</v>
      </c>
      <c r="L427" t="str">
        <f>_xlfn.XLOOKUP(AllResponses[[#This Row],[QuestionID]], FinalQuestions!$A:$A, FinalQuestions!$D:$D,"")</f>
        <v>Adequacy of Risk Management Training</v>
      </c>
    </row>
    <row r="428" spans="1:12" x14ac:dyDescent="0.35">
      <c r="A428" t="s">
        <v>100</v>
      </c>
      <c r="B428" t="s">
        <v>31</v>
      </c>
      <c r="F428">
        <v>40</v>
      </c>
      <c r="G428" t="s">
        <v>3</v>
      </c>
      <c r="H428" t="s">
        <v>6</v>
      </c>
      <c r="I428">
        <v>2</v>
      </c>
      <c r="J428">
        <v>0</v>
      </c>
      <c r="K428" t="s">
        <v>230</v>
      </c>
      <c r="L428" t="str">
        <f>_xlfn.XLOOKUP(AllResponses[[#This Row],[QuestionID]], FinalQuestions!$A:$A, FinalQuestions!$D:$D,"")</f>
        <v>Workload Balance &amp; Resource Sufficiency</v>
      </c>
    </row>
    <row r="429" spans="1:12" x14ac:dyDescent="0.35">
      <c r="A429" t="s">
        <v>100</v>
      </c>
      <c r="B429" t="s">
        <v>33</v>
      </c>
      <c r="F429">
        <v>60</v>
      </c>
      <c r="G429" t="s">
        <v>3</v>
      </c>
      <c r="H429" t="s">
        <v>4</v>
      </c>
      <c r="I429">
        <v>3</v>
      </c>
      <c r="J429">
        <v>0</v>
      </c>
      <c r="K429" t="s">
        <v>231</v>
      </c>
      <c r="L429" t="str">
        <f>_xlfn.XLOOKUP(AllResponses[[#This Row],[QuestionID]], FinalQuestions!$A:$A, FinalQuestions!$D:$D,"")</f>
        <v>Realistic Target Setting</v>
      </c>
    </row>
    <row r="430" spans="1:12" x14ac:dyDescent="0.35">
      <c r="A430" t="s">
        <v>100</v>
      </c>
      <c r="B430" t="s">
        <v>35</v>
      </c>
      <c r="F430">
        <v>100</v>
      </c>
      <c r="G430" t="s">
        <v>3</v>
      </c>
      <c r="H430" t="s">
        <v>85</v>
      </c>
      <c r="I430">
        <v>5</v>
      </c>
      <c r="J430">
        <v>1</v>
      </c>
      <c r="K430" t="s">
        <v>232</v>
      </c>
      <c r="L430" t="str">
        <f>_xlfn.XLOOKUP(AllResponses[[#This Row],[QuestionID]], FinalQuestions!$A:$A, FinalQuestions!$D:$D,"")</f>
        <v>Risk Insight in Decision Making</v>
      </c>
    </row>
    <row r="431" spans="1:12" x14ac:dyDescent="0.35">
      <c r="A431" t="s">
        <v>100</v>
      </c>
      <c r="B431" t="s">
        <v>37</v>
      </c>
      <c r="F431">
        <v>100</v>
      </c>
      <c r="G431" t="s">
        <v>5</v>
      </c>
      <c r="H431" t="s">
        <v>85</v>
      </c>
      <c r="I431">
        <v>5</v>
      </c>
      <c r="J431">
        <v>1</v>
      </c>
      <c r="K431" t="s">
        <v>233</v>
      </c>
      <c r="L431" t="str">
        <f>_xlfn.XLOOKUP(AllResponses[[#This Row],[QuestionID]], FinalQuestions!$A:$A, FinalQuestions!$D:$D,"")</f>
        <v>Learning Culture from Non‑Compliance Cases</v>
      </c>
    </row>
    <row r="432" spans="1:12" x14ac:dyDescent="0.35">
      <c r="A432" t="s">
        <v>100</v>
      </c>
      <c r="B432" t="s">
        <v>39</v>
      </c>
      <c r="F432">
        <v>80</v>
      </c>
      <c r="G432" t="s">
        <v>5</v>
      </c>
      <c r="H432" t="s">
        <v>2</v>
      </c>
      <c r="I432">
        <v>4</v>
      </c>
      <c r="J432">
        <v>1</v>
      </c>
      <c r="K432" t="s">
        <v>234</v>
      </c>
      <c r="L432" t="str">
        <f>_xlfn.XLOOKUP(AllResponses[[#This Row],[QuestionID]], FinalQuestions!$A:$A, FinalQuestions!$D:$D,"")</f>
        <v>Organizational View on Risk Culture</v>
      </c>
    </row>
    <row r="433" spans="1:12" x14ac:dyDescent="0.35">
      <c r="A433" t="s">
        <v>100</v>
      </c>
      <c r="B433" t="s">
        <v>41</v>
      </c>
      <c r="F433">
        <v>40</v>
      </c>
      <c r="G433" t="s">
        <v>5</v>
      </c>
      <c r="H433" t="s">
        <v>6</v>
      </c>
      <c r="I433">
        <v>2</v>
      </c>
      <c r="J433">
        <v>0</v>
      </c>
      <c r="K433" t="s">
        <v>235</v>
      </c>
      <c r="L433" t="str">
        <f>_xlfn.XLOOKUP(AllResponses[[#This Row],[QuestionID]], FinalQuestions!$A:$A, FinalQuestions!$D:$D,"")</f>
        <v>Compliance Recognition &amp; enforcement</v>
      </c>
    </row>
    <row r="434" spans="1:12" x14ac:dyDescent="0.35">
      <c r="A434" t="s">
        <v>100</v>
      </c>
      <c r="B434" t="s">
        <v>43</v>
      </c>
      <c r="F434">
        <v>60</v>
      </c>
      <c r="G434" t="s">
        <v>5</v>
      </c>
      <c r="H434" t="s">
        <v>4</v>
      </c>
      <c r="I434">
        <v>3</v>
      </c>
      <c r="J434">
        <v>0</v>
      </c>
      <c r="K434" t="s">
        <v>236</v>
      </c>
      <c r="L434" t="str">
        <f>_xlfn.XLOOKUP(AllResponses[[#This Row],[QuestionID]], FinalQuestions!$A:$A, FinalQuestions!$D:$D,"")</f>
        <v>Sense of Ownership</v>
      </c>
    </row>
    <row r="435" spans="1:12" x14ac:dyDescent="0.35">
      <c r="A435" t="s">
        <v>100</v>
      </c>
      <c r="B435" t="s">
        <v>45</v>
      </c>
      <c r="F435">
        <v>100</v>
      </c>
      <c r="G435" t="s">
        <v>7</v>
      </c>
      <c r="H435" t="s">
        <v>85</v>
      </c>
      <c r="I435">
        <v>5</v>
      </c>
      <c r="J435">
        <v>1</v>
      </c>
      <c r="K435" t="s">
        <v>237</v>
      </c>
      <c r="L435" t="str">
        <f>_xlfn.XLOOKUP(AllResponses[[#This Row],[QuestionID]], FinalQuestions!$A:$A, FinalQuestions!$D:$D,"")</f>
        <v>Clarity of Role and Responsibilities</v>
      </c>
    </row>
    <row r="436" spans="1:12" x14ac:dyDescent="0.35">
      <c r="A436" t="s">
        <v>100</v>
      </c>
      <c r="B436" t="s">
        <v>47</v>
      </c>
      <c r="F436">
        <v>80</v>
      </c>
      <c r="G436" t="s">
        <v>7</v>
      </c>
      <c r="H436" t="s">
        <v>2</v>
      </c>
      <c r="I436">
        <v>4</v>
      </c>
      <c r="J436">
        <v>1</v>
      </c>
      <c r="K436" t="s">
        <v>238</v>
      </c>
      <c r="L436" t="str">
        <f>_xlfn.XLOOKUP(AllResponses[[#This Row],[QuestionID]], FinalQuestions!$A:$A, FinalQuestions!$D:$D,"")</f>
        <v>Understanding of Risk Policies &amp; Procedures</v>
      </c>
    </row>
    <row r="437" spans="1:12" x14ac:dyDescent="0.35">
      <c r="A437" t="s">
        <v>100</v>
      </c>
      <c r="B437" t="s">
        <v>49</v>
      </c>
      <c r="F437">
        <v>40</v>
      </c>
      <c r="G437" t="s">
        <v>7</v>
      </c>
      <c r="H437" t="s">
        <v>6</v>
      </c>
      <c r="I437">
        <v>2</v>
      </c>
      <c r="J437">
        <v>0</v>
      </c>
      <c r="K437" t="s">
        <v>239</v>
      </c>
      <c r="L437" t="str">
        <f>_xlfn.XLOOKUP(AllResponses[[#This Row],[QuestionID]], FinalQuestions!$A:$A, FinalQuestions!$D:$D,"")</f>
        <v>Clarity of Personal Risk Boundaries</v>
      </c>
    </row>
    <row r="438" spans="1:12" x14ac:dyDescent="0.35">
      <c r="A438" t="s">
        <v>100</v>
      </c>
      <c r="B438" t="s">
        <v>51</v>
      </c>
      <c r="F438">
        <v>40</v>
      </c>
      <c r="G438" t="s">
        <v>7</v>
      </c>
      <c r="H438" t="s">
        <v>6</v>
      </c>
      <c r="I438">
        <v>2</v>
      </c>
      <c r="J438">
        <v>0</v>
      </c>
      <c r="K438" t="s">
        <v>240</v>
      </c>
      <c r="L438" t="str">
        <f>_xlfn.XLOOKUP(AllResponses[[#This Row],[QuestionID]], FinalQuestions!$A:$A, FinalQuestions!$D:$D,"")</f>
        <v>Effectiveness of Risk Communication &amp; Training</v>
      </c>
    </row>
    <row r="439" spans="1:12" x14ac:dyDescent="0.35">
      <c r="A439" t="s">
        <v>100</v>
      </c>
      <c r="B439" t="s">
        <v>53</v>
      </c>
      <c r="F439">
        <v>80</v>
      </c>
      <c r="G439" t="s">
        <v>8</v>
      </c>
      <c r="H439" t="s">
        <v>2</v>
      </c>
      <c r="I439">
        <v>4</v>
      </c>
      <c r="J439">
        <v>1</v>
      </c>
      <c r="K439" t="s">
        <v>249</v>
      </c>
      <c r="L439" t="str">
        <f>_xlfn.XLOOKUP(AllResponses[[#This Row],[QuestionID]], FinalQuestions!$A:$A, FinalQuestions!$D:$D,"")</f>
        <v>Compliance Confidence in team</v>
      </c>
    </row>
    <row r="440" spans="1:12" x14ac:dyDescent="0.35">
      <c r="A440" t="s">
        <v>100</v>
      </c>
      <c r="B440" t="s">
        <v>55</v>
      </c>
      <c r="F440">
        <v>40</v>
      </c>
      <c r="G440" t="s">
        <v>8</v>
      </c>
      <c r="H440" t="s">
        <v>6</v>
      </c>
      <c r="I440">
        <v>2</v>
      </c>
      <c r="J440">
        <v>0</v>
      </c>
      <c r="K440" t="s">
        <v>250</v>
      </c>
      <c r="L440" t="str">
        <f>_xlfn.XLOOKUP(AllResponses[[#This Row],[QuestionID]], FinalQuestions!$A:$A, FinalQuestions!$D:$D,"")</f>
        <v>Transparency in Decision‑Making</v>
      </c>
    </row>
    <row r="441" spans="1:12" x14ac:dyDescent="0.35">
      <c r="A441" t="s">
        <v>100</v>
      </c>
      <c r="B441" t="s">
        <v>57</v>
      </c>
      <c r="F441">
        <v>60</v>
      </c>
      <c r="G441" t="s">
        <v>8</v>
      </c>
      <c r="H441" t="s">
        <v>4</v>
      </c>
      <c r="I441">
        <v>3</v>
      </c>
      <c r="J441">
        <v>0</v>
      </c>
      <c r="K441" t="s">
        <v>251</v>
      </c>
      <c r="L441" t="str">
        <f>_xlfn.XLOOKUP(AllResponses[[#This Row],[QuestionID]], FinalQuestions!$A:$A, FinalQuestions!$D:$D,"")</f>
        <v>Fairness &amp; Equity of Expectations</v>
      </c>
    </row>
    <row r="442" spans="1:12" x14ac:dyDescent="0.35">
      <c r="A442" t="s">
        <v>100</v>
      </c>
      <c r="B442" t="s">
        <v>59</v>
      </c>
      <c r="F442">
        <v>100</v>
      </c>
      <c r="G442" t="s">
        <v>8</v>
      </c>
      <c r="H442" t="s">
        <v>85</v>
      </c>
      <c r="I442">
        <v>5</v>
      </c>
      <c r="J442">
        <v>1</v>
      </c>
      <c r="K442" t="s">
        <v>252</v>
      </c>
      <c r="L442" t="str">
        <f>_xlfn.XLOOKUP(AllResponses[[#This Row],[QuestionID]], FinalQuestions!$A:$A, FinalQuestions!$D:$D,"")</f>
        <v>Leadership Awareness in the team</v>
      </c>
    </row>
    <row r="443" spans="1:12" x14ac:dyDescent="0.35">
      <c r="A443" t="s">
        <v>100</v>
      </c>
      <c r="B443" t="s">
        <v>61</v>
      </c>
      <c r="F443">
        <v>100</v>
      </c>
      <c r="G443" t="s">
        <v>9</v>
      </c>
      <c r="H443" t="s">
        <v>85</v>
      </c>
      <c r="I443">
        <v>5</v>
      </c>
      <c r="J443">
        <v>1</v>
      </c>
      <c r="K443" t="s">
        <v>241</v>
      </c>
      <c r="L443" t="str">
        <f>_xlfn.XLOOKUP(AllResponses[[#This Row],[QuestionID]], FinalQuestions!$A:$A, FinalQuestions!$D:$D,"")</f>
        <v>Motivation for Risk Ownership</v>
      </c>
    </row>
    <row r="444" spans="1:12" x14ac:dyDescent="0.35">
      <c r="A444" t="s">
        <v>100</v>
      </c>
      <c r="B444" t="s">
        <v>63</v>
      </c>
      <c r="F444">
        <v>80</v>
      </c>
      <c r="G444" t="s">
        <v>9</v>
      </c>
      <c r="H444" t="s">
        <v>2</v>
      </c>
      <c r="I444">
        <v>4</v>
      </c>
      <c r="J444">
        <v>1</v>
      </c>
      <c r="K444" t="s">
        <v>242</v>
      </c>
      <c r="L444" t="str">
        <f>_xlfn.XLOOKUP(AllResponses[[#This Row],[QuestionID]], FinalQuestions!$A:$A, FinalQuestions!$D:$D,"")</f>
        <v>Sense of Belonging to the Organization</v>
      </c>
    </row>
    <row r="445" spans="1:12" x14ac:dyDescent="0.35">
      <c r="A445" t="s">
        <v>100</v>
      </c>
      <c r="B445" t="s">
        <v>65</v>
      </c>
      <c r="F445">
        <v>40</v>
      </c>
      <c r="G445" t="s">
        <v>9</v>
      </c>
      <c r="H445" t="s">
        <v>6</v>
      </c>
      <c r="I445">
        <v>2</v>
      </c>
      <c r="J445">
        <v>0</v>
      </c>
      <c r="K445" t="s">
        <v>243</v>
      </c>
      <c r="L445" t="str">
        <f>_xlfn.XLOOKUP(AllResponses[[#This Row],[QuestionID]], FinalQuestions!$A:$A, FinalQuestions!$D:$D,"")</f>
        <v>Consideration of Impact on Others</v>
      </c>
    </row>
    <row r="446" spans="1:12" x14ac:dyDescent="0.35">
      <c r="A446" t="s">
        <v>100</v>
      </c>
      <c r="B446" t="s">
        <v>67</v>
      </c>
      <c r="F446">
        <v>60</v>
      </c>
      <c r="G446" t="s">
        <v>9</v>
      </c>
      <c r="H446" t="s">
        <v>4</v>
      </c>
      <c r="I446">
        <v>3</v>
      </c>
      <c r="J446">
        <v>0</v>
      </c>
      <c r="K446" t="s">
        <v>244</v>
      </c>
      <c r="L446" t="str">
        <f>_xlfn.XLOOKUP(AllResponses[[#This Row],[QuestionID]], FinalQuestions!$A:$A, FinalQuestions!$D:$D,"")</f>
        <v>Accountability for Risk Actions</v>
      </c>
    </row>
    <row r="447" spans="1:12" x14ac:dyDescent="0.35">
      <c r="A447" t="s">
        <v>100</v>
      </c>
      <c r="B447" t="s">
        <v>69</v>
      </c>
      <c r="F447">
        <v>100</v>
      </c>
      <c r="G447" t="s">
        <v>10</v>
      </c>
      <c r="H447" t="s">
        <v>85</v>
      </c>
      <c r="I447">
        <v>5</v>
      </c>
      <c r="J447">
        <v>1</v>
      </c>
      <c r="K447" t="s">
        <v>245</v>
      </c>
      <c r="L447" t="str">
        <f>_xlfn.XLOOKUP(AllResponses[[#This Row],[QuestionID]], FinalQuestions!$A:$A, FinalQuestions!$D:$D,"")</f>
        <v xml:space="preserve">Peer to peer Accountability </v>
      </c>
    </row>
    <row r="448" spans="1:12" x14ac:dyDescent="0.35">
      <c r="A448" t="s">
        <v>100</v>
      </c>
      <c r="B448" t="s">
        <v>71</v>
      </c>
      <c r="F448">
        <v>80</v>
      </c>
      <c r="G448" t="s">
        <v>10</v>
      </c>
      <c r="H448" t="s">
        <v>2</v>
      </c>
      <c r="I448">
        <v>4</v>
      </c>
      <c r="J448">
        <v>1</v>
      </c>
      <c r="K448" t="s">
        <v>246</v>
      </c>
      <c r="L448" t="str">
        <f>_xlfn.XLOOKUP(AllResponses[[#This Row],[QuestionID]], FinalQuestions!$A:$A, FinalQuestions!$D:$D,"")</f>
        <v>Timely Resolution of Accountability Issues</v>
      </c>
    </row>
    <row r="449" spans="1:12" x14ac:dyDescent="0.35">
      <c r="A449" t="s">
        <v>100</v>
      </c>
      <c r="B449" t="s">
        <v>73</v>
      </c>
      <c r="F449">
        <v>40</v>
      </c>
      <c r="G449" t="s">
        <v>10</v>
      </c>
      <c r="H449" t="s">
        <v>6</v>
      </c>
      <c r="I449">
        <v>2</v>
      </c>
      <c r="J449">
        <v>0</v>
      </c>
      <c r="K449" t="s">
        <v>247</v>
      </c>
      <c r="L449" t="str">
        <f>_xlfn.XLOOKUP(AllResponses[[#This Row],[QuestionID]], FinalQuestions!$A:$A, FinalQuestions!$D:$D,"")</f>
        <v>Comfort for Reporting Non‑Compliance.</v>
      </c>
    </row>
    <row r="450" spans="1:12" x14ac:dyDescent="0.35">
      <c r="A450" t="s">
        <v>100</v>
      </c>
      <c r="B450" t="s">
        <v>75</v>
      </c>
      <c r="F450">
        <v>60</v>
      </c>
      <c r="G450" t="s">
        <v>10</v>
      </c>
      <c r="H450" t="s">
        <v>4</v>
      </c>
      <c r="I450">
        <v>3</v>
      </c>
      <c r="J450">
        <v>0</v>
      </c>
      <c r="K450" t="s">
        <v>248</v>
      </c>
      <c r="L450" t="str">
        <f>_xlfn.XLOOKUP(AllResponses[[#This Row],[QuestionID]], FinalQuestions!$A:$A, FinalQuestions!$D:$D,"")</f>
        <v>Consistency of Conduct Enforcement</v>
      </c>
    </row>
    <row r="451" spans="1:12" x14ac:dyDescent="0.35">
      <c r="A451" t="s">
        <v>101</v>
      </c>
      <c r="B451" t="s">
        <v>13</v>
      </c>
      <c r="F451">
        <v>100</v>
      </c>
      <c r="G451" t="s">
        <v>0</v>
      </c>
      <c r="H451" t="s">
        <v>85</v>
      </c>
      <c r="I451">
        <v>5</v>
      </c>
      <c r="J451">
        <v>1</v>
      </c>
      <c r="K451" t="s">
        <v>253</v>
      </c>
      <c r="L451" t="str">
        <f>_xlfn.XLOOKUP(AllResponses[[#This Row],[QuestionID]], FinalQuestions!$A:$A, FinalQuestions!$D:$D,"")</f>
        <v xml:space="preserve">Leadership Example‑Setting in Risk Management </v>
      </c>
    </row>
    <row r="452" spans="1:12" x14ac:dyDescent="0.35">
      <c r="A452" t="s">
        <v>101</v>
      </c>
      <c r="B452" t="s">
        <v>15</v>
      </c>
      <c r="F452">
        <v>100</v>
      </c>
      <c r="G452" t="s">
        <v>0</v>
      </c>
      <c r="H452" t="s">
        <v>85</v>
      </c>
      <c r="I452">
        <v>5</v>
      </c>
      <c r="J452">
        <v>1</v>
      </c>
      <c r="K452" t="s">
        <v>222</v>
      </c>
      <c r="L452" t="str">
        <f>_xlfn.XLOOKUP(AllResponses[[#This Row],[QuestionID]], FinalQuestions!$A:$A, FinalQuestions!$D:$D,"")</f>
        <v>Executive Commitment to Risk Culture</v>
      </c>
    </row>
    <row r="453" spans="1:12" x14ac:dyDescent="0.35">
      <c r="A453" t="s">
        <v>101</v>
      </c>
      <c r="B453" t="s">
        <v>17</v>
      </c>
      <c r="F453">
        <v>80</v>
      </c>
      <c r="G453" t="s">
        <v>0</v>
      </c>
      <c r="H453" t="s">
        <v>2</v>
      </c>
      <c r="I453">
        <v>4</v>
      </c>
      <c r="J453">
        <v>1</v>
      </c>
      <c r="K453" t="s">
        <v>223</v>
      </c>
      <c r="L453" t="str">
        <f>_xlfn.XLOOKUP(AllResponses[[#This Row],[QuestionID]], FinalQuestions!$A:$A, FinalQuestions!$D:$D,"")</f>
        <v>Leadership Encouragement to Escalate Risks</v>
      </c>
    </row>
    <row r="454" spans="1:12" x14ac:dyDescent="0.35">
      <c r="A454" t="s">
        <v>101</v>
      </c>
      <c r="B454" t="s">
        <v>19</v>
      </c>
      <c r="F454">
        <v>40</v>
      </c>
      <c r="G454" t="s">
        <v>0</v>
      </c>
      <c r="H454" t="s">
        <v>6</v>
      </c>
      <c r="I454">
        <v>2</v>
      </c>
      <c r="J454">
        <v>0</v>
      </c>
      <c r="K454" t="s">
        <v>224</v>
      </c>
      <c r="L454" t="str">
        <f>_xlfn.XLOOKUP(AllResponses[[#This Row],[QuestionID]], FinalQuestions!$A:$A, FinalQuestions!$D:$D,"")</f>
        <v>Long-Term Decision Awareness</v>
      </c>
    </row>
    <row r="455" spans="1:12" x14ac:dyDescent="0.35">
      <c r="A455" t="s">
        <v>101</v>
      </c>
      <c r="B455" t="s">
        <v>21</v>
      </c>
      <c r="F455">
        <v>60</v>
      </c>
      <c r="G455" t="s">
        <v>117</v>
      </c>
      <c r="H455" t="s">
        <v>4</v>
      </c>
      <c r="I455">
        <v>3</v>
      </c>
      <c r="J455">
        <v>0</v>
      </c>
      <c r="K455" t="s">
        <v>225</v>
      </c>
      <c r="L455" t="str">
        <f>_xlfn.XLOOKUP(AllResponses[[#This Row],[QuestionID]], FinalQuestions!$A:$A, FinalQuestions!$D:$D,"")</f>
        <v>Openness to Discussions</v>
      </c>
    </row>
    <row r="456" spans="1:12" x14ac:dyDescent="0.35">
      <c r="A456" t="s">
        <v>101</v>
      </c>
      <c r="B456" t="s">
        <v>23</v>
      </c>
      <c r="F456">
        <v>100</v>
      </c>
      <c r="G456" t="s">
        <v>117</v>
      </c>
      <c r="H456" t="s">
        <v>85</v>
      </c>
      <c r="I456">
        <v>5</v>
      </c>
      <c r="J456">
        <v>1</v>
      </c>
      <c r="K456" t="s">
        <v>226</v>
      </c>
      <c r="L456" t="str">
        <f>_xlfn.XLOOKUP(AllResponses[[#This Row],[QuestionID]], FinalQuestions!$A:$A, FinalQuestions!$D:$D,"")</f>
        <v>Access to Guidance</v>
      </c>
    </row>
    <row r="457" spans="1:12" x14ac:dyDescent="0.35">
      <c r="A457" t="s">
        <v>101</v>
      </c>
      <c r="B457" t="s">
        <v>25</v>
      </c>
      <c r="F457">
        <v>80</v>
      </c>
      <c r="G457" t="s">
        <v>117</v>
      </c>
      <c r="H457" t="s">
        <v>2</v>
      </c>
      <c r="I457">
        <v>4</v>
      </c>
      <c r="J457">
        <v>1</v>
      </c>
      <c r="K457" t="s">
        <v>227</v>
      </c>
      <c r="L457" t="str">
        <f>_xlfn.XLOOKUP(AllResponses[[#This Row],[QuestionID]], FinalQuestions!$A:$A, FinalQuestions!$D:$D,"")</f>
        <v>Openness to Sharing Opinions</v>
      </c>
    </row>
    <row r="458" spans="1:12" x14ac:dyDescent="0.35">
      <c r="A458" t="s">
        <v>101</v>
      </c>
      <c r="B458" t="s">
        <v>27</v>
      </c>
      <c r="F458">
        <v>40</v>
      </c>
      <c r="G458" t="s">
        <v>117</v>
      </c>
      <c r="H458" t="s">
        <v>6</v>
      </c>
      <c r="I458">
        <v>2</v>
      </c>
      <c r="J458">
        <v>0</v>
      </c>
      <c r="K458" t="s">
        <v>228</v>
      </c>
      <c r="L458" t="str">
        <f>_xlfn.XLOOKUP(AllResponses[[#This Row],[QuestionID]], FinalQuestions!$A:$A, FinalQuestions!$D:$D,"")</f>
        <v>Comfort in Reporting Risk Dilemmas</v>
      </c>
    </row>
    <row r="459" spans="1:12" x14ac:dyDescent="0.35">
      <c r="A459" t="s">
        <v>101</v>
      </c>
      <c r="B459" t="s">
        <v>29</v>
      </c>
      <c r="F459">
        <v>40</v>
      </c>
      <c r="G459" t="s">
        <v>3</v>
      </c>
      <c r="H459" t="s">
        <v>6</v>
      </c>
      <c r="I459">
        <v>2</v>
      </c>
      <c r="J459">
        <v>0</v>
      </c>
      <c r="K459" t="s">
        <v>229</v>
      </c>
      <c r="L459" t="str">
        <f>_xlfn.XLOOKUP(AllResponses[[#This Row],[QuestionID]], FinalQuestions!$A:$A, FinalQuestions!$D:$D,"")</f>
        <v>Adequacy of Risk Management Training</v>
      </c>
    </row>
    <row r="460" spans="1:12" x14ac:dyDescent="0.35">
      <c r="A460" t="s">
        <v>101</v>
      </c>
      <c r="B460" t="s">
        <v>31</v>
      </c>
      <c r="F460">
        <v>80</v>
      </c>
      <c r="G460" t="s">
        <v>3</v>
      </c>
      <c r="H460" t="s">
        <v>2</v>
      </c>
      <c r="I460">
        <v>4</v>
      </c>
      <c r="J460">
        <v>1</v>
      </c>
      <c r="K460" t="s">
        <v>230</v>
      </c>
      <c r="L460" t="str">
        <f>_xlfn.XLOOKUP(AllResponses[[#This Row],[QuestionID]], FinalQuestions!$A:$A, FinalQuestions!$D:$D,"")</f>
        <v>Workload Balance &amp; Resource Sufficiency</v>
      </c>
    </row>
    <row r="461" spans="1:12" x14ac:dyDescent="0.35">
      <c r="A461" t="s">
        <v>101</v>
      </c>
      <c r="B461" t="s">
        <v>33</v>
      </c>
      <c r="F461">
        <v>40</v>
      </c>
      <c r="G461" t="s">
        <v>3</v>
      </c>
      <c r="H461" t="s">
        <v>6</v>
      </c>
      <c r="I461">
        <v>2</v>
      </c>
      <c r="J461">
        <v>0</v>
      </c>
      <c r="K461" t="s">
        <v>231</v>
      </c>
      <c r="L461" t="str">
        <f>_xlfn.XLOOKUP(AllResponses[[#This Row],[QuestionID]], FinalQuestions!$A:$A, FinalQuestions!$D:$D,"")</f>
        <v>Realistic Target Setting</v>
      </c>
    </row>
    <row r="462" spans="1:12" x14ac:dyDescent="0.35">
      <c r="A462" t="s">
        <v>101</v>
      </c>
      <c r="B462" t="s">
        <v>35</v>
      </c>
      <c r="F462">
        <v>60</v>
      </c>
      <c r="G462" t="s">
        <v>3</v>
      </c>
      <c r="H462" t="s">
        <v>4</v>
      </c>
      <c r="I462">
        <v>3</v>
      </c>
      <c r="J462">
        <v>0</v>
      </c>
      <c r="K462" t="s">
        <v>232</v>
      </c>
      <c r="L462" t="str">
        <f>_xlfn.XLOOKUP(AllResponses[[#This Row],[QuestionID]], FinalQuestions!$A:$A, FinalQuestions!$D:$D,"")</f>
        <v>Risk Insight in Decision Making</v>
      </c>
    </row>
    <row r="463" spans="1:12" x14ac:dyDescent="0.35">
      <c r="A463" t="s">
        <v>101</v>
      </c>
      <c r="B463" t="s">
        <v>37</v>
      </c>
      <c r="F463">
        <v>100</v>
      </c>
      <c r="G463" t="s">
        <v>5</v>
      </c>
      <c r="H463" t="s">
        <v>85</v>
      </c>
      <c r="I463">
        <v>5</v>
      </c>
      <c r="J463">
        <v>1</v>
      </c>
      <c r="K463" t="s">
        <v>233</v>
      </c>
      <c r="L463" t="str">
        <f>_xlfn.XLOOKUP(AllResponses[[#This Row],[QuestionID]], FinalQuestions!$A:$A, FinalQuestions!$D:$D,"")</f>
        <v>Learning Culture from Non‑Compliance Cases</v>
      </c>
    </row>
    <row r="464" spans="1:12" x14ac:dyDescent="0.35">
      <c r="A464" t="s">
        <v>101</v>
      </c>
      <c r="B464" t="s">
        <v>39</v>
      </c>
      <c r="F464">
        <v>100</v>
      </c>
      <c r="G464" t="s">
        <v>5</v>
      </c>
      <c r="H464" t="s">
        <v>85</v>
      </c>
      <c r="I464">
        <v>5</v>
      </c>
      <c r="J464">
        <v>1</v>
      </c>
      <c r="K464" t="s">
        <v>234</v>
      </c>
      <c r="L464" t="str">
        <f>_xlfn.XLOOKUP(AllResponses[[#This Row],[QuestionID]], FinalQuestions!$A:$A, FinalQuestions!$D:$D,"")</f>
        <v>Organizational View on Risk Culture</v>
      </c>
    </row>
    <row r="465" spans="1:12" x14ac:dyDescent="0.35">
      <c r="A465" t="s">
        <v>101</v>
      </c>
      <c r="B465" t="s">
        <v>41</v>
      </c>
      <c r="F465">
        <v>80</v>
      </c>
      <c r="G465" t="s">
        <v>5</v>
      </c>
      <c r="H465" t="s">
        <v>2</v>
      </c>
      <c r="I465">
        <v>4</v>
      </c>
      <c r="J465">
        <v>1</v>
      </c>
      <c r="K465" t="s">
        <v>235</v>
      </c>
      <c r="L465" t="str">
        <f>_xlfn.XLOOKUP(AllResponses[[#This Row],[QuestionID]], FinalQuestions!$A:$A, FinalQuestions!$D:$D,"")</f>
        <v>Compliance Recognition &amp; enforcement</v>
      </c>
    </row>
    <row r="466" spans="1:12" x14ac:dyDescent="0.35">
      <c r="A466" t="s">
        <v>101</v>
      </c>
      <c r="B466" t="s">
        <v>43</v>
      </c>
      <c r="F466">
        <v>40</v>
      </c>
      <c r="G466" t="s">
        <v>5</v>
      </c>
      <c r="H466" t="s">
        <v>6</v>
      </c>
      <c r="I466">
        <v>2</v>
      </c>
      <c r="J466">
        <v>0</v>
      </c>
      <c r="K466" t="s">
        <v>236</v>
      </c>
      <c r="L466" t="str">
        <f>_xlfn.XLOOKUP(AllResponses[[#This Row],[QuestionID]], FinalQuestions!$A:$A, FinalQuestions!$D:$D,"")</f>
        <v>Sense of Ownership</v>
      </c>
    </row>
    <row r="467" spans="1:12" x14ac:dyDescent="0.35">
      <c r="A467" t="s">
        <v>101</v>
      </c>
      <c r="B467" t="s">
        <v>45</v>
      </c>
      <c r="F467">
        <v>60</v>
      </c>
      <c r="G467" t="s">
        <v>7</v>
      </c>
      <c r="H467" t="s">
        <v>4</v>
      </c>
      <c r="I467">
        <v>3</v>
      </c>
      <c r="J467">
        <v>0</v>
      </c>
      <c r="K467" t="s">
        <v>237</v>
      </c>
      <c r="L467" t="str">
        <f>_xlfn.XLOOKUP(AllResponses[[#This Row],[QuestionID]], FinalQuestions!$A:$A, FinalQuestions!$D:$D,"")</f>
        <v>Clarity of Role and Responsibilities</v>
      </c>
    </row>
    <row r="468" spans="1:12" x14ac:dyDescent="0.35">
      <c r="A468" t="s">
        <v>101</v>
      </c>
      <c r="B468" t="s">
        <v>47</v>
      </c>
      <c r="F468">
        <v>100</v>
      </c>
      <c r="G468" t="s">
        <v>7</v>
      </c>
      <c r="H468" t="s">
        <v>85</v>
      </c>
      <c r="I468">
        <v>5</v>
      </c>
      <c r="J468">
        <v>1</v>
      </c>
      <c r="K468" t="s">
        <v>238</v>
      </c>
      <c r="L468" t="str">
        <f>_xlfn.XLOOKUP(AllResponses[[#This Row],[QuestionID]], FinalQuestions!$A:$A, FinalQuestions!$D:$D,"")</f>
        <v>Understanding of Risk Policies &amp; Procedures</v>
      </c>
    </row>
    <row r="469" spans="1:12" x14ac:dyDescent="0.35">
      <c r="A469" t="s">
        <v>101</v>
      </c>
      <c r="B469" t="s">
        <v>49</v>
      </c>
      <c r="F469">
        <v>80</v>
      </c>
      <c r="G469" t="s">
        <v>7</v>
      </c>
      <c r="H469" t="s">
        <v>2</v>
      </c>
      <c r="I469">
        <v>4</v>
      </c>
      <c r="J469">
        <v>1</v>
      </c>
      <c r="K469" t="s">
        <v>239</v>
      </c>
      <c r="L469" t="str">
        <f>_xlfn.XLOOKUP(AllResponses[[#This Row],[QuestionID]], FinalQuestions!$A:$A, FinalQuestions!$D:$D,"")</f>
        <v>Clarity of Personal Risk Boundaries</v>
      </c>
    </row>
    <row r="470" spans="1:12" x14ac:dyDescent="0.35">
      <c r="A470" t="s">
        <v>101</v>
      </c>
      <c r="B470" t="s">
        <v>51</v>
      </c>
      <c r="F470">
        <v>40</v>
      </c>
      <c r="G470" t="s">
        <v>7</v>
      </c>
      <c r="H470" t="s">
        <v>6</v>
      </c>
      <c r="I470">
        <v>2</v>
      </c>
      <c r="J470">
        <v>0</v>
      </c>
      <c r="K470" t="s">
        <v>240</v>
      </c>
      <c r="L470" t="str">
        <f>_xlfn.XLOOKUP(AllResponses[[#This Row],[QuestionID]], FinalQuestions!$A:$A, FinalQuestions!$D:$D,"")</f>
        <v>Effectiveness of Risk Communication &amp; Training</v>
      </c>
    </row>
    <row r="471" spans="1:12" x14ac:dyDescent="0.35">
      <c r="A471" t="s">
        <v>101</v>
      </c>
      <c r="B471" t="s">
        <v>53</v>
      </c>
      <c r="F471">
        <v>60</v>
      </c>
      <c r="G471" t="s">
        <v>8</v>
      </c>
      <c r="H471" t="s">
        <v>4</v>
      </c>
      <c r="I471">
        <v>3</v>
      </c>
      <c r="J471">
        <v>0</v>
      </c>
      <c r="K471" t="s">
        <v>249</v>
      </c>
      <c r="L471" t="str">
        <f>_xlfn.XLOOKUP(AllResponses[[#This Row],[QuestionID]], FinalQuestions!$A:$A, FinalQuestions!$D:$D,"")</f>
        <v>Compliance Confidence in team</v>
      </c>
    </row>
    <row r="472" spans="1:12" x14ac:dyDescent="0.35">
      <c r="A472" t="s">
        <v>101</v>
      </c>
      <c r="B472" t="s">
        <v>55</v>
      </c>
      <c r="F472">
        <v>100</v>
      </c>
      <c r="G472" t="s">
        <v>8</v>
      </c>
      <c r="H472" t="s">
        <v>85</v>
      </c>
      <c r="I472">
        <v>5</v>
      </c>
      <c r="J472">
        <v>1</v>
      </c>
      <c r="K472" t="s">
        <v>250</v>
      </c>
      <c r="L472" t="str">
        <f>_xlfn.XLOOKUP(AllResponses[[#This Row],[QuestionID]], FinalQuestions!$A:$A, FinalQuestions!$D:$D,"")</f>
        <v>Transparency in Decision‑Making</v>
      </c>
    </row>
    <row r="473" spans="1:12" x14ac:dyDescent="0.35">
      <c r="A473" t="s">
        <v>101</v>
      </c>
      <c r="B473" t="s">
        <v>57</v>
      </c>
      <c r="F473">
        <v>100</v>
      </c>
      <c r="G473" t="s">
        <v>8</v>
      </c>
      <c r="H473" t="s">
        <v>85</v>
      </c>
      <c r="I473">
        <v>5</v>
      </c>
      <c r="J473">
        <v>1</v>
      </c>
      <c r="K473" t="s">
        <v>251</v>
      </c>
      <c r="L473" t="str">
        <f>_xlfn.XLOOKUP(AllResponses[[#This Row],[QuestionID]], FinalQuestions!$A:$A, FinalQuestions!$D:$D,"")</f>
        <v>Fairness &amp; Equity of Expectations</v>
      </c>
    </row>
    <row r="474" spans="1:12" x14ac:dyDescent="0.35">
      <c r="A474" t="s">
        <v>101</v>
      </c>
      <c r="B474" t="s">
        <v>59</v>
      </c>
      <c r="F474">
        <v>80</v>
      </c>
      <c r="G474" t="s">
        <v>8</v>
      </c>
      <c r="H474" t="s">
        <v>2</v>
      </c>
      <c r="I474">
        <v>4</v>
      </c>
      <c r="J474">
        <v>1</v>
      </c>
      <c r="K474" t="s">
        <v>252</v>
      </c>
      <c r="L474" t="str">
        <f>_xlfn.XLOOKUP(AllResponses[[#This Row],[QuestionID]], FinalQuestions!$A:$A, FinalQuestions!$D:$D,"")</f>
        <v>Leadership Awareness in the team</v>
      </c>
    </row>
    <row r="475" spans="1:12" x14ac:dyDescent="0.35">
      <c r="A475" t="s">
        <v>101</v>
      </c>
      <c r="B475" t="s">
        <v>61</v>
      </c>
      <c r="F475">
        <v>40</v>
      </c>
      <c r="G475" t="s">
        <v>9</v>
      </c>
      <c r="H475" t="s">
        <v>6</v>
      </c>
      <c r="I475">
        <v>2</v>
      </c>
      <c r="J475">
        <v>0</v>
      </c>
      <c r="K475" t="s">
        <v>241</v>
      </c>
      <c r="L475" t="str">
        <f>_xlfn.XLOOKUP(AllResponses[[#This Row],[QuestionID]], FinalQuestions!$A:$A, FinalQuestions!$D:$D,"")</f>
        <v>Motivation for Risk Ownership</v>
      </c>
    </row>
    <row r="476" spans="1:12" x14ac:dyDescent="0.35">
      <c r="A476" t="s">
        <v>101</v>
      </c>
      <c r="B476" t="s">
        <v>63</v>
      </c>
      <c r="F476">
        <v>60</v>
      </c>
      <c r="G476" t="s">
        <v>9</v>
      </c>
      <c r="H476" t="s">
        <v>4</v>
      </c>
      <c r="I476">
        <v>3</v>
      </c>
      <c r="J476">
        <v>0</v>
      </c>
      <c r="K476" t="s">
        <v>242</v>
      </c>
      <c r="L476" t="str">
        <f>_xlfn.XLOOKUP(AllResponses[[#This Row],[QuestionID]], FinalQuestions!$A:$A, FinalQuestions!$D:$D,"")</f>
        <v>Sense of Belonging to the Organization</v>
      </c>
    </row>
    <row r="477" spans="1:12" x14ac:dyDescent="0.35">
      <c r="A477" t="s">
        <v>101</v>
      </c>
      <c r="B477" t="s">
        <v>65</v>
      </c>
      <c r="F477">
        <v>100</v>
      </c>
      <c r="G477" t="s">
        <v>9</v>
      </c>
      <c r="H477" t="s">
        <v>85</v>
      </c>
      <c r="I477">
        <v>5</v>
      </c>
      <c r="J477">
        <v>1</v>
      </c>
      <c r="K477" t="s">
        <v>243</v>
      </c>
      <c r="L477" t="str">
        <f>_xlfn.XLOOKUP(AllResponses[[#This Row],[QuestionID]], FinalQuestions!$A:$A, FinalQuestions!$D:$D,"")</f>
        <v>Consideration of Impact on Others</v>
      </c>
    </row>
    <row r="478" spans="1:12" x14ac:dyDescent="0.35">
      <c r="A478" t="s">
        <v>101</v>
      </c>
      <c r="B478" t="s">
        <v>67</v>
      </c>
      <c r="F478">
        <v>80</v>
      </c>
      <c r="G478" t="s">
        <v>9</v>
      </c>
      <c r="H478" t="s">
        <v>2</v>
      </c>
      <c r="I478">
        <v>4</v>
      </c>
      <c r="J478">
        <v>1</v>
      </c>
      <c r="K478" t="s">
        <v>244</v>
      </c>
      <c r="L478" t="str">
        <f>_xlfn.XLOOKUP(AllResponses[[#This Row],[QuestionID]], FinalQuestions!$A:$A, FinalQuestions!$D:$D,"")</f>
        <v>Accountability for Risk Actions</v>
      </c>
    </row>
    <row r="479" spans="1:12" x14ac:dyDescent="0.35">
      <c r="A479" t="s">
        <v>101</v>
      </c>
      <c r="B479" t="s">
        <v>69</v>
      </c>
      <c r="F479">
        <v>40</v>
      </c>
      <c r="G479" t="s">
        <v>10</v>
      </c>
      <c r="H479" t="s">
        <v>6</v>
      </c>
      <c r="I479">
        <v>2</v>
      </c>
      <c r="J479">
        <v>0</v>
      </c>
      <c r="K479" t="s">
        <v>245</v>
      </c>
      <c r="L479" t="str">
        <f>_xlfn.XLOOKUP(AllResponses[[#This Row],[QuestionID]], FinalQuestions!$A:$A, FinalQuestions!$D:$D,"")</f>
        <v xml:space="preserve">Peer to peer Accountability </v>
      </c>
    </row>
    <row r="480" spans="1:12" x14ac:dyDescent="0.35">
      <c r="A480" t="s">
        <v>101</v>
      </c>
      <c r="B480" t="s">
        <v>71</v>
      </c>
      <c r="F480">
        <v>40</v>
      </c>
      <c r="G480" t="s">
        <v>10</v>
      </c>
      <c r="H480" t="s">
        <v>6</v>
      </c>
      <c r="I480">
        <v>2</v>
      </c>
      <c r="J480">
        <v>0</v>
      </c>
      <c r="K480" t="s">
        <v>246</v>
      </c>
      <c r="L480" t="str">
        <f>_xlfn.XLOOKUP(AllResponses[[#This Row],[QuestionID]], FinalQuestions!$A:$A, FinalQuestions!$D:$D,"")</f>
        <v>Timely Resolution of Accountability Issues</v>
      </c>
    </row>
    <row r="481" spans="1:12" x14ac:dyDescent="0.35">
      <c r="A481" t="s">
        <v>101</v>
      </c>
      <c r="B481" t="s">
        <v>73</v>
      </c>
      <c r="F481">
        <v>80</v>
      </c>
      <c r="G481" t="s">
        <v>10</v>
      </c>
      <c r="H481" t="s">
        <v>2</v>
      </c>
      <c r="I481">
        <v>4</v>
      </c>
      <c r="J481">
        <v>1</v>
      </c>
      <c r="K481" t="s">
        <v>247</v>
      </c>
      <c r="L481" t="str">
        <f>_xlfn.XLOOKUP(AllResponses[[#This Row],[QuestionID]], FinalQuestions!$A:$A, FinalQuestions!$D:$D,"")</f>
        <v>Comfort for Reporting Non‑Compliance.</v>
      </c>
    </row>
    <row r="482" spans="1:12" x14ac:dyDescent="0.35">
      <c r="A482" t="s">
        <v>101</v>
      </c>
      <c r="B482" t="s">
        <v>75</v>
      </c>
      <c r="F482">
        <v>40</v>
      </c>
      <c r="G482" t="s">
        <v>10</v>
      </c>
      <c r="H482" t="s">
        <v>6</v>
      </c>
      <c r="I482">
        <v>2</v>
      </c>
      <c r="J482">
        <v>0</v>
      </c>
      <c r="K482" t="s">
        <v>248</v>
      </c>
      <c r="L482" t="str">
        <f>_xlfn.XLOOKUP(AllResponses[[#This Row],[QuestionID]], FinalQuestions!$A:$A, FinalQuestions!$D:$D,"")</f>
        <v>Consistency of Conduct Enforcement</v>
      </c>
    </row>
    <row r="483" spans="1:12" x14ac:dyDescent="0.35">
      <c r="A483" t="s">
        <v>102</v>
      </c>
      <c r="B483" t="s">
        <v>13</v>
      </c>
      <c r="F483">
        <v>60</v>
      </c>
      <c r="G483" t="s">
        <v>0</v>
      </c>
      <c r="H483" t="s">
        <v>4</v>
      </c>
      <c r="I483">
        <v>3</v>
      </c>
      <c r="J483">
        <v>0</v>
      </c>
      <c r="K483" t="s">
        <v>253</v>
      </c>
      <c r="L483" t="str">
        <f>_xlfn.XLOOKUP(AllResponses[[#This Row],[QuestionID]], FinalQuestions!$A:$A, FinalQuestions!$D:$D,"")</f>
        <v xml:space="preserve">Leadership Example‑Setting in Risk Management </v>
      </c>
    </row>
    <row r="484" spans="1:12" x14ac:dyDescent="0.35">
      <c r="A484" t="s">
        <v>102</v>
      </c>
      <c r="B484" t="s">
        <v>15</v>
      </c>
      <c r="F484">
        <v>100</v>
      </c>
      <c r="G484" t="s">
        <v>0</v>
      </c>
      <c r="H484" t="s">
        <v>85</v>
      </c>
      <c r="I484">
        <v>5</v>
      </c>
      <c r="J484">
        <v>1</v>
      </c>
      <c r="K484" t="s">
        <v>222</v>
      </c>
      <c r="L484" t="str">
        <f>_xlfn.XLOOKUP(AllResponses[[#This Row],[QuestionID]], FinalQuestions!$A:$A, FinalQuestions!$D:$D,"")</f>
        <v>Executive Commitment to Risk Culture</v>
      </c>
    </row>
    <row r="485" spans="1:12" x14ac:dyDescent="0.35">
      <c r="A485" t="s">
        <v>102</v>
      </c>
      <c r="B485" t="s">
        <v>17</v>
      </c>
      <c r="F485">
        <v>100</v>
      </c>
      <c r="G485" t="s">
        <v>0</v>
      </c>
      <c r="H485" t="s">
        <v>85</v>
      </c>
      <c r="I485">
        <v>5</v>
      </c>
      <c r="J485">
        <v>1</v>
      </c>
      <c r="K485" t="s">
        <v>223</v>
      </c>
      <c r="L485" t="str">
        <f>_xlfn.XLOOKUP(AllResponses[[#This Row],[QuestionID]], FinalQuestions!$A:$A, FinalQuestions!$D:$D,"")</f>
        <v>Leadership Encouragement to Escalate Risks</v>
      </c>
    </row>
    <row r="486" spans="1:12" x14ac:dyDescent="0.35">
      <c r="A486" t="s">
        <v>102</v>
      </c>
      <c r="B486" t="s">
        <v>19</v>
      </c>
      <c r="F486">
        <v>80</v>
      </c>
      <c r="G486" t="s">
        <v>0</v>
      </c>
      <c r="H486" t="s">
        <v>2</v>
      </c>
      <c r="I486">
        <v>4</v>
      </c>
      <c r="J486">
        <v>1</v>
      </c>
      <c r="K486" t="s">
        <v>224</v>
      </c>
      <c r="L486" t="str">
        <f>_xlfn.XLOOKUP(AllResponses[[#This Row],[QuestionID]], FinalQuestions!$A:$A, FinalQuestions!$D:$D,"")</f>
        <v>Long-Term Decision Awareness</v>
      </c>
    </row>
    <row r="487" spans="1:12" x14ac:dyDescent="0.35">
      <c r="A487" t="s">
        <v>102</v>
      </c>
      <c r="B487" t="s">
        <v>21</v>
      </c>
      <c r="F487">
        <v>40</v>
      </c>
      <c r="G487" t="s">
        <v>117</v>
      </c>
      <c r="H487" t="s">
        <v>6</v>
      </c>
      <c r="I487">
        <v>2</v>
      </c>
      <c r="J487">
        <v>0</v>
      </c>
      <c r="K487" t="s">
        <v>225</v>
      </c>
      <c r="L487" t="str">
        <f>_xlfn.XLOOKUP(AllResponses[[#This Row],[QuestionID]], FinalQuestions!$A:$A, FinalQuestions!$D:$D,"")</f>
        <v>Openness to Discussions</v>
      </c>
    </row>
    <row r="488" spans="1:12" x14ac:dyDescent="0.35">
      <c r="A488" t="s">
        <v>102</v>
      </c>
      <c r="B488" t="s">
        <v>23</v>
      </c>
      <c r="F488">
        <v>60</v>
      </c>
      <c r="G488" t="s">
        <v>117</v>
      </c>
      <c r="H488" t="s">
        <v>4</v>
      </c>
      <c r="I488">
        <v>3</v>
      </c>
      <c r="J488">
        <v>0</v>
      </c>
      <c r="K488" t="s">
        <v>226</v>
      </c>
      <c r="L488" t="str">
        <f>_xlfn.XLOOKUP(AllResponses[[#This Row],[QuestionID]], FinalQuestions!$A:$A, FinalQuestions!$D:$D,"")</f>
        <v>Access to Guidance</v>
      </c>
    </row>
    <row r="489" spans="1:12" x14ac:dyDescent="0.35">
      <c r="A489" t="s">
        <v>102</v>
      </c>
      <c r="B489" t="s">
        <v>25</v>
      </c>
      <c r="F489">
        <v>100</v>
      </c>
      <c r="G489" t="s">
        <v>117</v>
      </c>
      <c r="H489" t="s">
        <v>85</v>
      </c>
      <c r="I489">
        <v>5</v>
      </c>
      <c r="J489">
        <v>1</v>
      </c>
      <c r="K489" t="s">
        <v>227</v>
      </c>
      <c r="L489" t="str">
        <f>_xlfn.XLOOKUP(AllResponses[[#This Row],[QuestionID]], FinalQuestions!$A:$A, FinalQuestions!$D:$D,"")</f>
        <v>Openness to Sharing Opinions</v>
      </c>
    </row>
    <row r="490" spans="1:12" x14ac:dyDescent="0.35">
      <c r="A490" t="s">
        <v>102</v>
      </c>
      <c r="B490" t="s">
        <v>27</v>
      </c>
      <c r="F490">
        <v>80</v>
      </c>
      <c r="G490" t="s">
        <v>117</v>
      </c>
      <c r="H490" t="s">
        <v>2</v>
      </c>
      <c r="I490">
        <v>4</v>
      </c>
      <c r="J490">
        <v>1</v>
      </c>
      <c r="K490" t="s">
        <v>228</v>
      </c>
      <c r="L490" t="str">
        <f>_xlfn.XLOOKUP(AllResponses[[#This Row],[QuestionID]], FinalQuestions!$A:$A, FinalQuestions!$D:$D,"")</f>
        <v>Comfort in Reporting Risk Dilemmas</v>
      </c>
    </row>
    <row r="491" spans="1:12" x14ac:dyDescent="0.35">
      <c r="A491" t="s">
        <v>102</v>
      </c>
      <c r="B491" t="s">
        <v>29</v>
      </c>
      <c r="F491">
        <v>40</v>
      </c>
      <c r="G491" t="s">
        <v>3</v>
      </c>
      <c r="H491" t="s">
        <v>6</v>
      </c>
      <c r="I491">
        <v>2</v>
      </c>
      <c r="J491">
        <v>0</v>
      </c>
      <c r="K491" t="s">
        <v>229</v>
      </c>
      <c r="L491" t="str">
        <f>_xlfn.XLOOKUP(AllResponses[[#This Row],[QuestionID]], FinalQuestions!$A:$A, FinalQuestions!$D:$D,"")</f>
        <v>Adequacy of Risk Management Training</v>
      </c>
    </row>
    <row r="492" spans="1:12" x14ac:dyDescent="0.35">
      <c r="A492" t="s">
        <v>102</v>
      </c>
      <c r="B492" t="s">
        <v>31</v>
      </c>
      <c r="F492">
        <v>40</v>
      </c>
      <c r="G492" t="s">
        <v>3</v>
      </c>
      <c r="H492" t="s">
        <v>6</v>
      </c>
      <c r="I492">
        <v>2</v>
      </c>
      <c r="J492">
        <v>0</v>
      </c>
      <c r="K492" t="s">
        <v>230</v>
      </c>
      <c r="L492" t="str">
        <f>_xlfn.XLOOKUP(AllResponses[[#This Row],[QuestionID]], FinalQuestions!$A:$A, FinalQuestions!$D:$D,"")</f>
        <v>Workload Balance &amp; Resource Sufficiency</v>
      </c>
    </row>
    <row r="493" spans="1:12" x14ac:dyDescent="0.35">
      <c r="A493" t="s">
        <v>102</v>
      </c>
      <c r="B493" t="s">
        <v>33</v>
      </c>
      <c r="F493">
        <v>80</v>
      </c>
      <c r="G493" t="s">
        <v>3</v>
      </c>
      <c r="H493" t="s">
        <v>2</v>
      </c>
      <c r="I493">
        <v>4</v>
      </c>
      <c r="J493">
        <v>1</v>
      </c>
      <c r="K493" t="s">
        <v>231</v>
      </c>
      <c r="L493" t="str">
        <f>_xlfn.XLOOKUP(AllResponses[[#This Row],[QuestionID]], FinalQuestions!$A:$A, FinalQuestions!$D:$D,"")</f>
        <v>Realistic Target Setting</v>
      </c>
    </row>
    <row r="494" spans="1:12" x14ac:dyDescent="0.35">
      <c r="A494" t="s">
        <v>102</v>
      </c>
      <c r="B494" t="s">
        <v>35</v>
      </c>
      <c r="F494">
        <v>40</v>
      </c>
      <c r="G494" t="s">
        <v>3</v>
      </c>
      <c r="H494" t="s">
        <v>6</v>
      </c>
      <c r="I494">
        <v>2</v>
      </c>
      <c r="J494">
        <v>0</v>
      </c>
      <c r="K494" t="s">
        <v>232</v>
      </c>
      <c r="L494" t="str">
        <f>_xlfn.XLOOKUP(AllResponses[[#This Row],[QuestionID]], FinalQuestions!$A:$A, FinalQuestions!$D:$D,"")</f>
        <v>Risk Insight in Decision Making</v>
      </c>
    </row>
    <row r="495" spans="1:12" x14ac:dyDescent="0.35">
      <c r="A495" t="s">
        <v>102</v>
      </c>
      <c r="B495" t="s">
        <v>37</v>
      </c>
      <c r="F495">
        <v>60</v>
      </c>
      <c r="G495" t="s">
        <v>5</v>
      </c>
      <c r="H495" t="s">
        <v>4</v>
      </c>
      <c r="I495">
        <v>3</v>
      </c>
      <c r="J495">
        <v>0</v>
      </c>
      <c r="K495" t="s">
        <v>233</v>
      </c>
      <c r="L495" t="str">
        <f>_xlfn.XLOOKUP(AllResponses[[#This Row],[QuestionID]], FinalQuestions!$A:$A, FinalQuestions!$D:$D,"")</f>
        <v>Learning Culture from Non‑Compliance Cases</v>
      </c>
    </row>
    <row r="496" spans="1:12" x14ac:dyDescent="0.35">
      <c r="A496" t="s">
        <v>102</v>
      </c>
      <c r="B496" t="s">
        <v>39</v>
      </c>
      <c r="F496">
        <v>100</v>
      </c>
      <c r="G496" t="s">
        <v>5</v>
      </c>
      <c r="H496" t="s">
        <v>85</v>
      </c>
      <c r="I496">
        <v>5</v>
      </c>
      <c r="J496">
        <v>1</v>
      </c>
      <c r="K496" t="s">
        <v>234</v>
      </c>
      <c r="L496" t="str">
        <f>_xlfn.XLOOKUP(AllResponses[[#This Row],[QuestionID]], FinalQuestions!$A:$A, FinalQuestions!$D:$D,"")</f>
        <v>Organizational View on Risk Culture</v>
      </c>
    </row>
    <row r="497" spans="1:12" x14ac:dyDescent="0.35">
      <c r="A497" t="s">
        <v>102</v>
      </c>
      <c r="B497" t="s">
        <v>41</v>
      </c>
      <c r="F497">
        <v>100</v>
      </c>
      <c r="G497" t="s">
        <v>5</v>
      </c>
      <c r="H497" t="s">
        <v>85</v>
      </c>
      <c r="I497">
        <v>5</v>
      </c>
      <c r="J497">
        <v>1</v>
      </c>
      <c r="K497" t="s">
        <v>235</v>
      </c>
      <c r="L497" t="str">
        <f>_xlfn.XLOOKUP(AllResponses[[#This Row],[QuestionID]], FinalQuestions!$A:$A, FinalQuestions!$D:$D,"")</f>
        <v>Compliance Recognition &amp; enforcement</v>
      </c>
    </row>
    <row r="498" spans="1:12" x14ac:dyDescent="0.35">
      <c r="A498" t="s">
        <v>102</v>
      </c>
      <c r="B498" t="s">
        <v>43</v>
      </c>
      <c r="F498">
        <v>80</v>
      </c>
      <c r="G498" t="s">
        <v>5</v>
      </c>
      <c r="H498" t="s">
        <v>2</v>
      </c>
      <c r="I498">
        <v>4</v>
      </c>
      <c r="J498">
        <v>1</v>
      </c>
      <c r="K498" t="s">
        <v>236</v>
      </c>
      <c r="L498" t="str">
        <f>_xlfn.XLOOKUP(AllResponses[[#This Row],[QuestionID]], FinalQuestions!$A:$A, FinalQuestions!$D:$D,"")</f>
        <v>Sense of Ownership</v>
      </c>
    </row>
    <row r="499" spans="1:12" x14ac:dyDescent="0.35">
      <c r="A499" t="s">
        <v>102</v>
      </c>
      <c r="B499" t="s">
        <v>45</v>
      </c>
      <c r="F499">
        <v>40</v>
      </c>
      <c r="G499" t="s">
        <v>7</v>
      </c>
      <c r="H499" t="s">
        <v>6</v>
      </c>
      <c r="I499">
        <v>2</v>
      </c>
      <c r="J499">
        <v>0</v>
      </c>
      <c r="K499" t="s">
        <v>237</v>
      </c>
      <c r="L499" t="str">
        <f>_xlfn.XLOOKUP(AllResponses[[#This Row],[QuestionID]], FinalQuestions!$A:$A, FinalQuestions!$D:$D,"")</f>
        <v>Clarity of Role and Responsibilities</v>
      </c>
    </row>
    <row r="500" spans="1:12" x14ac:dyDescent="0.35">
      <c r="A500" t="s">
        <v>102</v>
      </c>
      <c r="B500" t="s">
        <v>47</v>
      </c>
      <c r="F500">
        <v>60</v>
      </c>
      <c r="G500" t="s">
        <v>7</v>
      </c>
      <c r="H500" t="s">
        <v>4</v>
      </c>
      <c r="I500">
        <v>3</v>
      </c>
      <c r="J500">
        <v>0</v>
      </c>
      <c r="K500" t="s">
        <v>238</v>
      </c>
      <c r="L500" t="str">
        <f>_xlfn.XLOOKUP(AllResponses[[#This Row],[QuestionID]], FinalQuestions!$A:$A, FinalQuestions!$D:$D,"")</f>
        <v>Understanding of Risk Policies &amp; Procedures</v>
      </c>
    </row>
    <row r="501" spans="1:12" x14ac:dyDescent="0.35">
      <c r="A501" t="s">
        <v>102</v>
      </c>
      <c r="B501" t="s">
        <v>49</v>
      </c>
      <c r="F501">
        <v>100</v>
      </c>
      <c r="G501" t="s">
        <v>7</v>
      </c>
      <c r="H501" t="s">
        <v>85</v>
      </c>
      <c r="I501">
        <v>5</v>
      </c>
      <c r="J501">
        <v>1</v>
      </c>
      <c r="K501" t="s">
        <v>239</v>
      </c>
      <c r="L501" t="str">
        <f>_xlfn.XLOOKUP(AllResponses[[#This Row],[QuestionID]], FinalQuestions!$A:$A, FinalQuestions!$D:$D,"")</f>
        <v>Clarity of Personal Risk Boundaries</v>
      </c>
    </row>
    <row r="502" spans="1:12" x14ac:dyDescent="0.35">
      <c r="A502" t="s">
        <v>102</v>
      </c>
      <c r="B502" t="s">
        <v>51</v>
      </c>
      <c r="F502">
        <v>80</v>
      </c>
      <c r="G502" t="s">
        <v>7</v>
      </c>
      <c r="H502" t="s">
        <v>2</v>
      </c>
      <c r="I502">
        <v>4</v>
      </c>
      <c r="J502">
        <v>1</v>
      </c>
      <c r="K502" t="s">
        <v>240</v>
      </c>
      <c r="L502" t="str">
        <f>_xlfn.XLOOKUP(AllResponses[[#This Row],[QuestionID]], FinalQuestions!$A:$A, FinalQuestions!$D:$D,"")</f>
        <v>Effectiveness of Risk Communication &amp; Training</v>
      </c>
    </row>
    <row r="503" spans="1:12" x14ac:dyDescent="0.35">
      <c r="A503" t="s">
        <v>102</v>
      </c>
      <c r="B503" t="s">
        <v>53</v>
      </c>
      <c r="F503">
        <v>40</v>
      </c>
      <c r="G503" t="s">
        <v>8</v>
      </c>
      <c r="H503" t="s">
        <v>6</v>
      </c>
      <c r="I503">
        <v>2</v>
      </c>
      <c r="J503">
        <v>0</v>
      </c>
      <c r="K503" t="s">
        <v>249</v>
      </c>
      <c r="L503" t="str">
        <f>_xlfn.XLOOKUP(AllResponses[[#This Row],[QuestionID]], FinalQuestions!$A:$A, FinalQuestions!$D:$D,"")</f>
        <v>Compliance Confidence in team</v>
      </c>
    </row>
    <row r="504" spans="1:12" x14ac:dyDescent="0.35">
      <c r="A504" t="s">
        <v>102</v>
      </c>
      <c r="B504" t="s">
        <v>55</v>
      </c>
      <c r="F504">
        <v>60</v>
      </c>
      <c r="G504" t="s">
        <v>8</v>
      </c>
      <c r="H504" t="s">
        <v>4</v>
      </c>
      <c r="I504">
        <v>3</v>
      </c>
      <c r="J504">
        <v>0</v>
      </c>
      <c r="K504" t="s">
        <v>250</v>
      </c>
      <c r="L504" t="str">
        <f>_xlfn.XLOOKUP(AllResponses[[#This Row],[QuestionID]], FinalQuestions!$A:$A, FinalQuestions!$D:$D,"")</f>
        <v>Transparency in Decision‑Making</v>
      </c>
    </row>
    <row r="505" spans="1:12" x14ac:dyDescent="0.35">
      <c r="A505" t="s">
        <v>102</v>
      </c>
      <c r="B505" t="s">
        <v>57</v>
      </c>
      <c r="F505">
        <v>100</v>
      </c>
      <c r="G505" t="s">
        <v>8</v>
      </c>
      <c r="H505" t="s">
        <v>85</v>
      </c>
      <c r="I505">
        <v>5</v>
      </c>
      <c r="J505">
        <v>1</v>
      </c>
      <c r="K505" t="s">
        <v>251</v>
      </c>
      <c r="L505" t="str">
        <f>_xlfn.XLOOKUP(AllResponses[[#This Row],[QuestionID]], FinalQuestions!$A:$A, FinalQuestions!$D:$D,"")</f>
        <v>Fairness &amp; Equity of Expectations</v>
      </c>
    </row>
    <row r="506" spans="1:12" x14ac:dyDescent="0.35">
      <c r="A506" t="s">
        <v>102</v>
      </c>
      <c r="B506" t="s">
        <v>59</v>
      </c>
      <c r="F506">
        <v>100</v>
      </c>
      <c r="G506" t="s">
        <v>8</v>
      </c>
      <c r="H506" t="s">
        <v>85</v>
      </c>
      <c r="I506">
        <v>5</v>
      </c>
      <c r="J506">
        <v>1</v>
      </c>
      <c r="K506" t="s">
        <v>252</v>
      </c>
      <c r="L506" t="str">
        <f>_xlfn.XLOOKUP(AllResponses[[#This Row],[QuestionID]], FinalQuestions!$A:$A, FinalQuestions!$D:$D,"")</f>
        <v>Leadership Awareness in the team</v>
      </c>
    </row>
    <row r="507" spans="1:12" x14ac:dyDescent="0.35">
      <c r="A507" t="s">
        <v>102</v>
      </c>
      <c r="B507" t="s">
        <v>61</v>
      </c>
      <c r="F507">
        <v>80</v>
      </c>
      <c r="G507" t="s">
        <v>9</v>
      </c>
      <c r="H507" t="s">
        <v>2</v>
      </c>
      <c r="I507">
        <v>4</v>
      </c>
      <c r="J507">
        <v>1</v>
      </c>
      <c r="K507" t="s">
        <v>241</v>
      </c>
      <c r="L507" t="str">
        <f>_xlfn.XLOOKUP(AllResponses[[#This Row],[QuestionID]], FinalQuestions!$A:$A, FinalQuestions!$D:$D,"")</f>
        <v>Motivation for Risk Ownership</v>
      </c>
    </row>
    <row r="508" spans="1:12" x14ac:dyDescent="0.35">
      <c r="A508" t="s">
        <v>102</v>
      </c>
      <c r="B508" t="s">
        <v>63</v>
      </c>
      <c r="F508">
        <v>80</v>
      </c>
      <c r="G508" t="s">
        <v>9</v>
      </c>
      <c r="H508" t="s">
        <v>2</v>
      </c>
      <c r="I508">
        <v>4</v>
      </c>
      <c r="J508">
        <v>1</v>
      </c>
      <c r="K508" t="s">
        <v>242</v>
      </c>
      <c r="L508" t="str">
        <f>_xlfn.XLOOKUP(AllResponses[[#This Row],[QuestionID]], FinalQuestions!$A:$A, FinalQuestions!$D:$D,"")</f>
        <v>Sense of Belonging to the Organization</v>
      </c>
    </row>
    <row r="509" spans="1:12" x14ac:dyDescent="0.35">
      <c r="A509" t="s">
        <v>102</v>
      </c>
      <c r="B509" t="s">
        <v>65</v>
      </c>
      <c r="F509">
        <v>40</v>
      </c>
      <c r="G509" t="s">
        <v>9</v>
      </c>
      <c r="H509" t="s">
        <v>6</v>
      </c>
      <c r="I509">
        <v>2</v>
      </c>
      <c r="J509">
        <v>0</v>
      </c>
      <c r="K509" t="s">
        <v>243</v>
      </c>
      <c r="L509" t="str">
        <f>_xlfn.XLOOKUP(AllResponses[[#This Row],[QuestionID]], FinalQuestions!$A:$A, FinalQuestions!$D:$D,"")</f>
        <v>Consideration of Impact on Others</v>
      </c>
    </row>
    <row r="510" spans="1:12" x14ac:dyDescent="0.35">
      <c r="A510" t="s">
        <v>102</v>
      </c>
      <c r="B510" t="s">
        <v>67</v>
      </c>
      <c r="F510">
        <v>60</v>
      </c>
      <c r="G510" t="s">
        <v>9</v>
      </c>
      <c r="H510" t="s">
        <v>4</v>
      </c>
      <c r="I510">
        <v>3</v>
      </c>
      <c r="J510">
        <v>0</v>
      </c>
      <c r="K510" t="s">
        <v>244</v>
      </c>
      <c r="L510" t="str">
        <f>_xlfn.XLOOKUP(AllResponses[[#This Row],[QuestionID]], FinalQuestions!$A:$A, FinalQuestions!$D:$D,"")</f>
        <v>Accountability for Risk Actions</v>
      </c>
    </row>
    <row r="511" spans="1:12" x14ac:dyDescent="0.35">
      <c r="A511" t="s">
        <v>102</v>
      </c>
      <c r="B511" t="s">
        <v>69</v>
      </c>
      <c r="F511">
        <v>100</v>
      </c>
      <c r="G511" t="s">
        <v>10</v>
      </c>
      <c r="H511" t="s">
        <v>85</v>
      </c>
      <c r="I511">
        <v>5</v>
      </c>
      <c r="J511">
        <v>1</v>
      </c>
      <c r="K511" t="s">
        <v>245</v>
      </c>
      <c r="L511" t="str">
        <f>_xlfn.XLOOKUP(AllResponses[[#This Row],[QuestionID]], FinalQuestions!$A:$A, FinalQuestions!$D:$D,"")</f>
        <v xml:space="preserve">Peer to peer Accountability </v>
      </c>
    </row>
    <row r="512" spans="1:12" x14ac:dyDescent="0.35">
      <c r="A512" t="s">
        <v>102</v>
      </c>
      <c r="B512" t="s">
        <v>71</v>
      </c>
      <c r="F512">
        <v>60</v>
      </c>
      <c r="G512" t="s">
        <v>10</v>
      </c>
      <c r="H512" t="s">
        <v>4</v>
      </c>
      <c r="I512">
        <v>3</v>
      </c>
      <c r="J512">
        <v>0</v>
      </c>
      <c r="K512" t="s">
        <v>246</v>
      </c>
      <c r="L512" t="str">
        <f>_xlfn.XLOOKUP(AllResponses[[#This Row],[QuestionID]], FinalQuestions!$A:$A, FinalQuestions!$D:$D,"")</f>
        <v>Timely Resolution of Accountability Issues</v>
      </c>
    </row>
    <row r="513" spans="1:12" x14ac:dyDescent="0.35">
      <c r="A513" t="s">
        <v>102</v>
      </c>
      <c r="B513" t="s">
        <v>73</v>
      </c>
      <c r="F513">
        <v>100</v>
      </c>
      <c r="G513" t="s">
        <v>10</v>
      </c>
      <c r="H513" t="s">
        <v>85</v>
      </c>
      <c r="I513">
        <v>5</v>
      </c>
      <c r="J513">
        <v>1</v>
      </c>
      <c r="K513" t="s">
        <v>247</v>
      </c>
      <c r="L513" t="str">
        <f>_xlfn.XLOOKUP(AllResponses[[#This Row],[QuestionID]], FinalQuestions!$A:$A, FinalQuestions!$D:$D,"")</f>
        <v>Comfort for Reporting Non‑Compliance.</v>
      </c>
    </row>
    <row r="514" spans="1:12" x14ac:dyDescent="0.35">
      <c r="A514" t="s">
        <v>102</v>
      </c>
      <c r="B514" t="s">
        <v>75</v>
      </c>
      <c r="F514">
        <v>80</v>
      </c>
      <c r="G514" t="s">
        <v>10</v>
      </c>
      <c r="H514" t="s">
        <v>2</v>
      </c>
      <c r="I514">
        <v>4</v>
      </c>
      <c r="J514">
        <v>1</v>
      </c>
      <c r="K514" t="s">
        <v>248</v>
      </c>
      <c r="L514" t="str">
        <f>_xlfn.XLOOKUP(AllResponses[[#This Row],[QuestionID]], FinalQuestions!$A:$A, FinalQuestions!$D:$D,"")</f>
        <v>Consistency of Conduct Enforcement</v>
      </c>
    </row>
    <row r="515" spans="1:12" x14ac:dyDescent="0.35">
      <c r="A515" t="s">
        <v>103</v>
      </c>
      <c r="B515" t="s">
        <v>13</v>
      </c>
      <c r="F515">
        <v>40</v>
      </c>
      <c r="G515" t="s">
        <v>0</v>
      </c>
      <c r="H515" t="s">
        <v>6</v>
      </c>
      <c r="I515">
        <v>2</v>
      </c>
      <c r="J515">
        <v>0</v>
      </c>
      <c r="K515" t="s">
        <v>253</v>
      </c>
      <c r="L515" t="str">
        <f>_xlfn.XLOOKUP(AllResponses[[#This Row],[QuestionID]], FinalQuestions!$A:$A, FinalQuestions!$D:$D,"")</f>
        <v xml:space="preserve">Leadership Example‑Setting in Risk Management </v>
      </c>
    </row>
    <row r="516" spans="1:12" x14ac:dyDescent="0.35">
      <c r="A516" t="s">
        <v>103</v>
      </c>
      <c r="B516" t="s">
        <v>15</v>
      </c>
      <c r="F516">
        <v>40</v>
      </c>
      <c r="G516" t="s">
        <v>0</v>
      </c>
      <c r="H516" t="s">
        <v>6</v>
      </c>
      <c r="I516">
        <v>2</v>
      </c>
      <c r="J516">
        <v>0</v>
      </c>
      <c r="K516" t="s">
        <v>222</v>
      </c>
      <c r="L516" t="str">
        <f>_xlfn.XLOOKUP(AllResponses[[#This Row],[QuestionID]], FinalQuestions!$A:$A, FinalQuestions!$D:$D,"")</f>
        <v>Executive Commitment to Risk Culture</v>
      </c>
    </row>
    <row r="517" spans="1:12" x14ac:dyDescent="0.35">
      <c r="A517" t="s">
        <v>103</v>
      </c>
      <c r="B517" t="s">
        <v>17</v>
      </c>
      <c r="F517">
        <v>80</v>
      </c>
      <c r="G517" t="s">
        <v>0</v>
      </c>
      <c r="H517" t="s">
        <v>2</v>
      </c>
      <c r="I517">
        <v>4</v>
      </c>
      <c r="J517">
        <v>1</v>
      </c>
      <c r="K517" t="s">
        <v>223</v>
      </c>
      <c r="L517" t="str">
        <f>_xlfn.XLOOKUP(AllResponses[[#This Row],[QuestionID]], FinalQuestions!$A:$A, FinalQuestions!$D:$D,"")</f>
        <v>Leadership Encouragement to Escalate Risks</v>
      </c>
    </row>
    <row r="518" spans="1:12" x14ac:dyDescent="0.35">
      <c r="A518" t="s">
        <v>103</v>
      </c>
      <c r="B518" t="s">
        <v>19</v>
      </c>
      <c r="F518">
        <v>40</v>
      </c>
      <c r="G518" t="s">
        <v>0</v>
      </c>
      <c r="H518" t="s">
        <v>6</v>
      </c>
      <c r="I518">
        <v>2</v>
      </c>
      <c r="J518">
        <v>0</v>
      </c>
      <c r="K518" t="s">
        <v>224</v>
      </c>
      <c r="L518" t="str">
        <f>_xlfn.XLOOKUP(AllResponses[[#This Row],[QuestionID]], FinalQuestions!$A:$A, FinalQuestions!$D:$D,"")</f>
        <v>Long-Term Decision Awareness</v>
      </c>
    </row>
    <row r="519" spans="1:12" x14ac:dyDescent="0.35">
      <c r="A519" t="s">
        <v>103</v>
      </c>
      <c r="B519" t="s">
        <v>21</v>
      </c>
      <c r="F519">
        <v>60</v>
      </c>
      <c r="G519" t="s">
        <v>117</v>
      </c>
      <c r="H519" t="s">
        <v>4</v>
      </c>
      <c r="I519">
        <v>3</v>
      </c>
      <c r="J519">
        <v>0</v>
      </c>
      <c r="K519" t="s">
        <v>225</v>
      </c>
      <c r="L519" t="str">
        <f>_xlfn.XLOOKUP(AllResponses[[#This Row],[QuestionID]], FinalQuestions!$A:$A, FinalQuestions!$D:$D,"")</f>
        <v>Openness to Discussions</v>
      </c>
    </row>
    <row r="520" spans="1:12" x14ac:dyDescent="0.35">
      <c r="A520" t="s">
        <v>103</v>
      </c>
      <c r="B520" t="s">
        <v>23</v>
      </c>
      <c r="F520">
        <v>100</v>
      </c>
      <c r="G520" t="s">
        <v>117</v>
      </c>
      <c r="H520" t="s">
        <v>85</v>
      </c>
      <c r="I520">
        <v>5</v>
      </c>
      <c r="J520">
        <v>1</v>
      </c>
      <c r="K520" t="s">
        <v>226</v>
      </c>
      <c r="L520" t="str">
        <f>_xlfn.XLOOKUP(AllResponses[[#This Row],[QuestionID]], FinalQuestions!$A:$A, FinalQuestions!$D:$D,"")</f>
        <v>Access to Guidance</v>
      </c>
    </row>
    <row r="521" spans="1:12" x14ac:dyDescent="0.35">
      <c r="A521" t="s">
        <v>103</v>
      </c>
      <c r="B521" t="s">
        <v>25</v>
      </c>
      <c r="F521">
        <v>100</v>
      </c>
      <c r="G521" t="s">
        <v>117</v>
      </c>
      <c r="H521" t="s">
        <v>85</v>
      </c>
      <c r="I521">
        <v>5</v>
      </c>
      <c r="J521">
        <v>1</v>
      </c>
      <c r="K521" t="s">
        <v>227</v>
      </c>
      <c r="L521" t="str">
        <f>_xlfn.XLOOKUP(AllResponses[[#This Row],[QuestionID]], FinalQuestions!$A:$A, FinalQuestions!$D:$D,"")</f>
        <v>Openness to Sharing Opinions</v>
      </c>
    </row>
    <row r="522" spans="1:12" x14ac:dyDescent="0.35">
      <c r="A522" t="s">
        <v>103</v>
      </c>
      <c r="B522" t="s">
        <v>27</v>
      </c>
      <c r="F522">
        <v>80</v>
      </c>
      <c r="G522" t="s">
        <v>117</v>
      </c>
      <c r="H522" t="s">
        <v>2</v>
      </c>
      <c r="I522">
        <v>4</v>
      </c>
      <c r="J522">
        <v>1</v>
      </c>
      <c r="K522" t="s">
        <v>228</v>
      </c>
      <c r="L522" t="str">
        <f>_xlfn.XLOOKUP(AllResponses[[#This Row],[QuestionID]], FinalQuestions!$A:$A, FinalQuestions!$D:$D,"")</f>
        <v>Comfort in Reporting Risk Dilemmas</v>
      </c>
    </row>
    <row r="523" spans="1:12" x14ac:dyDescent="0.35">
      <c r="A523" t="s">
        <v>103</v>
      </c>
      <c r="B523" t="s">
        <v>29</v>
      </c>
      <c r="F523">
        <v>40</v>
      </c>
      <c r="G523" t="s">
        <v>3</v>
      </c>
      <c r="H523" t="s">
        <v>6</v>
      </c>
      <c r="I523">
        <v>2</v>
      </c>
      <c r="J523">
        <v>0</v>
      </c>
      <c r="K523" t="s">
        <v>229</v>
      </c>
      <c r="L523" t="str">
        <f>_xlfn.XLOOKUP(AllResponses[[#This Row],[QuestionID]], FinalQuestions!$A:$A, FinalQuestions!$D:$D,"")</f>
        <v>Adequacy of Risk Management Training</v>
      </c>
    </row>
    <row r="524" spans="1:12" x14ac:dyDescent="0.35">
      <c r="A524" t="s">
        <v>103</v>
      </c>
      <c r="B524" t="s">
        <v>31</v>
      </c>
      <c r="F524">
        <v>60</v>
      </c>
      <c r="G524" t="s">
        <v>3</v>
      </c>
      <c r="H524" t="s">
        <v>4</v>
      </c>
      <c r="I524">
        <v>3</v>
      </c>
      <c r="J524">
        <v>0</v>
      </c>
      <c r="K524" t="s">
        <v>230</v>
      </c>
      <c r="L524" t="str">
        <f>_xlfn.XLOOKUP(AllResponses[[#This Row],[QuestionID]], FinalQuestions!$A:$A, FinalQuestions!$D:$D,"")</f>
        <v>Workload Balance &amp; Resource Sufficiency</v>
      </c>
    </row>
    <row r="525" spans="1:12" x14ac:dyDescent="0.35">
      <c r="A525" t="s">
        <v>103</v>
      </c>
      <c r="B525" t="s">
        <v>33</v>
      </c>
      <c r="F525">
        <v>100</v>
      </c>
      <c r="G525" t="s">
        <v>3</v>
      </c>
      <c r="H525" t="s">
        <v>85</v>
      </c>
      <c r="I525">
        <v>5</v>
      </c>
      <c r="J525">
        <v>1</v>
      </c>
      <c r="K525" t="s">
        <v>231</v>
      </c>
      <c r="L525" t="str">
        <f>_xlfn.XLOOKUP(AllResponses[[#This Row],[QuestionID]], FinalQuestions!$A:$A, FinalQuestions!$D:$D,"")</f>
        <v>Realistic Target Setting</v>
      </c>
    </row>
    <row r="526" spans="1:12" x14ac:dyDescent="0.35">
      <c r="A526" t="s">
        <v>103</v>
      </c>
      <c r="B526" t="s">
        <v>35</v>
      </c>
      <c r="F526">
        <v>80</v>
      </c>
      <c r="G526" t="s">
        <v>3</v>
      </c>
      <c r="H526" t="s">
        <v>2</v>
      </c>
      <c r="I526">
        <v>4</v>
      </c>
      <c r="J526">
        <v>1</v>
      </c>
      <c r="K526" t="s">
        <v>232</v>
      </c>
      <c r="L526" t="str">
        <f>_xlfn.XLOOKUP(AllResponses[[#This Row],[QuestionID]], FinalQuestions!$A:$A, FinalQuestions!$D:$D,"")</f>
        <v>Risk Insight in Decision Making</v>
      </c>
    </row>
    <row r="527" spans="1:12" x14ac:dyDescent="0.35">
      <c r="A527" t="s">
        <v>103</v>
      </c>
      <c r="B527" t="s">
        <v>37</v>
      </c>
      <c r="F527">
        <v>40</v>
      </c>
      <c r="G527" t="s">
        <v>5</v>
      </c>
      <c r="H527" t="s">
        <v>6</v>
      </c>
      <c r="I527">
        <v>2</v>
      </c>
      <c r="J527">
        <v>0</v>
      </c>
      <c r="K527" t="s">
        <v>233</v>
      </c>
      <c r="L527" t="str">
        <f>_xlfn.XLOOKUP(AllResponses[[#This Row],[QuestionID]], FinalQuestions!$A:$A, FinalQuestions!$D:$D,"")</f>
        <v>Learning Culture from Non‑Compliance Cases</v>
      </c>
    </row>
    <row r="528" spans="1:12" x14ac:dyDescent="0.35">
      <c r="A528" t="s">
        <v>103</v>
      </c>
      <c r="B528" t="s">
        <v>39</v>
      </c>
      <c r="F528">
        <v>60</v>
      </c>
      <c r="G528" t="s">
        <v>5</v>
      </c>
      <c r="H528" t="s">
        <v>4</v>
      </c>
      <c r="I528">
        <v>3</v>
      </c>
      <c r="J528">
        <v>0</v>
      </c>
      <c r="K528" t="s">
        <v>234</v>
      </c>
      <c r="L528" t="str">
        <f>_xlfn.XLOOKUP(AllResponses[[#This Row],[QuestionID]], FinalQuestions!$A:$A, FinalQuestions!$D:$D,"")</f>
        <v>Organizational View on Risk Culture</v>
      </c>
    </row>
    <row r="529" spans="1:12" x14ac:dyDescent="0.35">
      <c r="A529" t="s">
        <v>103</v>
      </c>
      <c r="B529" t="s">
        <v>41</v>
      </c>
      <c r="F529">
        <v>100</v>
      </c>
      <c r="G529" t="s">
        <v>5</v>
      </c>
      <c r="H529" t="s">
        <v>85</v>
      </c>
      <c r="I529">
        <v>5</v>
      </c>
      <c r="J529">
        <v>1</v>
      </c>
      <c r="K529" t="s">
        <v>235</v>
      </c>
      <c r="L529" t="str">
        <f>_xlfn.XLOOKUP(AllResponses[[#This Row],[QuestionID]], FinalQuestions!$A:$A, FinalQuestions!$D:$D,"")</f>
        <v>Compliance Recognition &amp; enforcement</v>
      </c>
    </row>
    <row r="530" spans="1:12" x14ac:dyDescent="0.35">
      <c r="A530" t="s">
        <v>103</v>
      </c>
      <c r="B530" t="s">
        <v>43</v>
      </c>
      <c r="F530">
        <v>100</v>
      </c>
      <c r="G530" t="s">
        <v>5</v>
      </c>
      <c r="H530" t="s">
        <v>85</v>
      </c>
      <c r="I530">
        <v>5</v>
      </c>
      <c r="J530">
        <v>1</v>
      </c>
      <c r="K530" t="s">
        <v>236</v>
      </c>
      <c r="L530" t="str">
        <f>_xlfn.XLOOKUP(AllResponses[[#This Row],[QuestionID]], FinalQuestions!$A:$A, FinalQuestions!$D:$D,"")</f>
        <v>Sense of Ownership</v>
      </c>
    </row>
    <row r="531" spans="1:12" x14ac:dyDescent="0.35">
      <c r="A531" t="s">
        <v>103</v>
      </c>
      <c r="B531" t="s">
        <v>45</v>
      </c>
      <c r="F531">
        <v>80</v>
      </c>
      <c r="G531" t="s">
        <v>7</v>
      </c>
      <c r="H531" t="s">
        <v>2</v>
      </c>
      <c r="I531">
        <v>4</v>
      </c>
      <c r="J531">
        <v>1</v>
      </c>
      <c r="K531" t="s">
        <v>237</v>
      </c>
      <c r="L531" t="str">
        <f>_xlfn.XLOOKUP(AllResponses[[#This Row],[QuestionID]], FinalQuestions!$A:$A, FinalQuestions!$D:$D,"")</f>
        <v>Clarity of Role and Responsibilities</v>
      </c>
    </row>
    <row r="532" spans="1:12" x14ac:dyDescent="0.35">
      <c r="A532" t="s">
        <v>103</v>
      </c>
      <c r="B532" t="s">
        <v>47</v>
      </c>
      <c r="F532">
        <v>60</v>
      </c>
      <c r="G532" t="s">
        <v>7</v>
      </c>
      <c r="H532" t="s">
        <v>4</v>
      </c>
      <c r="I532">
        <v>3</v>
      </c>
      <c r="J532">
        <v>0</v>
      </c>
      <c r="K532" t="s">
        <v>238</v>
      </c>
      <c r="L532" t="str">
        <f>_xlfn.XLOOKUP(AllResponses[[#This Row],[QuestionID]], FinalQuestions!$A:$A, FinalQuestions!$D:$D,"")</f>
        <v>Understanding of Risk Policies &amp; Procedures</v>
      </c>
    </row>
    <row r="533" spans="1:12" x14ac:dyDescent="0.35">
      <c r="A533" t="s">
        <v>103</v>
      </c>
      <c r="B533" t="s">
        <v>49</v>
      </c>
      <c r="F533">
        <v>100</v>
      </c>
      <c r="G533" t="s">
        <v>7</v>
      </c>
      <c r="H533" t="s">
        <v>85</v>
      </c>
      <c r="I533">
        <v>5</v>
      </c>
      <c r="J533">
        <v>1</v>
      </c>
      <c r="K533" t="s">
        <v>239</v>
      </c>
      <c r="L533" t="str">
        <f>_xlfn.XLOOKUP(AllResponses[[#This Row],[QuestionID]], FinalQuestions!$A:$A, FinalQuestions!$D:$D,"")</f>
        <v>Clarity of Personal Risk Boundaries</v>
      </c>
    </row>
    <row r="534" spans="1:12" x14ac:dyDescent="0.35">
      <c r="A534" t="s">
        <v>103</v>
      </c>
      <c r="B534" t="s">
        <v>51</v>
      </c>
      <c r="F534">
        <v>80</v>
      </c>
      <c r="G534" t="s">
        <v>7</v>
      </c>
      <c r="H534" t="s">
        <v>2</v>
      </c>
      <c r="I534">
        <v>4</v>
      </c>
      <c r="J534">
        <v>1</v>
      </c>
      <c r="K534" t="s">
        <v>240</v>
      </c>
      <c r="L534" t="str">
        <f>_xlfn.XLOOKUP(AllResponses[[#This Row],[QuestionID]], FinalQuestions!$A:$A, FinalQuestions!$D:$D,"")</f>
        <v>Effectiveness of Risk Communication &amp; Training</v>
      </c>
    </row>
    <row r="535" spans="1:12" x14ac:dyDescent="0.35">
      <c r="A535" t="s">
        <v>103</v>
      </c>
      <c r="B535" t="s">
        <v>53</v>
      </c>
      <c r="F535">
        <v>40</v>
      </c>
      <c r="G535" t="s">
        <v>8</v>
      </c>
      <c r="H535" t="s">
        <v>6</v>
      </c>
      <c r="I535">
        <v>2</v>
      </c>
      <c r="J535">
        <v>0</v>
      </c>
      <c r="K535" t="s">
        <v>249</v>
      </c>
      <c r="L535" t="str">
        <f>_xlfn.XLOOKUP(AllResponses[[#This Row],[QuestionID]], FinalQuestions!$A:$A, FinalQuestions!$D:$D,"")</f>
        <v>Compliance Confidence in team</v>
      </c>
    </row>
    <row r="536" spans="1:12" x14ac:dyDescent="0.35">
      <c r="A536" t="s">
        <v>103</v>
      </c>
      <c r="B536" t="s">
        <v>55</v>
      </c>
      <c r="F536">
        <v>40</v>
      </c>
      <c r="G536" t="s">
        <v>8</v>
      </c>
      <c r="H536" t="s">
        <v>6</v>
      </c>
      <c r="I536">
        <v>2</v>
      </c>
      <c r="J536">
        <v>0</v>
      </c>
      <c r="K536" t="s">
        <v>250</v>
      </c>
      <c r="L536" t="str">
        <f>_xlfn.XLOOKUP(AllResponses[[#This Row],[QuestionID]], FinalQuestions!$A:$A, FinalQuestions!$D:$D,"")</f>
        <v>Transparency in Decision‑Making</v>
      </c>
    </row>
    <row r="537" spans="1:12" x14ac:dyDescent="0.35">
      <c r="A537" t="s">
        <v>103</v>
      </c>
      <c r="B537" t="s">
        <v>57</v>
      </c>
      <c r="F537">
        <v>80</v>
      </c>
      <c r="G537" t="s">
        <v>8</v>
      </c>
      <c r="H537" t="s">
        <v>2</v>
      </c>
      <c r="I537">
        <v>4</v>
      </c>
      <c r="J537">
        <v>1</v>
      </c>
      <c r="K537" t="s">
        <v>251</v>
      </c>
      <c r="L537" t="str">
        <f>_xlfn.XLOOKUP(AllResponses[[#This Row],[QuestionID]], FinalQuestions!$A:$A, FinalQuestions!$D:$D,"")</f>
        <v>Fairness &amp; Equity of Expectations</v>
      </c>
    </row>
    <row r="538" spans="1:12" x14ac:dyDescent="0.35">
      <c r="A538" t="s">
        <v>103</v>
      </c>
      <c r="B538" t="s">
        <v>59</v>
      </c>
      <c r="F538">
        <v>40</v>
      </c>
      <c r="G538" t="s">
        <v>8</v>
      </c>
      <c r="H538" t="s">
        <v>6</v>
      </c>
      <c r="I538">
        <v>2</v>
      </c>
      <c r="J538">
        <v>0</v>
      </c>
      <c r="K538" t="s">
        <v>252</v>
      </c>
      <c r="L538" t="str">
        <f>_xlfn.XLOOKUP(AllResponses[[#This Row],[QuestionID]], FinalQuestions!$A:$A, FinalQuestions!$D:$D,"")</f>
        <v>Leadership Awareness in the team</v>
      </c>
    </row>
    <row r="539" spans="1:12" x14ac:dyDescent="0.35">
      <c r="A539" t="s">
        <v>103</v>
      </c>
      <c r="B539" t="s">
        <v>61</v>
      </c>
      <c r="F539">
        <v>60</v>
      </c>
      <c r="G539" t="s">
        <v>9</v>
      </c>
      <c r="H539" t="s">
        <v>4</v>
      </c>
      <c r="I539">
        <v>3</v>
      </c>
      <c r="J539">
        <v>0</v>
      </c>
      <c r="K539" t="s">
        <v>241</v>
      </c>
      <c r="L539" t="str">
        <f>_xlfn.XLOOKUP(AllResponses[[#This Row],[QuestionID]], FinalQuestions!$A:$A, FinalQuestions!$D:$D,"")</f>
        <v>Motivation for Risk Ownership</v>
      </c>
    </row>
    <row r="540" spans="1:12" x14ac:dyDescent="0.35">
      <c r="A540" t="s">
        <v>103</v>
      </c>
      <c r="B540" t="s">
        <v>63</v>
      </c>
      <c r="F540">
        <v>100</v>
      </c>
      <c r="G540" t="s">
        <v>9</v>
      </c>
      <c r="H540" t="s">
        <v>85</v>
      </c>
      <c r="I540">
        <v>5</v>
      </c>
      <c r="J540">
        <v>1</v>
      </c>
      <c r="K540" t="s">
        <v>242</v>
      </c>
      <c r="L540" t="str">
        <f>_xlfn.XLOOKUP(AllResponses[[#This Row],[QuestionID]], FinalQuestions!$A:$A, FinalQuestions!$D:$D,"")</f>
        <v>Sense of Belonging to the Organization</v>
      </c>
    </row>
    <row r="541" spans="1:12" x14ac:dyDescent="0.35">
      <c r="A541" t="s">
        <v>103</v>
      </c>
      <c r="B541" t="s">
        <v>65</v>
      </c>
      <c r="F541">
        <v>100</v>
      </c>
      <c r="G541" t="s">
        <v>9</v>
      </c>
      <c r="H541" t="s">
        <v>85</v>
      </c>
      <c r="I541">
        <v>5</v>
      </c>
      <c r="J541">
        <v>1</v>
      </c>
      <c r="K541" t="s">
        <v>243</v>
      </c>
      <c r="L541" t="str">
        <f>_xlfn.XLOOKUP(AllResponses[[#This Row],[QuestionID]], FinalQuestions!$A:$A, FinalQuestions!$D:$D,"")</f>
        <v>Consideration of Impact on Others</v>
      </c>
    </row>
    <row r="542" spans="1:12" x14ac:dyDescent="0.35">
      <c r="A542" t="s">
        <v>103</v>
      </c>
      <c r="B542" t="s">
        <v>67</v>
      </c>
      <c r="F542">
        <v>80</v>
      </c>
      <c r="G542" t="s">
        <v>9</v>
      </c>
      <c r="H542" t="s">
        <v>2</v>
      </c>
      <c r="I542">
        <v>4</v>
      </c>
      <c r="J542">
        <v>1</v>
      </c>
      <c r="K542" t="s">
        <v>244</v>
      </c>
      <c r="L542" t="str">
        <f>_xlfn.XLOOKUP(AllResponses[[#This Row],[QuestionID]], FinalQuestions!$A:$A, FinalQuestions!$D:$D,"")</f>
        <v>Accountability for Risk Actions</v>
      </c>
    </row>
    <row r="543" spans="1:12" x14ac:dyDescent="0.35">
      <c r="A543" t="s">
        <v>103</v>
      </c>
      <c r="B543" t="s">
        <v>69</v>
      </c>
      <c r="F543">
        <v>40</v>
      </c>
      <c r="G543" t="s">
        <v>10</v>
      </c>
      <c r="H543" t="s">
        <v>6</v>
      </c>
      <c r="I543">
        <v>2</v>
      </c>
      <c r="J543">
        <v>0</v>
      </c>
      <c r="K543" t="s">
        <v>245</v>
      </c>
      <c r="L543" t="str">
        <f>_xlfn.XLOOKUP(AllResponses[[#This Row],[QuestionID]], FinalQuestions!$A:$A, FinalQuestions!$D:$D,"")</f>
        <v xml:space="preserve">Peer to peer Accountability </v>
      </c>
    </row>
    <row r="544" spans="1:12" x14ac:dyDescent="0.35">
      <c r="A544" t="s">
        <v>103</v>
      </c>
      <c r="B544" t="s">
        <v>71</v>
      </c>
      <c r="F544">
        <v>60</v>
      </c>
      <c r="G544" t="s">
        <v>10</v>
      </c>
      <c r="H544" t="s">
        <v>4</v>
      </c>
      <c r="I544">
        <v>3</v>
      </c>
      <c r="J544">
        <v>0</v>
      </c>
      <c r="K544" t="s">
        <v>246</v>
      </c>
      <c r="L544" t="str">
        <f>_xlfn.XLOOKUP(AllResponses[[#This Row],[QuestionID]], FinalQuestions!$A:$A, FinalQuestions!$D:$D,"")</f>
        <v>Timely Resolution of Accountability Issues</v>
      </c>
    </row>
    <row r="545" spans="1:12" x14ac:dyDescent="0.35">
      <c r="A545" t="s">
        <v>103</v>
      </c>
      <c r="B545" t="s">
        <v>73</v>
      </c>
      <c r="F545">
        <v>100</v>
      </c>
      <c r="G545" t="s">
        <v>10</v>
      </c>
      <c r="H545" t="s">
        <v>85</v>
      </c>
      <c r="I545">
        <v>5</v>
      </c>
      <c r="J545">
        <v>1</v>
      </c>
      <c r="K545" t="s">
        <v>247</v>
      </c>
      <c r="L545" t="str">
        <f>_xlfn.XLOOKUP(AllResponses[[#This Row],[QuestionID]], FinalQuestions!$A:$A, FinalQuestions!$D:$D,"")</f>
        <v>Comfort for Reporting Non‑Compliance.</v>
      </c>
    </row>
    <row r="546" spans="1:12" x14ac:dyDescent="0.35">
      <c r="A546" t="s">
        <v>103</v>
      </c>
      <c r="B546" t="s">
        <v>75</v>
      </c>
      <c r="F546">
        <v>80</v>
      </c>
      <c r="G546" t="s">
        <v>10</v>
      </c>
      <c r="H546" t="s">
        <v>2</v>
      </c>
      <c r="I546">
        <v>4</v>
      </c>
      <c r="J546">
        <v>1</v>
      </c>
      <c r="K546" t="s">
        <v>248</v>
      </c>
      <c r="L546" t="str">
        <f>_xlfn.XLOOKUP(AllResponses[[#This Row],[QuestionID]], FinalQuestions!$A:$A, FinalQuestions!$D:$D,"")</f>
        <v>Consistency of Conduct Enforcement</v>
      </c>
    </row>
    <row r="547" spans="1:12" x14ac:dyDescent="0.35">
      <c r="A547" t="s">
        <v>104</v>
      </c>
      <c r="B547" t="s">
        <v>13</v>
      </c>
      <c r="F547">
        <v>40</v>
      </c>
      <c r="G547" t="s">
        <v>0</v>
      </c>
      <c r="H547" t="s">
        <v>6</v>
      </c>
      <c r="I547">
        <v>2</v>
      </c>
      <c r="J547">
        <v>0</v>
      </c>
      <c r="K547" t="s">
        <v>253</v>
      </c>
      <c r="L547" t="str">
        <f>_xlfn.XLOOKUP(AllResponses[[#This Row],[QuestionID]], FinalQuestions!$A:$A, FinalQuestions!$D:$D,"")</f>
        <v xml:space="preserve">Leadership Example‑Setting in Risk Management </v>
      </c>
    </row>
    <row r="548" spans="1:12" x14ac:dyDescent="0.35">
      <c r="A548" t="s">
        <v>104</v>
      </c>
      <c r="B548" t="s">
        <v>15</v>
      </c>
      <c r="F548">
        <v>60</v>
      </c>
      <c r="G548" t="s">
        <v>0</v>
      </c>
      <c r="H548" t="s">
        <v>4</v>
      </c>
      <c r="I548">
        <v>3</v>
      </c>
      <c r="J548">
        <v>0</v>
      </c>
      <c r="K548" t="s">
        <v>222</v>
      </c>
      <c r="L548" t="str">
        <f>_xlfn.XLOOKUP(AllResponses[[#This Row],[QuestionID]], FinalQuestions!$A:$A, FinalQuestions!$D:$D,"")</f>
        <v>Executive Commitment to Risk Culture</v>
      </c>
    </row>
    <row r="549" spans="1:12" x14ac:dyDescent="0.35">
      <c r="A549" t="s">
        <v>104</v>
      </c>
      <c r="B549" t="s">
        <v>17</v>
      </c>
      <c r="F549">
        <v>100</v>
      </c>
      <c r="G549" t="s">
        <v>0</v>
      </c>
      <c r="H549" t="s">
        <v>85</v>
      </c>
      <c r="I549">
        <v>5</v>
      </c>
      <c r="J549">
        <v>1</v>
      </c>
      <c r="K549" t="s">
        <v>223</v>
      </c>
      <c r="L549" t="str">
        <f>_xlfn.XLOOKUP(AllResponses[[#This Row],[QuestionID]], FinalQuestions!$A:$A, FinalQuestions!$D:$D,"")</f>
        <v>Leadership Encouragement to Escalate Risks</v>
      </c>
    </row>
    <row r="550" spans="1:12" x14ac:dyDescent="0.35">
      <c r="A550" t="s">
        <v>104</v>
      </c>
      <c r="B550" t="s">
        <v>19</v>
      </c>
      <c r="F550">
        <v>100</v>
      </c>
      <c r="G550" t="s">
        <v>0</v>
      </c>
      <c r="H550" t="s">
        <v>85</v>
      </c>
      <c r="I550">
        <v>5</v>
      </c>
      <c r="J550">
        <v>1</v>
      </c>
      <c r="K550" t="s">
        <v>224</v>
      </c>
      <c r="L550" t="str">
        <f>_xlfn.XLOOKUP(AllResponses[[#This Row],[QuestionID]], FinalQuestions!$A:$A, FinalQuestions!$D:$D,"")</f>
        <v>Long-Term Decision Awareness</v>
      </c>
    </row>
    <row r="551" spans="1:12" x14ac:dyDescent="0.35">
      <c r="A551" t="s">
        <v>104</v>
      </c>
      <c r="B551" t="s">
        <v>21</v>
      </c>
      <c r="F551">
        <v>80</v>
      </c>
      <c r="G551" t="s">
        <v>117</v>
      </c>
      <c r="H551" t="s">
        <v>2</v>
      </c>
      <c r="I551">
        <v>4</v>
      </c>
      <c r="J551">
        <v>1</v>
      </c>
      <c r="K551" t="s">
        <v>225</v>
      </c>
      <c r="L551" t="str">
        <f>_xlfn.XLOOKUP(AllResponses[[#This Row],[QuestionID]], FinalQuestions!$A:$A, FinalQuestions!$D:$D,"")</f>
        <v>Openness to Discussions</v>
      </c>
    </row>
    <row r="552" spans="1:12" x14ac:dyDescent="0.35">
      <c r="A552" t="s">
        <v>104</v>
      </c>
      <c r="B552" t="s">
        <v>23</v>
      </c>
      <c r="F552">
        <v>60</v>
      </c>
      <c r="G552" t="s">
        <v>117</v>
      </c>
      <c r="H552" t="s">
        <v>4</v>
      </c>
      <c r="I552">
        <v>3</v>
      </c>
      <c r="J552">
        <v>0</v>
      </c>
      <c r="K552" t="s">
        <v>226</v>
      </c>
      <c r="L552" t="str">
        <f>_xlfn.XLOOKUP(AllResponses[[#This Row],[QuestionID]], FinalQuestions!$A:$A, FinalQuestions!$D:$D,"")</f>
        <v>Access to Guidance</v>
      </c>
    </row>
    <row r="553" spans="1:12" x14ac:dyDescent="0.35">
      <c r="A553" t="s">
        <v>104</v>
      </c>
      <c r="B553" t="s">
        <v>25</v>
      </c>
      <c r="F553">
        <v>100</v>
      </c>
      <c r="G553" t="s">
        <v>117</v>
      </c>
      <c r="H553" t="s">
        <v>85</v>
      </c>
      <c r="I553">
        <v>5</v>
      </c>
      <c r="J553">
        <v>1</v>
      </c>
      <c r="K553" t="s">
        <v>227</v>
      </c>
      <c r="L553" t="str">
        <f>_xlfn.XLOOKUP(AllResponses[[#This Row],[QuestionID]], FinalQuestions!$A:$A, FinalQuestions!$D:$D,"")</f>
        <v>Openness to Sharing Opinions</v>
      </c>
    </row>
    <row r="554" spans="1:12" x14ac:dyDescent="0.35">
      <c r="A554" t="s">
        <v>104</v>
      </c>
      <c r="B554" t="s">
        <v>27</v>
      </c>
      <c r="F554">
        <v>80</v>
      </c>
      <c r="G554" t="s">
        <v>117</v>
      </c>
      <c r="H554" t="s">
        <v>2</v>
      </c>
      <c r="I554">
        <v>4</v>
      </c>
      <c r="J554">
        <v>1</v>
      </c>
      <c r="K554" t="s">
        <v>228</v>
      </c>
      <c r="L554" t="str">
        <f>_xlfn.XLOOKUP(AllResponses[[#This Row],[QuestionID]], FinalQuestions!$A:$A, FinalQuestions!$D:$D,"")</f>
        <v>Comfort in Reporting Risk Dilemmas</v>
      </c>
    </row>
    <row r="555" spans="1:12" x14ac:dyDescent="0.35">
      <c r="A555" t="s">
        <v>104</v>
      </c>
      <c r="B555" t="s">
        <v>29</v>
      </c>
      <c r="F555">
        <v>40</v>
      </c>
      <c r="G555" t="s">
        <v>3</v>
      </c>
      <c r="H555" t="s">
        <v>6</v>
      </c>
      <c r="I555">
        <v>2</v>
      </c>
      <c r="J555">
        <v>0</v>
      </c>
      <c r="K555" t="s">
        <v>229</v>
      </c>
      <c r="L555" t="str">
        <f>_xlfn.XLOOKUP(AllResponses[[#This Row],[QuestionID]], FinalQuestions!$A:$A, FinalQuestions!$D:$D,"")</f>
        <v>Adequacy of Risk Management Training</v>
      </c>
    </row>
    <row r="556" spans="1:12" x14ac:dyDescent="0.35">
      <c r="A556" t="s">
        <v>104</v>
      </c>
      <c r="B556" t="s">
        <v>31</v>
      </c>
      <c r="F556">
        <v>40</v>
      </c>
      <c r="G556" t="s">
        <v>3</v>
      </c>
      <c r="H556" t="s">
        <v>6</v>
      </c>
      <c r="I556">
        <v>2</v>
      </c>
      <c r="J556">
        <v>0</v>
      </c>
      <c r="K556" t="s">
        <v>230</v>
      </c>
      <c r="L556" t="str">
        <f>_xlfn.XLOOKUP(AllResponses[[#This Row],[QuestionID]], FinalQuestions!$A:$A, FinalQuestions!$D:$D,"")</f>
        <v>Workload Balance &amp; Resource Sufficiency</v>
      </c>
    </row>
    <row r="557" spans="1:12" x14ac:dyDescent="0.35">
      <c r="A557" t="s">
        <v>104</v>
      </c>
      <c r="B557" t="s">
        <v>33</v>
      </c>
      <c r="F557">
        <v>80</v>
      </c>
      <c r="G557" t="s">
        <v>3</v>
      </c>
      <c r="H557" t="s">
        <v>2</v>
      </c>
      <c r="I557">
        <v>4</v>
      </c>
      <c r="J557">
        <v>1</v>
      </c>
      <c r="K557" t="s">
        <v>231</v>
      </c>
      <c r="L557" t="str">
        <f>_xlfn.XLOOKUP(AllResponses[[#This Row],[QuestionID]], FinalQuestions!$A:$A, FinalQuestions!$D:$D,"")</f>
        <v>Realistic Target Setting</v>
      </c>
    </row>
    <row r="558" spans="1:12" x14ac:dyDescent="0.35">
      <c r="A558" t="s">
        <v>104</v>
      </c>
      <c r="B558" t="s">
        <v>35</v>
      </c>
      <c r="F558">
        <v>40</v>
      </c>
      <c r="G558" t="s">
        <v>3</v>
      </c>
      <c r="H558" t="s">
        <v>6</v>
      </c>
      <c r="I558">
        <v>2</v>
      </c>
      <c r="J558">
        <v>0</v>
      </c>
      <c r="K558" t="s">
        <v>232</v>
      </c>
      <c r="L558" t="str">
        <f>_xlfn.XLOOKUP(AllResponses[[#This Row],[QuestionID]], FinalQuestions!$A:$A, FinalQuestions!$D:$D,"")</f>
        <v>Risk Insight in Decision Making</v>
      </c>
    </row>
    <row r="559" spans="1:12" x14ac:dyDescent="0.35">
      <c r="A559" t="s">
        <v>104</v>
      </c>
      <c r="B559" t="s">
        <v>37</v>
      </c>
      <c r="F559">
        <v>60</v>
      </c>
      <c r="G559" t="s">
        <v>5</v>
      </c>
      <c r="H559" t="s">
        <v>4</v>
      </c>
      <c r="I559">
        <v>3</v>
      </c>
      <c r="J559">
        <v>0</v>
      </c>
      <c r="K559" t="s">
        <v>233</v>
      </c>
      <c r="L559" t="str">
        <f>_xlfn.XLOOKUP(AllResponses[[#This Row],[QuestionID]], FinalQuestions!$A:$A, FinalQuestions!$D:$D,"")</f>
        <v>Learning Culture from Non‑Compliance Cases</v>
      </c>
    </row>
    <row r="560" spans="1:12" x14ac:dyDescent="0.35">
      <c r="A560" t="s">
        <v>104</v>
      </c>
      <c r="B560" t="s">
        <v>39</v>
      </c>
      <c r="F560">
        <v>100</v>
      </c>
      <c r="G560" t="s">
        <v>5</v>
      </c>
      <c r="H560" t="s">
        <v>85</v>
      </c>
      <c r="I560">
        <v>5</v>
      </c>
      <c r="J560">
        <v>1</v>
      </c>
      <c r="K560" t="s">
        <v>234</v>
      </c>
      <c r="L560" t="str">
        <f>_xlfn.XLOOKUP(AllResponses[[#This Row],[QuestionID]], FinalQuestions!$A:$A, FinalQuestions!$D:$D,"")</f>
        <v>Organizational View on Risk Culture</v>
      </c>
    </row>
    <row r="561" spans="1:12" x14ac:dyDescent="0.35">
      <c r="A561" t="s">
        <v>104</v>
      </c>
      <c r="B561" t="s">
        <v>41</v>
      </c>
      <c r="F561">
        <v>100</v>
      </c>
      <c r="G561" t="s">
        <v>5</v>
      </c>
      <c r="H561" t="s">
        <v>85</v>
      </c>
      <c r="I561">
        <v>5</v>
      </c>
      <c r="J561">
        <v>1</v>
      </c>
      <c r="K561" t="s">
        <v>235</v>
      </c>
      <c r="L561" t="str">
        <f>_xlfn.XLOOKUP(AllResponses[[#This Row],[QuestionID]], FinalQuestions!$A:$A, FinalQuestions!$D:$D,"")</f>
        <v>Compliance Recognition &amp; enforcement</v>
      </c>
    </row>
    <row r="562" spans="1:12" x14ac:dyDescent="0.35">
      <c r="A562" t="s">
        <v>104</v>
      </c>
      <c r="B562" t="s">
        <v>43</v>
      </c>
      <c r="F562">
        <v>80</v>
      </c>
      <c r="G562" t="s">
        <v>5</v>
      </c>
      <c r="H562" t="s">
        <v>2</v>
      </c>
      <c r="I562">
        <v>4</v>
      </c>
      <c r="J562">
        <v>1</v>
      </c>
      <c r="K562" t="s">
        <v>236</v>
      </c>
      <c r="L562" t="str">
        <f>_xlfn.XLOOKUP(AllResponses[[#This Row],[QuestionID]], FinalQuestions!$A:$A, FinalQuestions!$D:$D,"")</f>
        <v>Sense of Ownership</v>
      </c>
    </row>
    <row r="563" spans="1:12" x14ac:dyDescent="0.35">
      <c r="A563" t="s">
        <v>104</v>
      </c>
      <c r="B563" t="s">
        <v>45</v>
      </c>
      <c r="F563">
        <v>40</v>
      </c>
      <c r="G563" t="s">
        <v>7</v>
      </c>
      <c r="H563" t="s">
        <v>6</v>
      </c>
      <c r="I563">
        <v>2</v>
      </c>
      <c r="J563">
        <v>0</v>
      </c>
      <c r="K563" t="s">
        <v>237</v>
      </c>
      <c r="L563" t="str">
        <f>_xlfn.XLOOKUP(AllResponses[[#This Row],[QuestionID]], FinalQuestions!$A:$A, FinalQuestions!$D:$D,"")</f>
        <v>Clarity of Role and Responsibilities</v>
      </c>
    </row>
    <row r="564" spans="1:12" x14ac:dyDescent="0.35">
      <c r="A564" t="s">
        <v>104</v>
      </c>
      <c r="B564" t="s">
        <v>47</v>
      </c>
      <c r="F564">
        <v>60</v>
      </c>
      <c r="G564" t="s">
        <v>7</v>
      </c>
      <c r="H564" t="s">
        <v>4</v>
      </c>
      <c r="I564">
        <v>3</v>
      </c>
      <c r="J564">
        <v>0</v>
      </c>
      <c r="K564" t="s">
        <v>238</v>
      </c>
      <c r="L564" t="str">
        <f>_xlfn.XLOOKUP(AllResponses[[#This Row],[QuestionID]], FinalQuestions!$A:$A, FinalQuestions!$D:$D,"")</f>
        <v>Understanding of Risk Policies &amp; Procedures</v>
      </c>
    </row>
    <row r="565" spans="1:12" x14ac:dyDescent="0.35">
      <c r="A565" t="s">
        <v>104</v>
      </c>
      <c r="B565" t="s">
        <v>49</v>
      </c>
      <c r="F565">
        <v>100</v>
      </c>
      <c r="G565" t="s">
        <v>7</v>
      </c>
      <c r="H565" t="s">
        <v>85</v>
      </c>
      <c r="I565">
        <v>5</v>
      </c>
      <c r="J565">
        <v>1</v>
      </c>
      <c r="K565" t="s">
        <v>239</v>
      </c>
      <c r="L565" t="str">
        <f>_xlfn.XLOOKUP(AllResponses[[#This Row],[QuestionID]], FinalQuestions!$A:$A, FinalQuestions!$D:$D,"")</f>
        <v>Clarity of Personal Risk Boundaries</v>
      </c>
    </row>
    <row r="566" spans="1:12" x14ac:dyDescent="0.35">
      <c r="A566" t="s">
        <v>104</v>
      </c>
      <c r="B566" t="s">
        <v>51</v>
      </c>
      <c r="F566">
        <v>80</v>
      </c>
      <c r="G566" t="s">
        <v>7</v>
      </c>
      <c r="H566" t="s">
        <v>2</v>
      </c>
      <c r="I566">
        <v>4</v>
      </c>
      <c r="J566">
        <v>1</v>
      </c>
      <c r="K566" t="s">
        <v>240</v>
      </c>
      <c r="L566" t="str">
        <f>_xlfn.XLOOKUP(AllResponses[[#This Row],[QuestionID]], FinalQuestions!$A:$A, FinalQuestions!$D:$D,"")</f>
        <v>Effectiveness of Risk Communication &amp; Training</v>
      </c>
    </row>
    <row r="567" spans="1:12" x14ac:dyDescent="0.35">
      <c r="A567" t="s">
        <v>104</v>
      </c>
      <c r="B567" t="s">
        <v>53</v>
      </c>
      <c r="F567">
        <v>40</v>
      </c>
      <c r="G567" t="s">
        <v>8</v>
      </c>
      <c r="H567" t="s">
        <v>6</v>
      </c>
      <c r="I567">
        <v>2</v>
      </c>
      <c r="J567">
        <v>0</v>
      </c>
      <c r="K567" t="s">
        <v>249</v>
      </c>
      <c r="L567" t="str">
        <f>_xlfn.XLOOKUP(AllResponses[[#This Row],[QuestionID]], FinalQuestions!$A:$A, FinalQuestions!$D:$D,"")</f>
        <v>Compliance Confidence in team</v>
      </c>
    </row>
    <row r="568" spans="1:12" x14ac:dyDescent="0.35">
      <c r="A568" t="s">
        <v>104</v>
      </c>
      <c r="B568" t="s">
        <v>55</v>
      </c>
      <c r="F568">
        <v>60</v>
      </c>
      <c r="G568" t="s">
        <v>8</v>
      </c>
      <c r="H568" t="s">
        <v>4</v>
      </c>
      <c r="I568">
        <v>3</v>
      </c>
      <c r="J568">
        <v>0</v>
      </c>
      <c r="K568" t="s">
        <v>250</v>
      </c>
      <c r="L568" t="str">
        <f>_xlfn.XLOOKUP(AllResponses[[#This Row],[QuestionID]], FinalQuestions!$A:$A, FinalQuestions!$D:$D,"")</f>
        <v>Transparency in Decision‑Making</v>
      </c>
    </row>
    <row r="569" spans="1:12" x14ac:dyDescent="0.35">
      <c r="A569" t="s">
        <v>104</v>
      </c>
      <c r="B569" t="s">
        <v>57</v>
      </c>
      <c r="F569">
        <v>100</v>
      </c>
      <c r="G569" t="s">
        <v>8</v>
      </c>
      <c r="H569" t="s">
        <v>85</v>
      </c>
      <c r="I569">
        <v>5</v>
      </c>
      <c r="J569">
        <v>1</v>
      </c>
      <c r="K569" t="s">
        <v>251</v>
      </c>
      <c r="L569" t="str">
        <f>_xlfn.XLOOKUP(AllResponses[[#This Row],[QuestionID]], FinalQuestions!$A:$A, FinalQuestions!$D:$D,"")</f>
        <v>Fairness &amp; Equity of Expectations</v>
      </c>
    </row>
    <row r="570" spans="1:12" x14ac:dyDescent="0.35">
      <c r="A570" t="s">
        <v>104</v>
      </c>
      <c r="B570" t="s">
        <v>59</v>
      </c>
      <c r="F570">
        <v>100</v>
      </c>
      <c r="G570" t="s">
        <v>8</v>
      </c>
      <c r="H570" t="s">
        <v>85</v>
      </c>
      <c r="I570">
        <v>5</v>
      </c>
      <c r="J570">
        <v>1</v>
      </c>
      <c r="K570" t="s">
        <v>252</v>
      </c>
      <c r="L570" t="str">
        <f>_xlfn.XLOOKUP(AllResponses[[#This Row],[QuestionID]], FinalQuestions!$A:$A, FinalQuestions!$D:$D,"")</f>
        <v>Leadership Awareness in the team</v>
      </c>
    </row>
    <row r="571" spans="1:12" x14ac:dyDescent="0.35">
      <c r="A571" t="s">
        <v>104</v>
      </c>
      <c r="B571" t="s">
        <v>61</v>
      </c>
      <c r="F571">
        <v>80</v>
      </c>
      <c r="G571" t="s">
        <v>9</v>
      </c>
      <c r="H571" t="s">
        <v>2</v>
      </c>
      <c r="I571">
        <v>4</v>
      </c>
      <c r="J571">
        <v>1</v>
      </c>
      <c r="K571" t="s">
        <v>241</v>
      </c>
      <c r="L571" t="str">
        <f>_xlfn.XLOOKUP(AllResponses[[#This Row],[QuestionID]], FinalQuestions!$A:$A, FinalQuestions!$D:$D,"")</f>
        <v>Motivation for Risk Ownership</v>
      </c>
    </row>
    <row r="572" spans="1:12" x14ac:dyDescent="0.35">
      <c r="A572" t="s">
        <v>104</v>
      </c>
      <c r="B572" t="s">
        <v>63</v>
      </c>
      <c r="F572">
        <v>60</v>
      </c>
      <c r="G572" t="s">
        <v>9</v>
      </c>
      <c r="H572" t="s">
        <v>4</v>
      </c>
      <c r="I572">
        <v>3</v>
      </c>
      <c r="J572">
        <v>0</v>
      </c>
      <c r="K572" t="s">
        <v>242</v>
      </c>
      <c r="L572" t="str">
        <f>_xlfn.XLOOKUP(AllResponses[[#This Row],[QuestionID]], FinalQuestions!$A:$A, FinalQuestions!$D:$D,"")</f>
        <v>Sense of Belonging to the Organization</v>
      </c>
    </row>
    <row r="573" spans="1:12" x14ac:dyDescent="0.35">
      <c r="A573" t="s">
        <v>104</v>
      </c>
      <c r="B573" t="s">
        <v>65</v>
      </c>
      <c r="F573">
        <v>100</v>
      </c>
      <c r="G573" t="s">
        <v>9</v>
      </c>
      <c r="H573" t="s">
        <v>85</v>
      </c>
      <c r="I573">
        <v>5</v>
      </c>
      <c r="J573">
        <v>1</v>
      </c>
      <c r="K573" t="s">
        <v>243</v>
      </c>
      <c r="L573" t="str">
        <f>_xlfn.XLOOKUP(AllResponses[[#This Row],[QuestionID]], FinalQuestions!$A:$A, FinalQuestions!$D:$D,"")</f>
        <v>Consideration of Impact on Others</v>
      </c>
    </row>
    <row r="574" spans="1:12" x14ac:dyDescent="0.35">
      <c r="A574" t="s">
        <v>104</v>
      </c>
      <c r="B574" t="s">
        <v>67</v>
      </c>
      <c r="F574">
        <v>80</v>
      </c>
      <c r="G574" t="s">
        <v>9</v>
      </c>
      <c r="H574" t="s">
        <v>2</v>
      </c>
      <c r="I574">
        <v>4</v>
      </c>
      <c r="J574">
        <v>1</v>
      </c>
      <c r="K574" t="s">
        <v>244</v>
      </c>
      <c r="L574" t="str">
        <f>_xlfn.XLOOKUP(AllResponses[[#This Row],[QuestionID]], FinalQuestions!$A:$A, FinalQuestions!$D:$D,"")</f>
        <v>Accountability for Risk Actions</v>
      </c>
    </row>
    <row r="575" spans="1:12" x14ac:dyDescent="0.35">
      <c r="A575" t="s">
        <v>104</v>
      </c>
      <c r="B575" t="s">
        <v>69</v>
      </c>
      <c r="F575">
        <v>40</v>
      </c>
      <c r="G575" t="s">
        <v>10</v>
      </c>
      <c r="H575" t="s">
        <v>6</v>
      </c>
      <c r="I575">
        <v>2</v>
      </c>
      <c r="J575">
        <v>0</v>
      </c>
      <c r="K575" t="s">
        <v>245</v>
      </c>
      <c r="L575" t="str">
        <f>_xlfn.XLOOKUP(AllResponses[[#This Row],[QuestionID]], FinalQuestions!$A:$A, FinalQuestions!$D:$D,"")</f>
        <v xml:space="preserve">Peer to peer Accountability </v>
      </c>
    </row>
    <row r="576" spans="1:12" x14ac:dyDescent="0.35">
      <c r="A576" t="s">
        <v>104</v>
      </c>
      <c r="B576" t="s">
        <v>71</v>
      </c>
      <c r="F576">
        <v>40</v>
      </c>
      <c r="G576" t="s">
        <v>10</v>
      </c>
      <c r="H576" t="s">
        <v>6</v>
      </c>
      <c r="I576">
        <v>2</v>
      </c>
      <c r="J576">
        <v>0</v>
      </c>
      <c r="K576" t="s">
        <v>246</v>
      </c>
      <c r="L576" t="str">
        <f>_xlfn.XLOOKUP(AllResponses[[#This Row],[QuestionID]], FinalQuestions!$A:$A, FinalQuestions!$D:$D,"")</f>
        <v>Timely Resolution of Accountability Issues</v>
      </c>
    </row>
    <row r="577" spans="1:12" x14ac:dyDescent="0.35">
      <c r="A577" t="s">
        <v>104</v>
      </c>
      <c r="B577" t="s">
        <v>73</v>
      </c>
      <c r="F577">
        <v>80</v>
      </c>
      <c r="G577" t="s">
        <v>10</v>
      </c>
      <c r="H577" t="s">
        <v>2</v>
      </c>
      <c r="I577">
        <v>4</v>
      </c>
      <c r="J577">
        <v>1</v>
      </c>
      <c r="K577" t="s">
        <v>247</v>
      </c>
      <c r="L577" t="str">
        <f>_xlfn.XLOOKUP(AllResponses[[#This Row],[QuestionID]], FinalQuestions!$A:$A, FinalQuestions!$D:$D,"")</f>
        <v>Comfort for Reporting Non‑Compliance.</v>
      </c>
    </row>
    <row r="578" spans="1:12" x14ac:dyDescent="0.35">
      <c r="A578" t="s">
        <v>104</v>
      </c>
      <c r="B578" t="s">
        <v>75</v>
      </c>
      <c r="F578">
        <v>40</v>
      </c>
      <c r="G578" t="s">
        <v>10</v>
      </c>
      <c r="H578" t="s">
        <v>6</v>
      </c>
      <c r="I578">
        <v>2</v>
      </c>
      <c r="J578">
        <v>0</v>
      </c>
      <c r="K578" t="s">
        <v>248</v>
      </c>
      <c r="L578" t="str">
        <f>_xlfn.XLOOKUP(AllResponses[[#This Row],[QuestionID]], FinalQuestions!$A:$A, FinalQuestions!$D:$D,"")</f>
        <v>Consistency of Conduct Enforcement</v>
      </c>
    </row>
    <row r="579" spans="1:12" x14ac:dyDescent="0.35">
      <c r="A579" t="s">
        <v>105</v>
      </c>
      <c r="B579" t="s">
        <v>13</v>
      </c>
      <c r="F579">
        <v>60</v>
      </c>
      <c r="G579" t="s">
        <v>0</v>
      </c>
      <c r="H579" t="s">
        <v>4</v>
      </c>
      <c r="I579">
        <v>3</v>
      </c>
      <c r="J579">
        <v>0</v>
      </c>
      <c r="K579" t="s">
        <v>253</v>
      </c>
      <c r="L579" t="str">
        <f>_xlfn.XLOOKUP(AllResponses[[#This Row],[QuestionID]], FinalQuestions!$A:$A, FinalQuestions!$D:$D,"")</f>
        <v xml:space="preserve">Leadership Example‑Setting in Risk Management </v>
      </c>
    </row>
    <row r="580" spans="1:12" x14ac:dyDescent="0.35">
      <c r="A580" t="s">
        <v>105</v>
      </c>
      <c r="B580" t="s">
        <v>15</v>
      </c>
      <c r="F580">
        <v>100</v>
      </c>
      <c r="G580" t="s">
        <v>0</v>
      </c>
      <c r="H580" t="s">
        <v>85</v>
      </c>
      <c r="I580">
        <v>5</v>
      </c>
      <c r="J580">
        <v>1</v>
      </c>
      <c r="K580" t="s">
        <v>222</v>
      </c>
      <c r="L580" t="str">
        <f>_xlfn.XLOOKUP(AllResponses[[#This Row],[QuestionID]], FinalQuestions!$A:$A, FinalQuestions!$D:$D,"")</f>
        <v>Executive Commitment to Risk Culture</v>
      </c>
    </row>
    <row r="581" spans="1:12" x14ac:dyDescent="0.35">
      <c r="A581" t="s">
        <v>105</v>
      </c>
      <c r="B581" t="s">
        <v>17</v>
      </c>
      <c r="F581">
        <v>100</v>
      </c>
      <c r="G581" t="s">
        <v>0</v>
      </c>
      <c r="H581" t="s">
        <v>85</v>
      </c>
      <c r="I581">
        <v>5</v>
      </c>
      <c r="J581">
        <v>1</v>
      </c>
      <c r="K581" t="s">
        <v>223</v>
      </c>
      <c r="L581" t="str">
        <f>_xlfn.XLOOKUP(AllResponses[[#This Row],[QuestionID]], FinalQuestions!$A:$A, FinalQuestions!$D:$D,"")</f>
        <v>Leadership Encouragement to Escalate Risks</v>
      </c>
    </row>
    <row r="582" spans="1:12" x14ac:dyDescent="0.35">
      <c r="A582" t="s">
        <v>105</v>
      </c>
      <c r="B582" t="s">
        <v>19</v>
      </c>
      <c r="F582">
        <v>80</v>
      </c>
      <c r="G582" t="s">
        <v>0</v>
      </c>
      <c r="H582" t="s">
        <v>2</v>
      </c>
      <c r="I582">
        <v>4</v>
      </c>
      <c r="J582">
        <v>1</v>
      </c>
      <c r="K582" t="s">
        <v>224</v>
      </c>
      <c r="L582" t="str">
        <f>_xlfn.XLOOKUP(AllResponses[[#This Row],[QuestionID]], FinalQuestions!$A:$A, FinalQuestions!$D:$D,"")</f>
        <v>Long-Term Decision Awareness</v>
      </c>
    </row>
    <row r="583" spans="1:12" x14ac:dyDescent="0.35">
      <c r="A583" t="s">
        <v>105</v>
      </c>
      <c r="B583" t="s">
        <v>21</v>
      </c>
      <c r="F583">
        <v>40</v>
      </c>
      <c r="G583" t="s">
        <v>117</v>
      </c>
      <c r="H583" t="s">
        <v>6</v>
      </c>
      <c r="I583">
        <v>2</v>
      </c>
      <c r="J583">
        <v>0</v>
      </c>
      <c r="K583" t="s">
        <v>225</v>
      </c>
      <c r="L583" t="str">
        <f>_xlfn.XLOOKUP(AllResponses[[#This Row],[QuestionID]], FinalQuestions!$A:$A, FinalQuestions!$D:$D,"")</f>
        <v>Openness to Discussions</v>
      </c>
    </row>
    <row r="584" spans="1:12" x14ac:dyDescent="0.35">
      <c r="A584" t="s">
        <v>105</v>
      </c>
      <c r="B584" t="s">
        <v>23</v>
      </c>
      <c r="F584">
        <v>60</v>
      </c>
      <c r="G584" t="s">
        <v>117</v>
      </c>
      <c r="H584" t="s">
        <v>4</v>
      </c>
      <c r="I584">
        <v>3</v>
      </c>
      <c r="J584">
        <v>0</v>
      </c>
      <c r="K584" t="s">
        <v>226</v>
      </c>
      <c r="L584" t="str">
        <f>_xlfn.XLOOKUP(AllResponses[[#This Row],[QuestionID]], FinalQuestions!$A:$A, FinalQuestions!$D:$D,"")</f>
        <v>Access to Guidance</v>
      </c>
    </row>
    <row r="585" spans="1:12" x14ac:dyDescent="0.35">
      <c r="A585" t="s">
        <v>105</v>
      </c>
      <c r="B585" t="s">
        <v>25</v>
      </c>
      <c r="F585">
        <v>100</v>
      </c>
      <c r="G585" t="s">
        <v>117</v>
      </c>
      <c r="H585" t="s">
        <v>85</v>
      </c>
      <c r="I585">
        <v>5</v>
      </c>
      <c r="J585">
        <v>1</v>
      </c>
      <c r="K585" t="s">
        <v>227</v>
      </c>
      <c r="L585" t="str">
        <f>_xlfn.XLOOKUP(AllResponses[[#This Row],[QuestionID]], FinalQuestions!$A:$A, FinalQuestions!$D:$D,"")</f>
        <v>Openness to Sharing Opinions</v>
      </c>
    </row>
    <row r="586" spans="1:12" x14ac:dyDescent="0.35">
      <c r="A586" t="s">
        <v>105</v>
      </c>
      <c r="B586" t="s">
        <v>27</v>
      </c>
      <c r="F586">
        <v>80</v>
      </c>
      <c r="G586" t="s">
        <v>117</v>
      </c>
      <c r="H586" t="s">
        <v>2</v>
      </c>
      <c r="I586">
        <v>4</v>
      </c>
      <c r="J586">
        <v>1</v>
      </c>
      <c r="K586" t="s">
        <v>228</v>
      </c>
      <c r="L586" t="str">
        <f>_xlfn.XLOOKUP(AllResponses[[#This Row],[QuestionID]], FinalQuestions!$A:$A, FinalQuestions!$D:$D,"")</f>
        <v>Comfort in Reporting Risk Dilemmas</v>
      </c>
    </row>
    <row r="587" spans="1:12" x14ac:dyDescent="0.35">
      <c r="A587" t="s">
        <v>105</v>
      </c>
      <c r="B587" t="s">
        <v>29</v>
      </c>
      <c r="F587">
        <v>40</v>
      </c>
      <c r="G587" t="s">
        <v>3</v>
      </c>
      <c r="H587" t="s">
        <v>6</v>
      </c>
      <c r="I587">
        <v>2</v>
      </c>
      <c r="J587">
        <v>0</v>
      </c>
      <c r="K587" t="s">
        <v>229</v>
      </c>
      <c r="L587" t="str">
        <f>_xlfn.XLOOKUP(AllResponses[[#This Row],[QuestionID]], FinalQuestions!$A:$A, FinalQuestions!$D:$D,"")</f>
        <v>Adequacy of Risk Management Training</v>
      </c>
    </row>
    <row r="588" spans="1:12" x14ac:dyDescent="0.35">
      <c r="A588" t="s">
        <v>105</v>
      </c>
      <c r="B588" t="s">
        <v>31</v>
      </c>
      <c r="F588">
        <v>60</v>
      </c>
      <c r="G588" t="s">
        <v>3</v>
      </c>
      <c r="H588" t="s">
        <v>4</v>
      </c>
      <c r="I588">
        <v>3</v>
      </c>
      <c r="J588">
        <v>0</v>
      </c>
      <c r="K588" t="s">
        <v>230</v>
      </c>
      <c r="L588" t="str">
        <f>_xlfn.XLOOKUP(AllResponses[[#This Row],[QuestionID]], FinalQuestions!$A:$A, FinalQuestions!$D:$D,"")</f>
        <v>Workload Balance &amp; Resource Sufficiency</v>
      </c>
    </row>
    <row r="589" spans="1:12" x14ac:dyDescent="0.35">
      <c r="A589" t="s">
        <v>105</v>
      </c>
      <c r="B589" t="s">
        <v>33</v>
      </c>
      <c r="F589">
        <v>100</v>
      </c>
      <c r="G589" t="s">
        <v>3</v>
      </c>
      <c r="H589" t="s">
        <v>85</v>
      </c>
      <c r="I589">
        <v>5</v>
      </c>
      <c r="J589">
        <v>1</v>
      </c>
      <c r="K589" t="s">
        <v>231</v>
      </c>
      <c r="L589" t="str">
        <f>_xlfn.XLOOKUP(AllResponses[[#This Row],[QuestionID]], FinalQuestions!$A:$A, FinalQuestions!$D:$D,"")</f>
        <v>Realistic Target Setting</v>
      </c>
    </row>
    <row r="590" spans="1:12" x14ac:dyDescent="0.35">
      <c r="A590" t="s">
        <v>105</v>
      </c>
      <c r="B590" t="s">
        <v>35</v>
      </c>
      <c r="F590">
        <v>100</v>
      </c>
      <c r="G590" t="s">
        <v>3</v>
      </c>
      <c r="H590" t="s">
        <v>85</v>
      </c>
      <c r="I590">
        <v>5</v>
      </c>
      <c r="J590">
        <v>1</v>
      </c>
      <c r="K590" t="s">
        <v>232</v>
      </c>
      <c r="L590" t="str">
        <f>_xlfn.XLOOKUP(AllResponses[[#This Row],[QuestionID]], FinalQuestions!$A:$A, FinalQuestions!$D:$D,"")</f>
        <v>Risk Insight in Decision Making</v>
      </c>
    </row>
    <row r="591" spans="1:12" x14ac:dyDescent="0.35">
      <c r="A591" t="s">
        <v>105</v>
      </c>
      <c r="B591" t="s">
        <v>37</v>
      </c>
      <c r="F591">
        <v>100</v>
      </c>
      <c r="G591" t="s">
        <v>5</v>
      </c>
      <c r="H591" t="s">
        <v>85</v>
      </c>
      <c r="I591">
        <v>5</v>
      </c>
      <c r="J591">
        <v>1</v>
      </c>
      <c r="K591" t="s">
        <v>233</v>
      </c>
      <c r="L591" t="str">
        <f>_xlfn.XLOOKUP(AllResponses[[#This Row],[QuestionID]], FinalQuestions!$A:$A, FinalQuestions!$D:$D,"")</f>
        <v>Learning Culture from Non‑Compliance Cases</v>
      </c>
    </row>
    <row r="592" spans="1:12" x14ac:dyDescent="0.35">
      <c r="A592" t="s">
        <v>105</v>
      </c>
      <c r="B592" t="s">
        <v>39</v>
      </c>
      <c r="F592">
        <v>100</v>
      </c>
      <c r="G592" t="s">
        <v>5</v>
      </c>
      <c r="H592" t="s">
        <v>85</v>
      </c>
      <c r="I592">
        <v>5</v>
      </c>
      <c r="J592">
        <v>1</v>
      </c>
      <c r="K592" t="s">
        <v>234</v>
      </c>
      <c r="L592" t="str">
        <f>_xlfn.XLOOKUP(AllResponses[[#This Row],[QuestionID]], FinalQuestions!$A:$A, FinalQuestions!$D:$D,"")</f>
        <v>Organizational View on Risk Culture</v>
      </c>
    </row>
    <row r="593" spans="1:12" x14ac:dyDescent="0.35">
      <c r="A593" t="s">
        <v>105</v>
      </c>
      <c r="B593" t="s">
        <v>41</v>
      </c>
      <c r="F593">
        <v>100</v>
      </c>
      <c r="G593" t="s">
        <v>5</v>
      </c>
      <c r="H593" t="s">
        <v>85</v>
      </c>
      <c r="I593">
        <v>5</v>
      </c>
      <c r="J593">
        <v>1</v>
      </c>
      <c r="K593" t="s">
        <v>235</v>
      </c>
      <c r="L593" t="str">
        <f>_xlfn.XLOOKUP(AllResponses[[#This Row],[QuestionID]], FinalQuestions!$A:$A, FinalQuestions!$D:$D,"")</f>
        <v>Compliance Recognition &amp; enforcement</v>
      </c>
    </row>
    <row r="594" spans="1:12" x14ac:dyDescent="0.35">
      <c r="A594" t="s">
        <v>105</v>
      </c>
      <c r="B594" t="s">
        <v>43</v>
      </c>
      <c r="F594">
        <v>100</v>
      </c>
      <c r="G594" t="s">
        <v>5</v>
      </c>
      <c r="H594" t="s">
        <v>85</v>
      </c>
      <c r="I594">
        <v>5</v>
      </c>
      <c r="J594">
        <v>1</v>
      </c>
      <c r="K594" t="s">
        <v>236</v>
      </c>
      <c r="L594" t="str">
        <f>_xlfn.XLOOKUP(AllResponses[[#This Row],[QuestionID]], FinalQuestions!$A:$A, FinalQuestions!$D:$D,"")</f>
        <v>Sense of Ownership</v>
      </c>
    </row>
    <row r="595" spans="1:12" x14ac:dyDescent="0.35">
      <c r="A595" t="s">
        <v>105</v>
      </c>
      <c r="B595" t="s">
        <v>45</v>
      </c>
      <c r="F595">
        <v>100</v>
      </c>
      <c r="G595" t="s">
        <v>7</v>
      </c>
      <c r="H595" t="s">
        <v>85</v>
      </c>
      <c r="I595">
        <v>5</v>
      </c>
      <c r="J595">
        <v>1</v>
      </c>
      <c r="K595" t="s">
        <v>237</v>
      </c>
      <c r="L595" t="str">
        <f>_xlfn.XLOOKUP(AllResponses[[#This Row],[QuestionID]], FinalQuestions!$A:$A, FinalQuestions!$D:$D,"")</f>
        <v>Clarity of Role and Responsibilities</v>
      </c>
    </row>
    <row r="596" spans="1:12" x14ac:dyDescent="0.35">
      <c r="A596" t="s">
        <v>105</v>
      </c>
      <c r="B596" t="s">
        <v>47</v>
      </c>
      <c r="F596">
        <v>100</v>
      </c>
      <c r="G596" t="s">
        <v>7</v>
      </c>
      <c r="H596" t="s">
        <v>85</v>
      </c>
      <c r="I596">
        <v>5</v>
      </c>
      <c r="J596">
        <v>1</v>
      </c>
      <c r="K596" t="s">
        <v>238</v>
      </c>
      <c r="L596" t="str">
        <f>_xlfn.XLOOKUP(AllResponses[[#This Row],[QuestionID]], FinalQuestions!$A:$A, FinalQuestions!$D:$D,"")</f>
        <v>Understanding of Risk Policies &amp; Procedures</v>
      </c>
    </row>
    <row r="597" spans="1:12" x14ac:dyDescent="0.35">
      <c r="A597" t="s">
        <v>105</v>
      </c>
      <c r="B597" t="s">
        <v>49</v>
      </c>
      <c r="F597">
        <v>100</v>
      </c>
      <c r="G597" t="s">
        <v>7</v>
      </c>
      <c r="H597" t="s">
        <v>85</v>
      </c>
      <c r="I597">
        <v>5</v>
      </c>
      <c r="J597">
        <v>1</v>
      </c>
      <c r="K597" t="s">
        <v>239</v>
      </c>
      <c r="L597" t="str">
        <f>_xlfn.XLOOKUP(AllResponses[[#This Row],[QuestionID]], FinalQuestions!$A:$A, FinalQuestions!$D:$D,"")</f>
        <v>Clarity of Personal Risk Boundaries</v>
      </c>
    </row>
    <row r="598" spans="1:12" x14ac:dyDescent="0.35">
      <c r="A598" t="s">
        <v>105</v>
      </c>
      <c r="B598" t="s">
        <v>51</v>
      </c>
      <c r="F598">
        <v>100</v>
      </c>
      <c r="G598" t="s">
        <v>7</v>
      </c>
      <c r="H598" t="s">
        <v>85</v>
      </c>
      <c r="I598">
        <v>5</v>
      </c>
      <c r="J598">
        <v>1</v>
      </c>
      <c r="K598" t="s">
        <v>240</v>
      </c>
      <c r="L598" t="str">
        <f>_xlfn.XLOOKUP(AllResponses[[#This Row],[QuestionID]], FinalQuestions!$A:$A, FinalQuestions!$D:$D,"")</f>
        <v>Effectiveness of Risk Communication &amp; Training</v>
      </c>
    </row>
    <row r="599" spans="1:12" x14ac:dyDescent="0.35">
      <c r="A599" t="s">
        <v>105</v>
      </c>
      <c r="B599" t="s">
        <v>53</v>
      </c>
      <c r="F599">
        <v>100</v>
      </c>
      <c r="G599" t="s">
        <v>8</v>
      </c>
      <c r="H599" t="s">
        <v>85</v>
      </c>
      <c r="I599">
        <v>5</v>
      </c>
      <c r="J599">
        <v>1</v>
      </c>
      <c r="K599" t="s">
        <v>249</v>
      </c>
      <c r="L599" t="str">
        <f>_xlfn.XLOOKUP(AllResponses[[#This Row],[QuestionID]], FinalQuestions!$A:$A, FinalQuestions!$D:$D,"")</f>
        <v>Compliance Confidence in team</v>
      </c>
    </row>
    <row r="600" spans="1:12" x14ac:dyDescent="0.35">
      <c r="A600" t="s">
        <v>105</v>
      </c>
      <c r="B600" t="s">
        <v>55</v>
      </c>
      <c r="F600">
        <v>80</v>
      </c>
      <c r="G600" t="s">
        <v>8</v>
      </c>
      <c r="H600" t="s">
        <v>2</v>
      </c>
      <c r="I600">
        <v>4</v>
      </c>
      <c r="J600">
        <v>1</v>
      </c>
      <c r="K600" t="s">
        <v>250</v>
      </c>
      <c r="L600" t="str">
        <f>_xlfn.XLOOKUP(AllResponses[[#This Row],[QuestionID]], FinalQuestions!$A:$A, FinalQuestions!$D:$D,"")</f>
        <v>Transparency in Decision‑Making</v>
      </c>
    </row>
    <row r="601" spans="1:12" x14ac:dyDescent="0.35">
      <c r="A601" t="s">
        <v>105</v>
      </c>
      <c r="B601" t="s">
        <v>57</v>
      </c>
      <c r="F601">
        <v>80</v>
      </c>
      <c r="G601" t="s">
        <v>8</v>
      </c>
      <c r="H601" t="s">
        <v>2</v>
      </c>
      <c r="I601">
        <v>4</v>
      </c>
      <c r="J601">
        <v>1</v>
      </c>
      <c r="K601" t="s">
        <v>251</v>
      </c>
      <c r="L601" t="str">
        <f>_xlfn.XLOOKUP(AllResponses[[#This Row],[QuestionID]], FinalQuestions!$A:$A, FinalQuestions!$D:$D,"")</f>
        <v>Fairness &amp; Equity of Expectations</v>
      </c>
    </row>
    <row r="602" spans="1:12" x14ac:dyDescent="0.35">
      <c r="A602" t="s">
        <v>105</v>
      </c>
      <c r="B602" t="s">
        <v>59</v>
      </c>
      <c r="F602">
        <v>80</v>
      </c>
      <c r="G602" t="s">
        <v>8</v>
      </c>
      <c r="H602" t="s">
        <v>2</v>
      </c>
      <c r="I602">
        <v>4</v>
      </c>
      <c r="J602">
        <v>1</v>
      </c>
      <c r="K602" t="s">
        <v>252</v>
      </c>
      <c r="L602" t="str">
        <f>_xlfn.XLOOKUP(AllResponses[[#This Row],[QuestionID]], FinalQuestions!$A:$A, FinalQuestions!$D:$D,"")</f>
        <v>Leadership Awareness in the team</v>
      </c>
    </row>
    <row r="603" spans="1:12" x14ac:dyDescent="0.35">
      <c r="A603" t="s">
        <v>105</v>
      </c>
      <c r="B603" t="s">
        <v>61</v>
      </c>
      <c r="F603">
        <v>80</v>
      </c>
      <c r="G603" t="s">
        <v>9</v>
      </c>
      <c r="H603" t="s">
        <v>2</v>
      </c>
      <c r="I603">
        <v>4</v>
      </c>
      <c r="J603">
        <v>1</v>
      </c>
      <c r="K603" t="s">
        <v>241</v>
      </c>
      <c r="L603" t="str">
        <f>_xlfn.XLOOKUP(AllResponses[[#This Row],[QuestionID]], FinalQuestions!$A:$A, FinalQuestions!$D:$D,"")</f>
        <v>Motivation for Risk Ownership</v>
      </c>
    </row>
    <row r="604" spans="1:12" x14ac:dyDescent="0.35">
      <c r="A604" t="s">
        <v>105</v>
      </c>
      <c r="B604" t="s">
        <v>63</v>
      </c>
      <c r="F604">
        <v>80</v>
      </c>
      <c r="G604" t="s">
        <v>9</v>
      </c>
      <c r="H604" t="s">
        <v>2</v>
      </c>
      <c r="I604">
        <v>4</v>
      </c>
      <c r="J604">
        <v>1</v>
      </c>
      <c r="K604" t="s">
        <v>242</v>
      </c>
      <c r="L604" t="str">
        <f>_xlfn.XLOOKUP(AllResponses[[#This Row],[QuestionID]], FinalQuestions!$A:$A, FinalQuestions!$D:$D,"")</f>
        <v>Sense of Belonging to the Organization</v>
      </c>
    </row>
    <row r="605" spans="1:12" x14ac:dyDescent="0.35">
      <c r="A605" t="s">
        <v>105</v>
      </c>
      <c r="B605" t="s">
        <v>65</v>
      </c>
      <c r="F605">
        <v>80</v>
      </c>
      <c r="G605" t="s">
        <v>9</v>
      </c>
      <c r="H605" t="s">
        <v>2</v>
      </c>
      <c r="I605">
        <v>4</v>
      </c>
      <c r="J605">
        <v>1</v>
      </c>
      <c r="K605" t="s">
        <v>243</v>
      </c>
      <c r="L605" t="str">
        <f>_xlfn.XLOOKUP(AllResponses[[#This Row],[QuestionID]], FinalQuestions!$A:$A, FinalQuestions!$D:$D,"")</f>
        <v>Consideration of Impact on Others</v>
      </c>
    </row>
    <row r="606" spans="1:12" x14ac:dyDescent="0.35">
      <c r="A606" t="s">
        <v>105</v>
      </c>
      <c r="B606" t="s">
        <v>67</v>
      </c>
      <c r="F606">
        <v>80</v>
      </c>
      <c r="G606" t="s">
        <v>9</v>
      </c>
      <c r="H606" t="s">
        <v>2</v>
      </c>
      <c r="I606">
        <v>4</v>
      </c>
      <c r="J606">
        <v>1</v>
      </c>
      <c r="K606" t="s">
        <v>244</v>
      </c>
      <c r="L606" t="str">
        <f>_xlfn.XLOOKUP(AllResponses[[#This Row],[QuestionID]], FinalQuestions!$A:$A, FinalQuestions!$D:$D,"")</f>
        <v>Accountability for Risk Actions</v>
      </c>
    </row>
    <row r="607" spans="1:12" x14ac:dyDescent="0.35">
      <c r="A607" t="s">
        <v>105</v>
      </c>
      <c r="B607" t="s">
        <v>69</v>
      </c>
      <c r="F607">
        <v>80</v>
      </c>
      <c r="G607" t="s">
        <v>10</v>
      </c>
      <c r="H607" t="s">
        <v>2</v>
      </c>
      <c r="I607">
        <v>4</v>
      </c>
      <c r="J607">
        <v>1</v>
      </c>
      <c r="K607" t="s">
        <v>245</v>
      </c>
      <c r="L607" t="str">
        <f>_xlfn.XLOOKUP(AllResponses[[#This Row],[QuestionID]], FinalQuestions!$A:$A, FinalQuestions!$D:$D,"")</f>
        <v xml:space="preserve">Peer to peer Accountability </v>
      </c>
    </row>
    <row r="608" spans="1:12" x14ac:dyDescent="0.35">
      <c r="A608" t="s">
        <v>105</v>
      </c>
      <c r="B608" t="s">
        <v>71</v>
      </c>
      <c r="F608">
        <v>60</v>
      </c>
      <c r="G608" t="s">
        <v>10</v>
      </c>
      <c r="H608" t="s">
        <v>4</v>
      </c>
      <c r="I608">
        <v>3</v>
      </c>
      <c r="J608">
        <v>0</v>
      </c>
      <c r="K608" t="s">
        <v>246</v>
      </c>
      <c r="L608" t="str">
        <f>_xlfn.XLOOKUP(AllResponses[[#This Row],[QuestionID]], FinalQuestions!$A:$A, FinalQuestions!$D:$D,"")</f>
        <v>Timely Resolution of Accountability Issues</v>
      </c>
    </row>
    <row r="609" spans="1:12" x14ac:dyDescent="0.35">
      <c r="A609" t="s">
        <v>105</v>
      </c>
      <c r="B609" t="s">
        <v>73</v>
      </c>
      <c r="F609">
        <v>100</v>
      </c>
      <c r="G609" t="s">
        <v>10</v>
      </c>
      <c r="H609" t="s">
        <v>85</v>
      </c>
      <c r="I609">
        <v>5</v>
      </c>
      <c r="J609">
        <v>1</v>
      </c>
      <c r="K609" t="s">
        <v>247</v>
      </c>
      <c r="L609" t="str">
        <f>_xlfn.XLOOKUP(AllResponses[[#This Row],[QuestionID]], FinalQuestions!$A:$A, FinalQuestions!$D:$D,"")</f>
        <v>Comfort for Reporting Non‑Compliance.</v>
      </c>
    </row>
    <row r="610" spans="1:12" x14ac:dyDescent="0.35">
      <c r="A610" t="s">
        <v>105</v>
      </c>
      <c r="B610" t="s">
        <v>75</v>
      </c>
      <c r="F610">
        <v>100</v>
      </c>
      <c r="G610" t="s">
        <v>10</v>
      </c>
      <c r="H610" t="s">
        <v>85</v>
      </c>
      <c r="I610">
        <v>5</v>
      </c>
      <c r="J610">
        <v>1</v>
      </c>
      <c r="K610" t="s">
        <v>248</v>
      </c>
      <c r="L610" t="str">
        <f>_xlfn.XLOOKUP(AllResponses[[#This Row],[QuestionID]], FinalQuestions!$A:$A, FinalQuestions!$D:$D,"")</f>
        <v>Consistency of Conduct Enforcement</v>
      </c>
    </row>
    <row r="611" spans="1:12" x14ac:dyDescent="0.35">
      <c r="A611" t="s">
        <v>106</v>
      </c>
      <c r="B611" t="s">
        <v>13</v>
      </c>
      <c r="F611">
        <v>80</v>
      </c>
      <c r="G611" t="s">
        <v>0</v>
      </c>
      <c r="H611" t="s">
        <v>2</v>
      </c>
      <c r="I611">
        <v>4</v>
      </c>
      <c r="J611">
        <v>1</v>
      </c>
      <c r="K611" t="s">
        <v>253</v>
      </c>
      <c r="L611" t="str">
        <f>_xlfn.XLOOKUP(AllResponses[[#This Row],[QuestionID]], FinalQuestions!$A:$A, FinalQuestions!$D:$D,"")</f>
        <v xml:space="preserve">Leadership Example‑Setting in Risk Management </v>
      </c>
    </row>
    <row r="612" spans="1:12" x14ac:dyDescent="0.35">
      <c r="A612" t="s">
        <v>106</v>
      </c>
      <c r="B612" t="s">
        <v>15</v>
      </c>
      <c r="F612">
        <v>80</v>
      </c>
      <c r="G612" t="s">
        <v>0</v>
      </c>
      <c r="H612" t="s">
        <v>2</v>
      </c>
      <c r="I612">
        <v>4</v>
      </c>
      <c r="J612">
        <v>1</v>
      </c>
      <c r="K612" t="s">
        <v>222</v>
      </c>
      <c r="L612" t="str">
        <f>_xlfn.XLOOKUP(AllResponses[[#This Row],[QuestionID]], FinalQuestions!$A:$A, FinalQuestions!$D:$D,"")</f>
        <v>Executive Commitment to Risk Culture</v>
      </c>
    </row>
    <row r="613" spans="1:12" x14ac:dyDescent="0.35">
      <c r="A613" t="s">
        <v>106</v>
      </c>
      <c r="B613" t="s">
        <v>17</v>
      </c>
      <c r="F613">
        <v>100</v>
      </c>
      <c r="G613" t="s">
        <v>0</v>
      </c>
      <c r="H613" t="s">
        <v>85</v>
      </c>
      <c r="I613">
        <v>5</v>
      </c>
      <c r="J613">
        <v>1</v>
      </c>
      <c r="K613" t="s">
        <v>223</v>
      </c>
      <c r="L613" t="str">
        <f>_xlfn.XLOOKUP(AllResponses[[#This Row],[QuestionID]], FinalQuestions!$A:$A, FinalQuestions!$D:$D,"")</f>
        <v>Leadership Encouragement to Escalate Risks</v>
      </c>
    </row>
    <row r="614" spans="1:12" x14ac:dyDescent="0.35">
      <c r="A614" t="s">
        <v>106</v>
      </c>
      <c r="B614" t="s">
        <v>19</v>
      </c>
      <c r="F614">
        <v>100</v>
      </c>
      <c r="G614" t="s">
        <v>0</v>
      </c>
      <c r="H614" t="s">
        <v>85</v>
      </c>
      <c r="I614">
        <v>5</v>
      </c>
      <c r="J614">
        <v>1</v>
      </c>
      <c r="K614" t="s">
        <v>224</v>
      </c>
      <c r="L614" t="str">
        <f>_xlfn.XLOOKUP(AllResponses[[#This Row],[QuestionID]], FinalQuestions!$A:$A, FinalQuestions!$D:$D,"")</f>
        <v>Long-Term Decision Awareness</v>
      </c>
    </row>
    <row r="615" spans="1:12" x14ac:dyDescent="0.35">
      <c r="A615" t="s">
        <v>106</v>
      </c>
      <c r="B615" t="s">
        <v>21</v>
      </c>
      <c r="F615">
        <v>100</v>
      </c>
      <c r="G615" t="s">
        <v>117</v>
      </c>
      <c r="H615" t="s">
        <v>85</v>
      </c>
      <c r="I615">
        <v>5</v>
      </c>
      <c r="J615">
        <v>1</v>
      </c>
      <c r="K615" t="s">
        <v>225</v>
      </c>
      <c r="L615" t="str">
        <f>_xlfn.XLOOKUP(AllResponses[[#This Row],[QuestionID]], FinalQuestions!$A:$A, FinalQuestions!$D:$D,"")</f>
        <v>Openness to Discussions</v>
      </c>
    </row>
    <row r="616" spans="1:12" x14ac:dyDescent="0.35">
      <c r="A616" t="s">
        <v>106</v>
      </c>
      <c r="B616" t="s">
        <v>23</v>
      </c>
      <c r="F616">
        <v>100</v>
      </c>
      <c r="G616" t="s">
        <v>117</v>
      </c>
      <c r="H616" t="s">
        <v>85</v>
      </c>
      <c r="I616">
        <v>5</v>
      </c>
      <c r="J616">
        <v>1</v>
      </c>
      <c r="K616" t="s">
        <v>226</v>
      </c>
      <c r="L616" t="str">
        <f>_xlfn.XLOOKUP(AllResponses[[#This Row],[QuestionID]], FinalQuestions!$A:$A, FinalQuestions!$D:$D,"")</f>
        <v>Access to Guidance</v>
      </c>
    </row>
    <row r="617" spans="1:12" x14ac:dyDescent="0.35">
      <c r="A617" t="s">
        <v>106</v>
      </c>
      <c r="B617" t="s">
        <v>25</v>
      </c>
      <c r="F617">
        <v>100</v>
      </c>
      <c r="G617" t="s">
        <v>117</v>
      </c>
      <c r="H617" t="s">
        <v>85</v>
      </c>
      <c r="I617">
        <v>5</v>
      </c>
      <c r="J617">
        <v>1</v>
      </c>
      <c r="K617" t="s">
        <v>227</v>
      </c>
      <c r="L617" t="str">
        <f>_xlfn.XLOOKUP(AllResponses[[#This Row],[QuestionID]], FinalQuestions!$A:$A, FinalQuestions!$D:$D,"")</f>
        <v>Openness to Sharing Opinions</v>
      </c>
    </row>
    <row r="618" spans="1:12" x14ac:dyDescent="0.35">
      <c r="A618" t="s">
        <v>106</v>
      </c>
      <c r="B618" t="s">
        <v>27</v>
      </c>
      <c r="F618">
        <v>100</v>
      </c>
      <c r="G618" t="s">
        <v>117</v>
      </c>
      <c r="H618" t="s">
        <v>85</v>
      </c>
      <c r="I618">
        <v>5</v>
      </c>
      <c r="J618">
        <v>1</v>
      </c>
      <c r="K618" t="s">
        <v>228</v>
      </c>
      <c r="L618" t="str">
        <f>_xlfn.XLOOKUP(AllResponses[[#This Row],[QuestionID]], FinalQuestions!$A:$A, FinalQuestions!$D:$D,"")</f>
        <v>Comfort in Reporting Risk Dilemmas</v>
      </c>
    </row>
    <row r="619" spans="1:12" x14ac:dyDescent="0.35">
      <c r="A619" t="s">
        <v>106</v>
      </c>
      <c r="B619" t="s">
        <v>29</v>
      </c>
      <c r="F619">
        <v>100</v>
      </c>
      <c r="G619" t="s">
        <v>3</v>
      </c>
      <c r="H619" t="s">
        <v>85</v>
      </c>
      <c r="I619">
        <v>5</v>
      </c>
      <c r="J619">
        <v>1</v>
      </c>
      <c r="K619" t="s">
        <v>229</v>
      </c>
      <c r="L619" t="str">
        <f>_xlfn.XLOOKUP(AllResponses[[#This Row],[QuestionID]], FinalQuestions!$A:$A, FinalQuestions!$D:$D,"")</f>
        <v>Adequacy of Risk Management Training</v>
      </c>
    </row>
    <row r="620" spans="1:12" x14ac:dyDescent="0.35">
      <c r="A620" t="s">
        <v>106</v>
      </c>
      <c r="B620" t="s">
        <v>31</v>
      </c>
      <c r="F620">
        <v>80</v>
      </c>
      <c r="G620" t="s">
        <v>3</v>
      </c>
      <c r="H620" t="s">
        <v>2</v>
      </c>
      <c r="I620">
        <v>4</v>
      </c>
      <c r="J620">
        <v>1</v>
      </c>
      <c r="K620" t="s">
        <v>230</v>
      </c>
      <c r="L620" t="str">
        <f>_xlfn.XLOOKUP(AllResponses[[#This Row],[QuestionID]], FinalQuestions!$A:$A, FinalQuestions!$D:$D,"")</f>
        <v>Workload Balance &amp; Resource Sufficiency</v>
      </c>
    </row>
    <row r="621" spans="1:12" x14ac:dyDescent="0.35">
      <c r="A621" t="s">
        <v>106</v>
      </c>
      <c r="B621" t="s">
        <v>33</v>
      </c>
      <c r="F621">
        <v>80</v>
      </c>
      <c r="G621" t="s">
        <v>3</v>
      </c>
      <c r="H621" t="s">
        <v>2</v>
      </c>
      <c r="I621">
        <v>4</v>
      </c>
      <c r="J621">
        <v>1</v>
      </c>
      <c r="K621" t="s">
        <v>231</v>
      </c>
      <c r="L621" t="str">
        <f>_xlfn.XLOOKUP(AllResponses[[#This Row],[QuestionID]], FinalQuestions!$A:$A, FinalQuestions!$D:$D,"")</f>
        <v>Realistic Target Setting</v>
      </c>
    </row>
    <row r="622" spans="1:12" x14ac:dyDescent="0.35">
      <c r="A622" t="s">
        <v>106</v>
      </c>
      <c r="B622" t="s">
        <v>35</v>
      </c>
      <c r="F622">
        <v>80</v>
      </c>
      <c r="G622" t="s">
        <v>3</v>
      </c>
      <c r="H622" t="s">
        <v>2</v>
      </c>
      <c r="I622">
        <v>4</v>
      </c>
      <c r="J622">
        <v>1</v>
      </c>
      <c r="K622" t="s">
        <v>232</v>
      </c>
      <c r="L622" t="str">
        <f>_xlfn.XLOOKUP(AllResponses[[#This Row],[QuestionID]], FinalQuestions!$A:$A, FinalQuestions!$D:$D,"")</f>
        <v>Risk Insight in Decision Making</v>
      </c>
    </row>
    <row r="623" spans="1:12" x14ac:dyDescent="0.35">
      <c r="A623" t="s">
        <v>106</v>
      </c>
      <c r="B623" t="s">
        <v>37</v>
      </c>
      <c r="F623">
        <v>100</v>
      </c>
      <c r="G623" t="s">
        <v>5</v>
      </c>
      <c r="H623" t="s">
        <v>85</v>
      </c>
      <c r="I623">
        <v>5</v>
      </c>
      <c r="J623">
        <v>1</v>
      </c>
      <c r="K623" t="s">
        <v>233</v>
      </c>
      <c r="L623" t="str">
        <f>_xlfn.XLOOKUP(AllResponses[[#This Row],[QuestionID]], FinalQuestions!$A:$A, FinalQuestions!$D:$D,"")</f>
        <v>Learning Culture from Non‑Compliance Cases</v>
      </c>
    </row>
    <row r="624" spans="1:12" x14ac:dyDescent="0.35">
      <c r="A624" t="s">
        <v>106</v>
      </c>
      <c r="B624" t="s">
        <v>39</v>
      </c>
      <c r="F624">
        <v>80</v>
      </c>
      <c r="G624" t="s">
        <v>5</v>
      </c>
      <c r="H624" t="s">
        <v>2</v>
      </c>
      <c r="I624">
        <v>4</v>
      </c>
      <c r="J624">
        <v>1</v>
      </c>
      <c r="K624" t="s">
        <v>234</v>
      </c>
      <c r="L624" t="str">
        <f>_xlfn.XLOOKUP(AllResponses[[#This Row],[QuestionID]], FinalQuestions!$A:$A, FinalQuestions!$D:$D,"")</f>
        <v>Organizational View on Risk Culture</v>
      </c>
    </row>
    <row r="625" spans="1:12" x14ac:dyDescent="0.35">
      <c r="A625" t="s">
        <v>106</v>
      </c>
      <c r="B625" t="s">
        <v>41</v>
      </c>
      <c r="F625">
        <v>80</v>
      </c>
      <c r="G625" t="s">
        <v>5</v>
      </c>
      <c r="H625" t="s">
        <v>2</v>
      </c>
      <c r="I625">
        <v>4</v>
      </c>
      <c r="J625">
        <v>1</v>
      </c>
      <c r="K625" t="s">
        <v>235</v>
      </c>
      <c r="L625" t="str">
        <f>_xlfn.XLOOKUP(AllResponses[[#This Row],[QuestionID]], FinalQuestions!$A:$A, FinalQuestions!$D:$D,"")</f>
        <v>Compliance Recognition &amp; enforcement</v>
      </c>
    </row>
    <row r="626" spans="1:12" x14ac:dyDescent="0.35">
      <c r="A626" t="s">
        <v>106</v>
      </c>
      <c r="B626" t="s">
        <v>43</v>
      </c>
      <c r="F626">
        <v>80</v>
      </c>
      <c r="G626" t="s">
        <v>5</v>
      </c>
      <c r="H626" t="s">
        <v>2</v>
      </c>
      <c r="I626">
        <v>4</v>
      </c>
      <c r="J626">
        <v>1</v>
      </c>
      <c r="K626" t="s">
        <v>236</v>
      </c>
      <c r="L626" t="str">
        <f>_xlfn.XLOOKUP(AllResponses[[#This Row],[QuestionID]], FinalQuestions!$A:$A, FinalQuestions!$D:$D,"")</f>
        <v>Sense of Ownership</v>
      </c>
    </row>
    <row r="627" spans="1:12" x14ac:dyDescent="0.35">
      <c r="A627" t="s">
        <v>106</v>
      </c>
      <c r="B627" t="s">
        <v>45</v>
      </c>
      <c r="F627">
        <v>80</v>
      </c>
      <c r="G627" t="s">
        <v>7</v>
      </c>
      <c r="H627" t="s">
        <v>2</v>
      </c>
      <c r="I627">
        <v>4</v>
      </c>
      <c r="J627">
        <v>1</v>
      </c>
      <c r="K627" t="s">
        <v>237</v>
      </c>
      <c r="L627" t="str">
        <f>_xlfn.XLOOKUP(AllResponses[[#This Row],[QuestionID]], FinalQuestions!$A:$A, FinalQuestions!$D:$D,"")</f>
        <v>Clarity of Role and Responsibilities</v>
      </c>
    </row>
    <row r="628" spans="1:12" x14ac:dyDescent="0.35">
      <c r="A628" t="s">
        <v>106</v>
      </c>
      <c r="B628" t="s">
        <v>47</v>
      </c>
      <c r="F628">
        <v>80</v>
      </c>
      <c r="G628" t="s">
        <v>7</v>
      </c>
      <c r="H628" t="s">
        <v>2</v>
      </c>
      <c r="I628">
        <v>4</v>
      </c>
      <c r="J628">
        <v>1</v>
      </c>
      <c r="K628" t="s">
        <v>238</v>
      </c>
      <c r="L628" t="str">
        <f>_xlfn.XLOOKUP(AllResponses[[#This Row],[QuestionID]], FinalQuestions!$A:$A, FinalQuestions!$D:$D,"")</f>
        <v>Understanding of Risk Policies &amp; Procedures</v>
      </c>
    </row>
    <row r="629" spans="1:12" x14ac:dyDescent="0.35">
      <c r="A629" t="s">
        <v>106</v>
      </c>
      <c r="B629" t="s">
        <v>49</v>
      </c>
      <c r="F629">
        <v>80</v>
      </c>
      <c r="G629" t="s">
        <v>7</v>
      </c>
      <c r="H629" t="s">
        <v>2</v>
      </c>
      <c r="I629">
        <v>4</v>
      </c>
      <c r="J629">
        <v>1</v>
      </c>
      <c r="K629" t="s">
        <v>239</v>
      </c>
      <c r="L629" t="str">
        <f>_xlfn.XLOOKUP(AllResponses[[#This Row],[QuestionID]], FinalQuestions!$A:$A, FinalQuestions!$D:$D,"")</f>
        <v>Clarity of Personal Risk Boundaries</v>
      </c>
    </row>
    <row r="630" spans="1:12" x14ac:dyDescent="0.35">
      <c r="A630" t="s">
        <v>106</v>
      </c>
      <c r="B630" t="s">
        <v>51</v>
      </c>
      <c r="F630">
        <v>80</v>
      </c>
      <c r="G630" t="s">
        <v>7</v>
      </c>
      <c r="H630" t="s">
        <v>2</v>
      </c>
      <c r="I630">
        <v>4</v>
      </c>
      <c r="J630">
        <v>1</v>
      </c>
      <c r="K630" t="s">
        <v>240</v>
      </c>
      <c r="L630" t="str">
        <f>_xlfn.XLOOKUP(AllResponses[[#This Row],[QuestionID]], FinalQuestions!$A:$A, FinalQuestions!$D:$D,"")</f>
        <v>Effectiveness of Risk Communication &amp; Training</v>
      </c>
    </row>
    <row r="631" spans="1:12" x14ac:dyDescent="0.35">
      <c r="A631" t="s">
        <v>106</v>
      </c>
      <c r="B631" t="s">
        <v>53</v>
      </c>
      <c r="F631">
        <v>80</v>
      </c>
      <c r="G631" t="s">
        <v>8</v>
      </c>
      <c r="H631" t="s">
        <v>2</v>
      </c>
      <c r="I631">
        <v>4</v>
      </c>
      <c r="J631">
        <v>1</v>
      </c>
      <c r="K631" t="s">
        <v>249</v>
      </c>
      <c r="L631" t="str">
        <f>_xlfn.XLOOKUP(AllResponses[[#This Row],[QuestionID]], FinalQuestions!$A:$A, FinalQuestions!$D:$D,"")</f>
        <v>Compliance Confidence in team</v>
      </c>
    </row>
    <row r="632" spans="1:12" x14ac:dyDescent="0.35">
      <c r="A632" t="s">
        <v>106</v>
      </c>
      <c r="B632" t="s">
        <v>55</v>
      </c>
      <c r="F632">
        <v>60</v>
      </c>
      <c r="G632" t="s">
        <v>8</v>
      </c>
      <c r="H632" t="s">
        <v>4</v>
      </c>
      <c r="I632">
        <v>3</v>
      </c>
      <c r="J632">
        <v>0</v>
      </c>
      <c r="K632" t="s">
        <v>250</v>
      </c>
      <c r="L632" t="str">
        <f>_xlfn.XLOOKUP(AllResponses[[#This Row],[QuestionID]], FinalQuestions!$A:$A, FinalQuestions!$D:$D,"")</f>
        <v>Transparency in Decision‑Making</v>
      </c>
    </row>
    <row r="633" spans="1:12" x14ac:dyDescent="0.35">
      <c r="A633" t="s">
        <v>106</v>
      </c>
      <c r="B633" t="s">
        <v>57</v>
      </c>
      <c r="F633">
        <v>100</v>
      </c>
      <c r="G633" t="s">
        <v>8</v>
      </c>
      <c r="H633" t="s">
        <v>85</v>
      </c>
      <c r="I633">
        <v>5</v>
      </c>
      <c r="J633">
        <v>1</v>
      </c>
      <c r="K633" t="s">
        <v>251</v>
      </c>
      <c r="L633" t="str">
        <f>_xlfn.XLOOKUP(AllResponses[[#This Row],[QuestionID]], FinalQuestions!$A:$A, FinalQuestions!$D:$D,"")</f>
        <v>Fairness &amp; Equity of Expectations</v>
      </c>
    </row>
    <row r="634" spans="1:12" x14ac:dyDescent="0.35">
      <c r="A634" t="s">
        <v>106</v>
      </c>
      <c r="B634" t="s">
        <v>59</v>
      </c>
      <c r="F634">
        <v>100</v>
      </c>
      <c r="G634" t="s">
        <v>8</v>
      </c>
      <c r="H634" t="s">
        <v>85</v>
      </c>
      <c r="I634">
        <v>5</v>
      </c>
      <c r="J634">
        <v>1</v>
      </c>
      <c r="K634" t="s">
        <v>252</v>
      </c>
      <c r="L634" t="str">
        <f>_xlfn.XLOOKUP(AllResponses[[#This Row],[QuestionID]], FinalQuestions!$A:$A, FinalQuestions!$D:$D,"")</f>
        <v>Leadership Awareness in the team</v>
      </c>
    </row>
    <row r="635" spans="1:12" x14ac:dyDescent="0.35">
      <c r="A635" t="s">
        <v>106</v>
      </c>
      <c r="B635" t="s">
        <v>61</v>
      </c>
      <c r="F635">
        <v>80</v>
      </c>
      <c r="G635" t="s">
        <v>9</v>
      </c>
      <c r="H635" t="s">
        <v>2</v>
      </c>
      <c r="I635">
        <v>4</v>
      </c>
      <c r="J635">
        <v>1</v>
      </c>
      <c r="K635" t="s">
        <v>241</v>
      </c>
      <c r="L635" t="str">
        <f>_xlfn.XLOOKUP(AllResponses[[#This Row],[QuestionID]], FinalQuestions!$A:$A, FinalQuestions!$D:$D,"")</f>
        <v>Motivation for Risk Ownership</v>
      </c>
    </row>
    <row r="636" spans="1:12" x14ac:dyDescent="0.35">
      <c r="A636" t="s">
        <v>106</v>
      </c>
      <c r="B636" t="s">
        <v>63</v>
      </c>
      <c r="F636">
        <v>80</v>
      </c>
      <c r="G636" t="s">
        <v>9</v>
      </c>
      <c r="H636" t="s">
        <v>2</v>
      </c>
      <c r="I636">
        <v>4</v>
      </c>
      <c r="J636">
        <v>1</v>
      </c>
      <c r="K636" t="s">
        <v>242</v>
      </c>
      <c r="L636" t="str">
        <f>_xlfn.XLOOKUP(AllResponses[[#This Row],[QuestionID]], FinalQuestions!$A:$A, FinalQuestions!$D:$D,"")</f>
        <v>Sense of Belonging to the Organization</v>
      </c>
    </row>
    <row r="637" spans="1:12" x14ac:dyDescent="0.35">
      <c r="A637" t="s">
        <v>106</v>
      </c>
      <c r="B637" t="s">
        <v>65</v>
      </c>
      <c r="F637">
        <v>100</v>
      </c>
      <c r="G637" t="s">
        <v>9</v>
      </c>
      <c r="H637" t="s">
        <v>85</v>
      </c>
      <c r="I637">
        <v>5</v>
      </c>
      <c r="J637">
        <v>1</v>
      </c>
      <c r="K637" t="s">
        <v>243</v>
      </c>
      <c r="L637" t="str">
        <f>_xlfn.XLOOKUP(AllResponses[[#This Row],[QuestionID]], FinalQuestions!$A:$A, FinalQuestions!$D:$D,"")</f>
        <v>Consideration of Impact on Others</v>
      </c>
    </row>
    <row r="638" spans="1:12" x14ac:dyDescent="0.35">
      <c r="A638" t="s">
        <v>106</v>
      </c>
      <c r="B638" t="s">
        <v>67</v>
      </c>
      <c r="F638">
        <v>100</v>
      </c>
      <c r="G638" t="s">
        <v>9</v>
      </c>
      <c r="H638" t="s">
        <v>85</v>
      </c>
      <c r="I638">
        <v>5</v>
      </c>
      <c r="J638">
        <v>1</v>
      </c>
      <c r="K638" t="s">
        <v>244</v>
      </c>
      <c r="L638" t="str">
        <f>_xlfn.XLOOKUP(AllResponses[[#This Row],[QuestionID]], FinalQuestions!$A:$A, FinalQuestions!$D:$D,"")</f>
        <v>Accountability for Risk Actions</v>
      </c>
    </row>
    <row r="639" spans="1:12" x14ac:dyDescent="0.35">
      <c r="A639" t="s">
        <v>106</v>
      </c>
      <c r="B639" t="s">
        <v>69</v>
      </c>
      <c r="F639">
        <v>100</v>
      </c>
      <c r="G639" t="s">
        <v>10</v>
      </c>
      <c r="H639" t="s">
        <v>85</v>
      </c>
      <c r="I639">
        <v>5</v>
      </c>
      <c r="J639">
        <v>1</v>
      </c>
      <c r="K639" t="s">
        <v>245</v>
      </c>
      <c r="L639" t="str">
        <f>_xlfn.XLOOKUP(AllResponses[[#This Row],[QuestionID]], FinalQuestions!$A:$A, FinalQuestions!$D:$D,"")</f>
        <v xml:space="preserve">Peer to peer Accountability </v>
      </c>
    </row>
    <row r="640" spans="1:12" x14ac:dyDescent="0.35">
      <c r="A640" t="s">
        <v>106</v>
      </c>
      <c r="B640" t="s">
        <v>71</v>
      </c>
      <c r="F640">
        <v>100</v>
      </c>
      <c r="G640" t="s">
        <v>10</v>
      </c>
      <c r="H640" t="s">
        <v>85</v>
      </c>
      <c r="I640">
        <v>5</v>
      </c>
      <c r="J640">
        <v>1</v>
      </c>
      <c r="K640" t="s">
        <v>246</v>
      </c>
      <c r="L640" t="str">
        <f>_xlfn.XLOOKUP(AllResponses[[#This Row],[QuestionID]], FinalQuestions!$A:$A, FinalQuestions!$D:$D,"")</f>
        <v>Timely Resolution of Accountability Issues</v>
      </c>
    </row>
    <row r="641" spans="1:12" x14ac:dyDescent="0.35">
      <c r="A641" t="s">
        <v>106</v>
      </c>
      <c r="B641" t="s">
        <v>73</v>
      </c>
      <c r="F641">
        <v>100</v>
      </c>
      <c r="G641" t="s">
        <v>10</v>
      </c>
      <c r="H641" t="s">
        <v>85</v>
      </c>
      <c r="I641">
        <v>5</v>
      </c>
      <c r="J641">
        <v>1</v>
      </c>
      <c r="K641" t="s">
        <v>247</v>
      </c>
      <c r="L641" t="str">
        <f>_xlfn.XLOOKUP(AllResponses[[#This Row],[QuestionID]], FinalQuestions!$A:$A, FinalQuestions!$D:$D,"")</f>
        <v>Comfort for Reporting Non‑Compliance.</v>
      </c>
    </row>
    <row r="642" spans="1:12" x14ac:dyDescent="0.35">
      <c r="A642" t="s">
        <v>106</v>
      </c>
      <c r="B642" t="s">
        <v>75</v>
      </c>
      <c r="F642">
        <v>100</v>
      </c>
      <c r="G642" t="s">
        <v>10</v>
      </c>
      <c r="H642" t="s">
        <v>85</v>
      </c>
      <c r="I642">
        <v>5</v>
      </c>
      <c r="J642">
        <v>1</v>
      </c>
      <c r="K642" t="s">
        <v>248</v>
      </c>
      <c r="L642" t="str">
        <f>_xlfn.XLOOKUP(AllResponses[[#This Row],[QuestionID]], FinalQuestions!$A:$A, FinalQuestions!$D:$D,"")</f>
        <v>Consistency of Conduct Enforcement</v>
      </c>
    </row>
    <row r="643" spans="1:12" x14ac:dyDescent="0.35">
      <c r="A643" t="s">
        <v>107</v>
      </c>
      <c r="B643" t="s">
        <v>13</v>
      </c>
      <c r="F643">
        <v>100</v>
      </c>
      <c r="G643" t="s">
        <v>0</v>
      </c>
      <c r="H643" t="s">
        <v>85</v>
      </c>
      <c r="I643">
        <v>5</v>
      </c>
      <c r="J643">
        <v>1</v>
      </c>
      <c r="K643" t="s">
        <v>253</v>
      </c>
      <c r="L643" t="str">
        <f>_xlfn.XLOOKUP(AllResponses[[#This Row],[QuestionID]], FinalQuestions!$A:$A, FinalQuestions!$D:$D,"")</f>
        <v xml:space="preserve">Leadership Example‑Setting in Risk Management </v>
      </c>
    </row>
    <row r="644" spans="1:12" x14ac:dyDescent="0.35">
      <c r="A644" t="s">
        <v>107</v>
      </c>
      <c r="B644" t="s">
        <v>15</v>
      </c>
      <c r="F644">
        <v>80</v>
      </c>
      <c r="G644" t="s">
        <v>0</v>
      </c>
      <c r="H644" t="s">
        <v>2</v>
      </c>
      <c r="I644">
        <v>4</v>
      </c>
      <c r="J644">
        <v>1</v>
      </c>
      <c r="K644" t="s">
        <v>222</v>
      </c>
      <c r="L644" t="str">
        <f>_xlfn.XLOOKUP(AllResponses[[#This Row],[QuestionID]], FinalQuestions!$A:$A, FinalQuestions!$D:$D,"")</f>
        <v>Executive Commitment to Risk Culture</v>
      </c>
    </row>
    <row r="645" spans="1:12" x14ac:dyDescent="0.35">
      <c r="A645" t="s">
        <v>107</v>
      </c>
      <c r="B645" t="s">
        <v>17</v>
      </c>
      <c r="F645">
        <v>80</v>
      </c>
      <c r="G645" t="s">
        <v>0</v>
      </c>
      <c r="H645" t="s">
        <v>2</v>
      </c>
      <c r="I645">
        <v>4</v>
      </c>
      <c r="J645">
        <v>1</v>
      </c>
      <c r="K645" t="s">
        <v>223</v>
      </c>
      <c r="L645" t="str">
        <f>_xlfn.XLOOKUP(AllResponses[[#This Row],[QuestionID]], FinalQuestions!$A:$A, FinalQuestions!$D:$D,"")</f>
        <v>Leadership Encouragement to Escalate Risks</v>
      </c>
    </row>
    <row r="646" spans="1:12" x14ac:dyDescent="0.35">
      <c r="A646" t="s">
        <v>107</v>
      </c>
      <c r="B646" t="s">
        <v>19</v>
      </c>
      <c r="F646">
        <v>80</v>
      </c>
      <c r="G646" t="s">
        <v>0</v>
      </c>
      <c r="H646" t="s">
        <v>2</v>
      </c>
      <c r="I646">
        <v>4</v>
      </c>
      <c r="J646">
        <v>1</v>
      </c>
      <c r="K646" t="s">
        <v>224</v>
      </c>
      <c r="L646" t="str">
        <f>_xlfn.XLOOKUP(AllResponses[[#This Row],[QuestionID]], FinalQuestions!$A:$A, FinalQuestions!$D:$D,"")</f>
        <v>Long-Term Decision Awareness</v>
      </c>
    </row>
    <row r="647" spans="1:12" x14ac:dyDescent="0.35">
      <c r="A647" t="s">
        <v>107</v>
      </c>
      <c r="B647" t="s">
        <v>21</v>
      </c>
      <c r="F647">
        <v>80</v>
      </c>
      <c r="G647" t="s">
        <v>117</v>
      </c>
      <c r="H647" t="s">
        <v>2</v>
      </c>
      <c r="I647">
        <v>4</v>
      </c>
      <c r="J647">
        <v>1</v>
      </c>
      <c r="K647" t="s">
        <v>225</v>
      </c>
      <c r="L647" t="str">
        <f>_xlfn.XLOOKUP(AllResponses[[#This Row],[QuestionID]], FinalQuestions!$A:$A, FinalQuestions!$D:$D,"")</f>
        <v>Openness to Discussions</v>
      </c>
    </row>
    <row r="648" spans="1:12" x14ac:dyDescent="0.35">
      <c r="A648" t="s">
        <v>107</v>
      </c>
      <c r="B648" t="s">
        <v>23</v>
      </c>
      <c r="F648">
        <v>80</v>
      </c>
      <c r="G648" t="s">
        <v>117</v>
      </c>
      <c r="H648" t="s">
        <v>2</v>
      </c>
      <c r="I648">
        <v>4</v>
      </c>
      <c r="J648">
        <v>1</v>
      </c>
      <c r="K648" t="s">
        <v>226</v>
      </c>
      <c r="L648" t="str">
        <f>_xlfn.XLOOKUP(AllResponses[[#This Row],[QuestionID]], FinalQuestions!$A:$A, FinalQuestions!$D:$D,"")</f>
        <v>Access to Guidance</v>
      </c>
    </row>
    <row r="649" spans="1:12" x14ac:dyDescent="0.35">
      <c r="A649" t="s">
        <v>107</v>
      </c>
      <c r="B649" t="s">
        <v>25</v>
      </c>
      <c r="F649">
        <v>80</v>
      </c>
      <c r="G649" t="s">
        <v>117</v>
      </c>
      <c r="H649" t="s">
        <v>2</v>
      </c>
      <c r="I649">
        <v>4</v>
      </c>
      <c r="J649">
        <v>1</v>
      </c>
      <c r="K649" t="s">
        <v>227</v>
      </c>
      <c r="L649" t="str">
        <f>_xlfn.XLOOKUP(AllResponses[[#This Row],[QuestionID]], FinalQuestions!$A:$A, FinalQuestions!$D:$D,"")</f>
        <v>Openness to Sharing Opinions</v>
      </c>
    </row>
    <row r="650" spans="1:12" x14ac:dyDescent="0.35">
      <c r="A650" t="s">
        <v>107</v>
      </c>
      <c r="B650" t="s">
        <v>27</v>
      </c>
      <c r="F650">
        <v>80</v>
      </c>
      <c r="G650" t="s">
        <v>117</v>
      </c>
      <c r="H650" t="s">
        <v>2</v>
      </c>
      <c r="I650">
        <v>4</v>
      </c>
      <c r="J650">
        <v>1</v>
      </c>
      <c r="K650" t="s">
        <v>228</v>
      </c>
      <c r="L650" t="str">
        <f>_xlfn.XLOOKUP(AllResponses[[#This Row],[QuestionID]], FinalQuestions!$A:$A, FinalQuestions!$D:$D,"")</f>
        <v>Comfort in Reporting Risk Dilemmas</v>
      </c>
    </row>
    <row r="651" spans="1:12" x14ac:dyDescent="0.35">
      <c r="A651" t="s">
        <v>107</v>
      </c>
      <c r="B651" t="s">
        <v>29</v>
      </c>
      <c r="F651">
        <v>80</v>
      </c>
      <c r="G651" t="s">
        <v>3</v>
      </c>
      <c r="H651" t="s">
        <v>2</v>
      </c>
      <c r="I651">
        <v>4</v>
      </c>
      <c r="J651">
        <v>1</v>
      </c>
      <c r="K651" t="s">
        <v>229</v>
      </c>
      <c r="L651" t="str">
        <f>_xlfn.XLOOKUP(AllResponses[[#This Row],[QuestionID]], FinalQuestions!$A:$A, FinalQuestions!$D:$D,"")</f>
        <v>Adequacy of Risk Management Training</v>
      </c>
    </row>
    <row r="652" spans="1:12" x14ac:dyDescent="0.35">
      <c r="A652" t="s">
        <v>107</v>
      </c>
      <c r="B652" t="s">
        <v>31</v>
      </c>
      <c r="F652">
        <v>60</v>
      </c>
      <c r="G652" t="s">
        <v>3</v>
      </c>
      <c r="H652" t="s">
        <v>4</v>
      </c>
      <c r="I652">
        <v>3</v>
      </c>
      <c r="J652">
        <v>0</v>
      </c>
      <c r="K652" t="s">
        <v>230</v>
      </c>
      <c r="L652" t="str">
        <f>_xlfn.XLOOKUP(AllResponses[[#This Row],[QuestionID]], FinalQuestions!$A:$A, FinalQuestions!$D:$D,"")</f>
        <v>Workload Balance &amp; Resource Sufficiency</v>
      </c>
    </row>
    <row r="653" spans="1:12" x14ac:dyDescent="0.35">
      <c r="A653" t="s">
        <v>107</v>
      </c>
      <c r="B653" t="s">
        <v>33</v>
      </c>
      <c r="F653">
        <v>100</v>
      </c>
      <c r="G653" t="s">
        <v>3</v>
      </c>
      <c r="H653" t="s">
        <v>85</v>
      </c>
      <c r="I653">
        <v>5</v>
      </c>
      <c r="J653">
        <v>1</v>
      </c>
      <c r="K653" t="s">
        <v>231</v>
      </c>
      <c r="L653" t="str">
        <f>_xlfn.XLOOKUP(AllResponses[[#This Row],[QuestionID]], FinalQuestions!$A:$A, FinalQuestions!$D:$D,"")</f>
        <v>Realistic Target Setting</v>
      </c>
    </row>
    <row r="654" spans="1:12" x14ac:dyDescent="0.35">
      <c r="A654" t="s">
        <v>107</v>
      </c>
      <c r="B654" t="s">
        <v>35</v>
      </c>
      <c r="F654">
        <v>100</v>
      </c>
      <c r="G654" t="s">
        <v>3</v>
      </c>
      <c r="H654" t="s">
        <v>85</v>
      </c>
      <c r="I654">
        <v>5</v>
      </c>
      <c r="J654">
        <v>1</v>
      </c>
      <c r="K654" t="s">
        <v>232</v>
      </c>
      <c r="L654" t="str">
        <f>_xlfn.XLOOKUP(AllResponses[[#This Row],[QuestionID]], FinalQuestions!$A:$A, FinalQuestions!$D:$D,"")</f>
        <v>Risk Insight in Decision Making</v>
      </c>
    </row>
    <row r="655" spans="1:12" x14ac:dyDescent="0.35">
      <c r="A655" t="s">
        <v>107</v>
      </c>
      <c r="B655" t="s">
        <v>37</v>
      </c>
      <c r="F655">
        <v>80</v>
      </c>
      <c r="G655" t="s">
        <v>5</v>
      </c>
      <c r="H655" t="s">
        <v>2</v>
      </c>
      <c r="I655">
        <v>4</v>
      </c>
      <c r="J655">
        <v>1</v>
      </c>
      <c r="K655" t="s">
        <v>233</v>
      </c>
      <c r="L655" t="str">
        <f>_xlfn.XLOOKUP(AllResponses[[#This Row],[QuestionID]], FinalQuestions!$A:$A, FinalQuestions!$D:$D,"")</f>
        <v>Learning Culture from Non‑Compliance Cases</v>
      </c>
    </row>
    <row r="656" spans="1:12" x14ac:dyDescent="0.35">
      <c r="A656" t="s">
        <v>107</v>
      </c>
      <c r="B656" t="s">
        <v>39</v>
      </c>
      <c r="F656">
        <v>80</v>
      </c>
      <c r="G656" t="s">
        <v>5</v>
      </c>
      <c r="H656" t="s">
        <v>2</v>
      </c>
      <c r="I656">
        <v>4</v>
      </c>
      <c r="J656">
        <v>1</v>
      </c>
      <c r="K656" t="s">
        <v>234</v>
      </c>
      <c r="L656" t="str">
        <f>_xlfn.XLOOKUP(AllResponses[[#This Row],[QuestionID]], FinalQuestions!$A:$A, FinalQuestions!$D:$D,"")</f>
        <v>Organizational View on Risk Culture</v>
      </c>
    </row>
    <row r="657" spans="1:12" x14ac:dyDescent="0.35">
      <c r="A657" t="s">
        <v>107</v>
      </c>
      <c r="B657" t="s">
        <v>41</v>
      </c>
      <c r="F657">
        <v>100</v>
      </c>
      <c r="G657" t="s">
        <v>5</v>
      </c>
      <c r="H657" t="s">
        <v>85</v>
      </c>
      <c r="I657">
        <v>5</v>
      </c>
      <c r="J657">
        <v>1</v>
      </c>
      <c r="K657" t="s">
        <v>235</v>
      </c>
      <c r="L657" t="str">
        <f>_xlfn.XLOOKUP(AllResponses[[#This Row],[QuestionID]], FinalQuestions!$A:$A, FinalQuestions!$D:$D,"")</f>
        <v>Compliance Recognition &amp; enforcement</v>
      </c>
    </row>
    <row r="658" spans="1:12" x14ac:dyDescent="0.35">
      <c r="A658" t="s">
        <v>107</v>
      </c>
      <c r="B658" t="s">
        <v>43</v>
      </c>
      <c r="F658">
        <v>100</v>
      </c>
      <c r="G658" t="s">
        <v>5</v>
      </c>
      <c r="H658" t="s">
        <v>85</v>
      </c>
      <c r="I658">
        <v>5</v>
      </c>
      <c r="J658">
        <v>1</v>
      </c>
      <c r="K658" t="s">
        <v>236</v>
      </c>
      <c r="L658" t="str">
        <f>_xlfn.XLOOKUP(AllResponses[[#This Row],[QuestionID]], FinalQuestions!$A:$A, FinalQuestions!$D:$D,"")</f>
        <v>Sense of Ownership</v>
      </c>
    </row>
    <row r="659" spans="1:12" x14ac:dyDescent="0.35">
      <c r="A659" t="s">
        <v>107</v>
      </c>
      <c r="B659" t="s">
        <v>45</v>
      </c>
      <c r="F659">
        <v>100</v>
      </c>
      <c r="G659" t="s">
        <v>7</v>
      </c>
      <c r="H659" t="s">
        <v>85</v>
      </c>
      <c r="I659">
        <v>5</v>
      </c>
      <c r="J659">
        <v>1</v>
      </c>
      <c r="K659" t="s">
        <v>237</v>
      </c>
      <c r="L659" t="str">
        <f>_xlfn.XLOOKUP(AllResponses[[#This Row],[QuestionID]], FinalQuestions!$A:$A, FinalQuestions!$D:$D,"")</f>
        <v>Clarity of Role and Responsibilities</v>
      </c>
    </row>
    <row r="660" spans="1:12" x14ac:dyDescent="0.35">
      <c r="A660" t="s">
        <v>107</v>
      </c>
      <c r="B660" t="s">
        <v>47</v>
      </c>
      <c r="F660">
        <v>100</v>
      </c>
      <c r="G660" t="s">
        <v>7</v>
      </c>
      <c r="H660" t="s">
        <v>85</v>
      </c>
      <c r="I660">
        <v>5</v>
      </c>
      <c r="J660">
        <v>1</v>
      </c>
      <c r="K660" t="s">
        <v>238</v>
      </c>
      <c r="L660" t="str">
        <f>_xlfn.XLOOKUP(AllResponses[[#This Row],[QuestionID]], FinalQuestions!$A:$A, FinalQuestions!$D:$D,"")</f>
        <v>Understanding of Risk Policies &amp; Procedures</v>
      </c>
    </row>
    <row r="661" spans="1:12" x14ac:dyDescent="0.35">
      <c r="A661" t="s">
        <v>107</v>
      </c>
      <c r="B661" t="s">
        <v>49</v>
      </c>
      <c r="F661">
        <v>100</v>
      </c>
      <c r="G661" t="s">
        <v>7</v>
      </c>
      <c r="H661" t="s">
        <v>85</v>
      </c>
      <c r="I661">
        <v>5</v>
      </c>
      <c r="J661">
        <v>1</v>
      </c>
      <c r="K661" t="s">
        <v>239</v>
      </c>
      <c r="L661" t="str">
        <f>_xlfn.XLOOKUP(AllResponses[[#This Row],[QuestionID]], FinalQuestions!$A:$A, FinalQuestions!$D:$D,"")</f>
        <v>Clarity of Personal Risk Boundaries</v>
      </c>
    </row>
    <row r="662" spans="1:12" x14ac:dyDescent="0.35">
      <c r="A662" t="s">
        <v>107</v>
      </c>
      <c r="B662" t="s">
        <v>51</v>
      </c>
      <c r="F662">
        <v>100</v>
      </c>
      <c r="G662" t="s">
        <v>7</v>
      </c>
      <c r="H662" t="s">
        <v>85</v>
      </c>
      <c r="I662">
        <v>5</v>
      </c>
      <c r="J662">
        <v>1</v>
      </c>
      <c r="K662" t="s">
        <v>240</v>
      </c>
      <c r="L662" t="str">
        <f>_xlfn.XLOOKUP(AllResponses[[#This Row],[QuestionID]], FinalQuestions!$A:$A, FinalQuestions!$D:$D,"")</f>
        <v>Effectiveness of Risk Communication &amp; Training</v>
      </c>
    </row>
    <row r="663" spans="1:12" x14ac:dyDescent="0.35">
      <c r="A663" t="s">
        <v>107</v>
      </c>
      <c r="B663" t="s">
        <v>53</v>
      </c>
      <c r="F663">
        <v>100</v>
      </c>
      <c r="G663" t="s">
        <v>8</v>
      </c>
      <c r="H663" t="s">
        <v>85</v>
      </c>
      <c r="I663">
        <v>5</v>
      </c>
      <c r="J663">
        <v>1</v>
      </c>
      <c r="K663" t="s">
        <v>249</v>
      </c>
      <c r="L663" t="str">
        <f>_xlfn.XLOOKUP(AllResponses[[#This Row],[QuestionID]], FinalQuestions!$A:$A, FinalQuestions!$D:$D,"")</f>
        <v>Compliance Confidence in team</v>
      </c>
    </row>
    <row r="664" spans="1:12" x14ac:dyDescent="0.35">
      <c r="A664" t="s">
        <v>107</v>
      </c>
      <c r="B664" t="s">
        <v>55</v>
      </c>
      <c r="F664">
        <v>80</v>
      </c>
      <c r="G664" t="s">
        <v>8</v>
      </c>
      <c r="H664" t="s">
        <v>2</v>
      </c>
      <c r="I664">
        <v>4</v>
      </c>
      <c r="J664">
        <v>1</v>
      </c>
      <c r="K664" t="s">
        <v>250</v>
      </c>
      <c r="L664" t="str">
        <f>_xlfn.XLOOKUP(AllResponses[[#This Row],[QuestionID]], FinalQuestions!$A:$A, FinalQuestions!$D:$D,"")</f>
        <v>Transparency in Decision‑Making</v>
      </c>
    </row>
    <row r="665" spans="1:12" x14ac:dyDescent="0.35">
      <c r="A665" t="s">
        <v>107</v>
      </c>
      <c r="B665" t="s">
        <v>57</v>
      </c>
      <c r="F665">
        <v>80</v>
      </c>
      <c r="G665" t="s">
        <v>8</v>
      </c>
      <c r="H665" t="s">
        <v>2</v>
      </c>
      <c r="I665">
        <v>4</v>
      </c>
      <c r="J665">
        <v>1</v>
      </c>
      <c r="K665" t="s">
        <v>251</v>
      </c>
      <c r="L665" t="str">
        <f>_xlfn.XLOOKUP(AllResponses[[#This Row],[QuestionID]], FinalQuestions!$A:$A, FinalQuestions!$D:$D,"")</f>
        <v>Fairness &amp; Equity of Expectations</v>
      </c>
    </row>
    <row r="666" spans="1:12" x14ac:dyDescent="0.35">
      <c r="A666" t="s">
        <v>107</v>
      </c>
      <c r="B666" t="s">
        <v>59</v>
      </c>
      <c r="F666">
        <v>80</v>
      </c>
      <c r="G666" t="s">
        <v>8</v>
      </c>
      <c r="H666" t="s">
        <v>2</v>
      </c>
      <c r="I666">
        <v>4</v>
      </c>
      <c r="J666">
        <v>1</v>
      </c>
      <c r="K666" t="s">
        <v>252</v>
      </c>
      <c r="L666" t="str">
        <f>_xlfn.XLOOKUP(AllResponses[[#This Row],[QuestionID]], FinalQuestions!$A:$A, FinalQuestions!$D:$D,"")</f>
        <v>Leadership Awareness in the team</v>
      </c>
    </row>
    <row r="667" spans="1:12" x14ac:dyDescent="0.35">
      <c r="A667" t="s">
        <v>107</v>
      </c>
      <c r="B667" t="s">
        <v>61</v>
      </c>
      <c r="F667">
        <v>80</v>
      </c>
      <c r="G667" t="s">
        <v>9</v>
      </c>
      <c r="H667" t="s">
        <v>2</v>
      </c>
      <c r="I667">
        <v>4</v>
      </c>
      <c r="J667">
        <v>1</v>
      </c>
      <c r="K667" t="s">
        <v>241</v>
      </c>
      <c r="L667" t="str">
        <f>_xlfn.XLOOKUP(AllResponses[[#This Row],[QuestionID]], FinalQuestions!$A:$A, FinalQuestions!$D:$D,"")</f>
        <v>Motivation for Risk Ownership</v>
      </c>
    </row>
    <row r="668" spans="1:12" x14ac:dyDescent="0.35">
      <c r="A668" t="s">
        <v>107</v>
      </c>
      <c r="B668" t="s">
        <v>63</v>
      </c>
      <c r="F668">
        <v>80</v>
      </c>
      <c r="G668" t="s">
        <v>9</v>
      </c>
      <c r="H668" t="s">
        <v>2</v>
      </c>
      <c r="I668">
        <v>4</v>
      </c>
      <c r="J668">
        <v>1</v>
      </c>
      <c r="K668" t="s">
        <v>242</v>
      </c>
      <c r="L668" t="str">
        <f>_xlfn.XLOOKUP(AllResponses[[#This Row],[QuestionID]], FinalQuestions!$A:$A, FinalQuestions!$D:$D,"")</f>
        <v>Sense of Belonging to the Organization</v>
      </c>
    </row>
    <row r="669" spans="1:12" x14ac:dyDescent="0.35">
      <c r="A669" t="s">
        <v>107</v>
      </c>
      <c r="B669" t="s">
        <v>65</v>
      </c>
      <c r="F669">
        <v>80</v>
      </c>
      <c r="G669" t="s">
        <v>9</v>
      </c>
      <c r="H669" t="s">
        <v>2</v>
      </c>
      <c r="I669">
        <v>4</v>
      </c>
      <c r="J669">
        <v>1</v>
      </c>
      <c r="K669" t="s">
        <v>243</v>
      </c>
      <c r="L669" t="str">
        <f>_xlfn.XLOOKUP(AllResponses[[#This Row],[QuestionID]], FinalQuestions!$A:$A, FinalQuestions!$D:$D,"")</f>
        <v>Consideration of Impact on Others</v>
      </c>
    </row>
    <row r="670" spans="1:12" x14ac:dyDescent="0.35">
      <c r="A670" t="s">
        <v>107</v>
      </c>
      <c r="B670" t="s">
        <v>67</v>
      </c>
      <c r="F670">
        <v>80</v>
      </c>
      <c r="G670" t="s">
        <v>9</v>
      </c>
      <c r="H670" t="s">
        <v>2</v>
      </c>
      <c r="I670">
        <v>4</v>
      </c>
      <c r="J670">
        <v>1</v>
      </c>
      <c r="K670" t="s">
        <v>244</v>
      </c>
      <c r="L670" t="str">
        <f>_xlfn.XLOOKUP(AllResponses[[#This Row],[QuestionID]], FinalQuestions!$A:$A, FinalQuestions!$D:$D,"")</f>
        <v>Accountability for Risk Actions</v>
      </c>
    </row>
    <row r="671" spans="1:12" x14ac:dyDescent="0.35">
      <c r="A671" t="s">
        <v>107</v>
      </c>
      <c r="B671" t="s">
        <v>69</v>
      </c>
      <c r="F671">
        <v>80</v>
      </c>
      <c r="G671" t="s">
        <v>10</v>
      </c>
      <c r="H671" t="s">
        <v>2</v>
      </c>
      <c r="I671">
        <v>4</v>
      </c>
      <c r="J671">
        <v>1</v>
      </c>
      <c r="K671" t="s">
        <v>245</v>
      </c>
      <c r="L671" t="str">
        <f>_xlfn.XLOOKUP(AllResponses[[#This Row],[QuestionID]], FinalQuestions!$A:$A, FinalQuestions!$D:$D,"")</f>
        <v xml:space="preserve">Peer to peer Accountability </v>
      </c>
    </row>
    <row r="672" spans="1:12" x14ac:dyDescent="0.35">
      <c r="A672" t="s">
        <v>107</v>
      </c>
      <c r="B672" t="s">
        <v>71</v>
      </c>
      <c r="F672">
        <v>60</v>
      </c>
      <c r="G672" t="s">
        <v>10</v>
      </c>
      <c r="H672" t="s">
        <v>4</v>
      </c>
      <c r="I672">
        <v>3</v>
      </c>
      <c r="J672">
        <v>0</v>
      </c>
      <c r="K672" t="s">
        <v>246</v>
      </c>
      <c r="L672" t="str">
        <f>_xlfn.XLOOKUP(AllResponses[[#This Row],[QuestionID]], FinalQuestions!$A:$A, FinalQuestions!$D:$D,"")</f>
        <v>Timely Resolution of Accountability Issues</v>
      </c>
    </row>
    <row r="673" spans="1:12" x14ac:dyDescent="0.35">
      <c r="A673" t="s">
        <v>107</v>
      </c>
      <c r="B673" t="s">
        <v>73</v>
      </c>
      <c r="F673">
        <v>100</v>
      </c>
      <c r="G673" t="s">
        <v>10</v>
      </c>
      <c r="H673" t="s">
        <v>85</v>
      </c>
      <c r="I673">
        <v>5</v>
      </c>
      <c r="J673">
        <v>1</v>
      </c>
      <c r="K673" t="s">
        <v>247</v>
      </c>
      <c r="L673" t="str">
        <f>_xlfn.XLOOKUP(AllResponses[[#This Row],[QuestionID]], FinalQuestions!$A:$A, FinalQuestions!$D:$D,"")</f>
        <v>Comfort for Reporting Non‑Compliance.</v>
      </c>
    </row>
    <row r="674" spans="1:12" x14ac:dyDescent="0.35">
      <c r="A674" t="s">
        <v>107</v>
      </c>
      <c r="B674" t="s">
        <v>75</v>
      </c>
      <c r="F674">
        <v>100</v>
      </c>
      <c r="G674" t="s">
        <v>10</v>
      </c>
      <c r="H674" t="s">
        <v>85</v>
      </c>
      <c r="I674">
        <v>5</v>
      </c>
      <c r="J674">
        <v>1</v>
      </c>
      <c r="K674" t="s">
        <v>248</v>
      </c>
      <c r="L674" t="str">
        <f>_xlfn.XLOOKUP(AllResponses[[#This Row],[QuestionID]], FinalQuestions!$A:$A, FinalQuestions!$D:$D,"")</f>
        <v>Consistency of Conduct Enforcement</v>
      </c>
    </row>
    <row r="675" spans="1:12" x14ac:dyDescent="0.35">
      <c r="A675" t="s">
        <v>108</v>
      </c>
      <c r="B675" t="s">
        <v>13</v>
      </c>
      <c r="F675">
        <v>80</v>
      </c>
      <c r="G675" t="s">
        <v>0</v>
      </c>
      <c r="H675" t="s">
        <v>2</v>
      </c>
      <c r="I675">
        <v>4</v>
      </c>
      <c r="J675">
        <v>1</v>
      </c>
      <c r="K675" t="s">
        <v>253</v>
      </c>
      <c r="L675" t="str">
        <f>_xlfn.XLOOKUP(AllResponses[[#This Row],[QuestionID]], FinalQuestions!$A:$A, FinalQuestions!$D:$D,"")</f>
        <v xml:space="preserve">Leadership Example‑Setting in Risk Management </v>
      </c>
    </row>
    <row r="676" spans="1:12" x14ac:dyDescent="0.35">
      <c r="A676" t="s">
        <v>108</v>
      </c>
      <c r="B676" t="s">
        <v>15</v>
      </c>
      <c r="F676">
        <v>80</v>
      </c>
      <c r="G676" t="s">
        <v>0</v>
      </c>
      <c r="H676" t="s">
        <v>2</v>
      </c>
      <c r="I676">
        <v>4</v>
      </c>
      <c r="J676">
        <v>1</v>
      </c>
      <c r="K676" t="s">
        <v>222</v>
      </c>
      <c r="L676" t="str">
        <f>_xlfn.XLOOKUP(AllResponses[[#This Row],[QuestionID]], FinalQuestions!$A:$A, FinalQuestions!$D:$D,"")</f>
        <v>Executive Commitment to Risk Culture</v>
      </c>
    </row>
    <row r="677" spans="1:12" x14ac:dyDescent="0.35">
      <c r="A677" t="s">
        <v>108</v>
      </c>
      <c r="B677" t="s">
        <v>17</v>
      </c>
      <c r="F677">
        <v>100</v>
      </c>
      <c r="G677" t="s">
        <v>0</v>
      </c>
      <c r="H677" t="s">
        <v>85</v>
      </c>
      <c r="I677">
        <v>5</v>
      </c>
      <c r="J677">
        <v>1</v>
      </c>
      <c r="K677" t="s">
        <v>223</v>
      </c>
      <c r="L677" t="str">
        <f>_xlfn.XLOOKUP(AllResponses[[#This Row],[QuestionID]], FinalQuestions!$A:$A, FinalQuestions!$D:$D,"")</f>
        <v>Leadership Encouragement to Escalate Risks</v>
      </c>
    </row>
    <row r="678" spans="1:12" x14ac:dyDescent="0.35">
      <c r="A678" t="s">
        <v>108</v>
      </c>
      <c r="B678" t="s">
        <v>19</v>
      </c>
      <c r="F678">
        <v>100</v>
      </c>
      <c r="G678" t="s">
        <v>0</v>
      </c>
      <c r="H678" t="s">
        <v>85</v>
      </c>
      <c r="I678">
        <v>5</v>
      </c>
      <c r="J678">
        <v>1</v>
      </c>
      <c r="K678" t="s">
        <v>224</v>
      </c>
      <c r="L678" t="str">
        <f>_xlfn.XLOOKUP(AllResponses[[#This Row],[QuestionID]], FinalQuestions!$A:$A, FinalQuestions!$D:$D,"")</f>
        <v>Long-Term Decision Awareness</v>
      </c>
    </row>
    <row r="679" spans="1:12" x14ac:dyDescent="0.35">
      <c r="A679" t="s">
        <v>108</v>
      </c>
      <c r="B679" t="s">
        <v>21</v>
      </c>
      <c r="F679">
        <v>100</v>
      </c>
      <c r="G679" t="s">
        <v>117</v>
      </c>
      <c r="H679" t="s">
        <v>85</v>
      </c>
      <c r="I679">
        <v>5</v>
      </c>
      <c r="J679">
        <v>1</v>
      </c>
      <c r="K679" t="s">
        <v>225</v>
      </c>
      <c r="L679" t="str">
        <f>_xlfn.XLOOKUP(AllResponses[[#This Row],[QuestionID]], FinalQuestions!$A:$A, FinalQuestions!$D:$D,"")</f>
        <v>Openness to Discussions</v>
      </c>
    </row>
    <row r="680" spans="1:12" x14ac:dyDescent="0.35">
      <c r="A680" t="s">
        <v>108</v>
      </c>
      <c r="B680" t="s">
        <v>23</v>
      </c>
      <c r="F680">
        <v>100</v>
      </c>
      <c r="G680" t="s">
        <v>117</v>
      </c>
      <c r="H680" t="s">
        <v>85</v>
      </c>
      <c r="I680">
        <v>5</v>
      </c>
      <c r="J680">
        <v>1</v>
      </c>
      <c r="K680" t="s">
        <v>226</v>
      </c>
      <c r="L680" t="str">
        <f>_xlfn.XLOOKUP(AllResponses[[#This Row],[QuestionID]], FinalQuestions!$A:$A, FinalQuestions!$D:$D,"")</f>
        <v>Access to Guidance</v>
      </c>
    </row>
    <row r="681" spans="1:12" x14ac:dyDescent="0.35">
      <c r="A681" t="s">
        <v>108</v>
      </c>
      <c r="B681" t="s">
        <v>25</v>
      </c>
      <c r="F681">
        <v>100</v>
      </c>
      <c r="G681" t="s">
        <v>117</v>
      </c>
      <c r="H681" t="s">
        <v>85</v>
      </c>
      <c r="I681">
        <v>5</v>
      </c>
      <c r="J681">
        <v>1</v>
      </c>
      <c r="K681" t="s">
        <v>227</v>
      </c>
      <c r="L681" t="str">
        <f>_xlfn.XLOOKUP(AllResponses[[#This Row],[QuestionID]], FinalQuestions!$A:$A, FinalQuestions!$D:$D,"")</f>
        <v>Openness to Sharing Opinions</v>
      </c>
    </row>
    <row r="682" spans="1:12" x14ac:dyDescent="0.35">
      <c r="A682" t="s">
        <v>108</v>
      </c>
      <c r="B682" t="s">
        <v>27</v>
      </c>
      <c r="F682">
        <v>100</v>
      </c>
      <c r="G682" t="s">
        <v>117</v>
      </c>
      <c r="H682" t="s">
        <v>85</v>
      </c>
      <c r="I682">
        <v>5</v>
      </c>
      <c r="J682">
        <v>1</v>
      </c>
      <c r="K682" t="s">
        <v>228</v>
      </c>
      <c r="L682" t="str">
        <f>_xlfn.XLOOKUP(AllResponses[[#This Row],[QuestionID]], FinalQuestions!$A:$A, FinalQuestions!$D:$D,"")</f>
        <v>Comfort in Reporting Risk Dilemmas</v>
      </c>
    </row>
    <row r="683" spans="1:12" x14ac:dyDescent="0.35">
      <c r="A683" t="s">
        <v>108</v>
      </c>
      <c r="B683" t="s">
        <v>29</v>
      </c>
      <c r="F683">
        <v>100</v>
      </c>
      <c r="G683" t="s">
        <v>3</v>
      </c>
      <c r="H683" t="s">
        <v>85</v>
      </c>
      <c r="I683">
        <v>5</v>
      </c>
      <c r="J683">
        <v>1</v>
      </c>
      <c r="K683" t="s">
        <v>229</v>
      </c>
      <c r="L683" t="str">
        <f>_xlfn.XLOOKUP(AllResponses[[#This Row],[QuestionID]], FinalQuestions!$A:$A, FinalQuestions!$D:$D,"")</f>
        <v>Adequacy of Risk Management Training</v>
      </c>
    </row>
    <row r="684" spans="1:12" x14ac:dyDescent="0.35">
      <c r="A684" t="s">
        <v>108</v>
      </c>
      <c r="B684" t="s">
        <v>31</v>
      </c>
      <c r="F684">
        <v>80</v>
      </c>
      <c r="G684" t="s">
        <v>3</v>
      </c>
      <c r="H684" t="s">
        <v>2</v>
      </c>
      <c r="I684">
        <v>4</v>
      </c>
      <c r="J684">
        <v>1</v>
      </c>
      <c r="K684" t="s">
        <v>230</v>
      </c>
      <c r="L684" t="str">
        <f>_xlfn.XLOOKUP(AllResponses[[#This Row],[QuestionID]], FinalQuestions!$A:$A, FinalQuestions!$D:$D,"")</f>
        <v>Workload Balance &amp; Resource Sufficiency</v>
      </c>
    </row>
    <row r="685" spans="1:12" x14ac:dyDescent="0.35">
      <c r="A685" t="s">
        <v>108</v>
      </c>
      <c r="B685" t="s">
        <v>33</v>
      </c>
      <c r="F685">
        <v>80</v>
      </c>
      <c r="G685" t="s">
        <v>3</v>
      </c>
      <c r="H685" t="s">
        <v>2</v>
      </c>
      <c r="I685">
        <v>4</v>
      </c>
      <c r="J685">
        <v>1</v>
      </c>
      <c r="K685" t="s">
        <v>231</v>
      </c>
      <c r="L685" t="str">
        <f>_xlfn.XLOOKUP(AllResponses[[#This Row],[QuestionID]], FinalQuestions!$A:$A, FinalQuestions!$D:$D,"")</f>
        <v>Realistic Target Setting</v>
      </c>
    </row>
    <row r="686" spans="1:12" x14ac:dyDescent="0.35">
      <c r="A686" t="s">
        <v>108</v>
      </c>
      <c r="B686" t="s">
        <v>35</v>
      </c>
      <c r="F686">
        <v>80</v>
      </c>
      <c r="G686" t="s">
        <v>3</v>
      </c>
      <c r="H686" t="s">
        <v>2</v>
      </c>
      <c r="I686">
        <v>4</v>
      </c>
      <c r="J686">
        <v>1</v>
      </c>
      <c r="K686" t="s">
        <v>232</v>
      </c>
      <c r="L686" t="str">
        <f>_xlfn.XLOOKUP(AllResponses[[#This Row],[QuestionID]], FinalQuestions!$A:$A, FinalQuestions!$D:$D,"")</f>
        <v>Risk Insight in Decision Making</v>
      </c>
    </row>
    <row r="687" spans="1:12" x14ac:dyDescent="0.35">
      <c r="A687" t="s">
        <v>108</v>
      </c>
      <c r="B687" t="s">
        <v>37</v>
      </c>
      <c r="F687">
        <v>80</v>
      </c>
      <c r="G687" t="s">
        <v>5</v>
      </c>
      <c r="H687" t="s">
        <v>2</v>
      </c>
      <c r="I687">
        <v>4</v>
      </c>
      <c r="J687">
        <v>1</v>
      </c>
      <c r="K687" t="s">
        <v>233</v>
      </c>
      <c r="L687" t="str">
        <f>_xlfn.XLOOKUP(AllResponses[[#This Row],[QuestionID]], FinalQuestions!$A:$A, FinalQuestions!$D:$D,"")</f>
        <v>Learning Culture from Non‑Compliance Cases</v>
      </c>
    </row>
    <row r="688" spans="1:12" x14ac:dyDescent="0.35">
      <c r="A688" t="s">
        <v>108</v>
      </c>
      <c r="B688" t="s">
        <v>39</v>
      </c>
      <c r="F688">
        <v>80</v>
      </c>
      <c r="G688" t="s">
        <v>5</v>
      </c>
      <c r="H688" t="s">
        <v>2</v>
      </c>
      <c r="I688">
        <v>4</v>
      </c>
      <c r="J688">
        <v>1</v>
      </c>
      <c r="K688" t="s">
        <v>234</v>
      </c>
      <c r="L688" t="str">
        <f>_xlfn.XLOOKUP(AllResponses[[#This Row],[QuestionID]], FinalQuestions!$A:$A, FinalQuestions!$D:$D,"")</f>
        <v>Organizational View on Risk Culture</v>
      </c>
    </row>
    <row r="689" spans="1:12" x14ac:dyDescent="0.35">
      <c r="A689" t="s">
        <v>108</v>
      </c>
      <c r="B689" t="s">
        <v>41</v>
      </c>
      <c r="F689">
        <v>80</v>
      </c>
      <c r="G689" t="s">
        <v>5</v>
      </c>
      <c r="H689" t="s">
        <v>2</v>
      </c>
      <c r="I689">
        <v>4</v>
      </c>
      <c r="J689">
        <v>1</v>
      </c>
      <c r="K689" t="s">
        <v>235</v>
      </c>
      <c r="L689" t="str">
        <f>_xlfn.XLOOKUP(AllResponses[[#This Row],[QuestionID]], FinalQuestions!$A:$A, FinalQuestions!$D:$D,"")</f>
        <v>Compliance Recognition &amp; enforcement</v>
      </c>
    </row>
    <row r="690" spans="1:12" x14ac:dyDescent="0.35">
      <c r="A690" t="s">
        <v>108</v>
      </c>
      <c r="B690" t="s">
        <v>43</v>
      </c>
      <c r="F690">
        <v>80</v>
      </c>
      <c r="G690" t="s">
        <v>5</v>
      </c>
      <c r="H690" t="s">
        <v>2</v>
      </c>
      <c r="I690">
        <v>4</v>
      </c>
      <c r="J690">
        <v>1</v>
      </c>
      <c r="K690" t="s">
        <v>236</v>
      </c>
      <c r="L690" t="str">
        <f>_xlfn.XLOOKUP(AllResponses[[#This Row],[QuestionID]], FinalQuestions!$A:$A, FinalQuestions!$D:$D,"")</f>
        <v>Sense of Ownership</v>
      </c>
    </row>
    <row r="691" spans="1:12" x14ac:dyDescent="0.35">
      <c r="A691" t="s">
        <v>108</v>
      </c>
      <c r="B691" t="s">
        <v>45</v>
      </c>
      <c r="F691">
        <v>80</v>
      </c>
      <c r="G691" t="s">
        <v>7</v>
      </c>
      <c r="H691" t="s">
        <v>2</v>
      </c>
      <c r="I691">
        <v>4</v>
      </c>
      <c r="J691">
        <v>1</v>
      </c>
      <c r="K691" t="s">
        <v>237</v>
      </c>
      <c r="L691" t="str">
        <f>_xlfn.XLOOKUP(AllResponses[[#This Row],[QuestionID]], FinalQuestions!$A:$A, FinalQuestions!$D:$D,"")</f>
        <v>Clarity of Role and Responsibilities</v>
      </c>
    </row>
    <row r="692" spans="1:12" x14ac:dyDescent="0.35">
      <c r="A692" t="s">
        <v>108</v>
      </c>
      <c r="B692" t="s">
        <v>47</v>
      </c>
      <c r="F692">
        <v>60</v>
      </c>
      <c r="G692" t="s">
        <v>7</v>
      </c>
      <c r="H692" t="s">
        <v>4</v>
      </c>
      <c r="I692">
        <v>3</v>
      </c>
      <c r="J692">
        <v>0</v>
      </c>
      <c r="K692" t="s">
        <v>238</v>
      </c>
      <c r="L692" t="str">
        <f>_xlfn.XLOOKUP(AllResponses[[#This Row],[QuestionID]], FinalQuestions!$A:$A, FinalQuestions!$D:$D,"")</f>
        <v>Understanding of Risk Policies &amp; Procedures</v>
      </c>
    </row>
    <row r="693" spans="1:12" x14ac:dyDescent="0.35">
      <c r="A693" t="s">
        <v>108</v>
      </c>
      <c r="B693" t="s">
        <v>49</v>
      </c>
      <c r="F693">
        <v>100</v>
      </c>
      <c r="G693" t="s">
        <v>7</v>
      </c>
      <c r="H693" t="s">
        <v>85</v>
      </c>
      <c r="I693">
        <v>5</v>
      </c>
      <c r="J693">
        <v>1</v>
      </c>
      <c r="K693" t="s">
        <v>239</v>
      </c>
      <c r="L693" t="str">
        <f>_xlfn.XLOOKUP(AllResponses[[#This Row],[QuestionID]], FinalQuestions!$A:$A, FinalQuestions!$D:$D,"")</f>
        <v>Clarity of Personal Risk Boundaries</v>
      </c>
    </row>
    <row r="694" spans="1:12" x14ac:dyDescent="0.35">
      <c r="A694" t="s">
        <v>108</v>
      </c>
      <c r="B694" t="s">
        <v>51</v>
      </c>
      <c r="F694">
        <v>100</v>
      </c>
      <c r="G694" t="s">
        <v>7</v>
      </c>
      <c r="H694" t="s">
        <v>85</v>
      </c>
      <c r="I694">
        <v>5</v>
      </c>
      <c r="J694">
        <v>1</v>
      </c>
      <c r="K694" t="s">
        <v>240</v>
      </c>
      <c r="L694" t="str">
        <f>_xlfn.XLOOKUP(AllResponses[[#This Row],[QuestionID]], FinalQuestions!$A:$A, FinalQuestions!$D:$D,"")</f>
        <v>Effectiveness of Risk Communication &amp; Training</v>
      </c>
    </row>
    <row r="695" spans="1:12" x14ac:dyDescent="0.35">
      <c r="A695" t="s">
        <v>108</v>
      </c>
      <c r="B695" t="s">
        <v>53</v>
      </c>
      <c r="F695">
        <v>80</v>
      </c>
      <c r="G695" t="s">
        <v>8</v>
      </c>
      <c r="H695" t="s">
        <v>2</v>
      </c>
      <c r="I695">
        <v>4</v>
      </c>
      <c r="J695">
        <v>1</v>
      </c>
      <c r="K695" t="s">
        <v>249</v>
      </c>
      <c r="L695" t="str">
        <f>_xlfn.XLOOKUP(AllResponses[[#This Row],[QuestionID]], FinalQuestions!$A:$A, FinalQuestions!$D:$D,"")</f>
        <v>Compliance Confidence in team</v>
      </c>
    </row>
    <row r="696" spans="1:12" x14ac:dyDescent="0.35">
      <c r="A696" t="s">
        <v>108</v>
      </c>
      <c r="B696" t="s">
        <v>55</v>
      </c>
      <c r="F696">
        <v>80</v>
      </c>
      <c r="G696" t="s">
        <v>8</v>
      </c>
      <c r="H696" t="s">
        <v>2</v>
      </c>
      <c r="I696">
        <v>4</v>
      </c>
      <c r="J696">
        <v>1</v>
      </c>
      <c r="K696" t="s">
        <v>250</v>
      </c>
      <c r="L696" t="str">
        <f>_xlfn.XLOOKUP(AllResponses[[#This Row],[QuestionID]], FinalQuestions!$A:$A, FinalQuestions!$D:$D,"")</f>
        <v>Transparency in Decision‑Making</v>
      </c>
    </row>
    <row r="697" spans="1:12" x14ac:dyDescent="0.35">
      <c r="A697" t="s">
        <v>108</v>
      </c>
      <c r="B697" t="s">
        <v>57</v>
      </c>
      <c r="F697">
        <v>100</v>
      </c>
      <c r="G697" t="s">
        <v>8</v>
      </c>
      <c r="H697" t="s">
        <v>85</v>
      </c>
      <c r="I697">
        <v>5</v>
      </c>
      <c r="J697">
        <v>1</v>
      </c>
      <c r="K697" t="s">
        <v>251</v>
      </c>
      <c r="L697" t="str">
        <f>_xlfn.XLOOKUP(AllResponses[[#This Row],[QuestionID]], FinalQuestions!$A:$A, FinalQuestions!$D:$D,"")</f>
        <v>Fairness &amp; Equity of Expectations</v>
      </c>
    </row>
    <row r="698" spans="1:12" x14ac:dyDescent="0.35">
      <c r="A698" t="s">
        <v>108</v>
      </c>
      <c r="B698" t="s">
        <v>59</v>
      </c>
      <c r="F698">
        <v>100</v>
      </c>
      <c r="G698" t="s">
        <v>8</v>
      </c>
      <c r="H698" t="s">
        <v>85</v>
      </c>
      <c r="I698">
        <v>5</v>
      </c>
      <c r="J698">
        <v>1</v>
      </c>
      <c r="K698" t="s">
        <v>252</v>
      </c>
      <c r="L698" t="str">
        <f>_xlfn.XLOOKUP(AllResponses[[#This Row],[QuestionID]], FinalQuestions!$A:$A, FinalQuestions!$D:$D,"")</f>
        <v>Leadership Awareness in the team</v>
      </c>
    </row>
    <row r="699" spans="1:12" x14ac:dyDescent="0.35">
      <c r="A699" t="s">
        <v>108</v>
      </c>
      <c r="B699" t="s">
        <v>61</v>
      </c>
      <c r="F699">
        <v>100</v>
      </c>
      <c r="G699" t="s">
        <v>9</v>
      </c>
      <c r="H699" t="s">
        <v>85</v>
      </c>
      <c r="I699">
        <v>5</v>
      </c>
      <c r="J699">
        <v>1</v>
      </c>
      <c r="K699" t="s">
        <v>241</v>
      </c>
      <c r="L699" t="str">
        <f>_xlfn.XLOOKUP(AllResponses[[#This Row],[QuestionID]], FinalQuestions!$A:$A, FinalQuestions!$D:$D,"")</f>
        <v>Motivation for Risk Ownership</v>
      </c>
    </row>
    <row r="700" spans="1:12" x14ac:dyDescent="0.35">
      <c r="A700" t="s">
        <v>108</v>
      </c>
      <c r="B700" t="s">
        <v>63</v>
      </c>
      <c r="F700">
        <v>100</v>
      </c>
      <c r="G700" t="s">
        <v>9</v>
      </c>
      <c r="H700" t="s">
        <v>85</v>
      </c>
      <c r="I700">
        <v>5</v>
      </c>
      <c r="J700">
        <v>1</v>
      </c>
      <c r="K700" t="s">
        <v>242</v>
      </c>
      <c r="L700" t="str">
        <f>_xlfn.XLOOKUP(AllResponses[[#This Row],[QuestionID]], FinalQuestions!$A:$A, FinalQuestions!$D:$D,"")</f>
        <v>Sense of Belonging to the Organization</v>
      </c>
    </row>
    <row r="701" spans="1:12" x14ac:dyDescent="0.35">
      <c r="A701" t="s">
        <v>108</v>
      </c>
      <c r="B701" t="s">
        <v>65</v>
      </c>
      <c r="F701">
        <v>100</v>
      </c>
      <c r="G701" t="s">
        <v>9</v>
      </c>
      <c r="H701" t="s">
        <v>85</v>
      </c>
      <c r="I701">
        <v>5</v>
      </c>
      <c r="J701">
        <v>1</v>
      </c>
      <c r="K701" t="s">
        <v>243</v>
      </c>
      <c r="L701" t="str">
        <f>_xlfn.XLOOKUP(AllResponses[[#This Row],[QuestionID]], FinalQuestions!$A:$A, FinalQuestions!$D:$D,"")</f>
        <v>Consideration of Impact on Others</v>
      </c>
    </row>
    <row r="702" spans="1:12" x14ac:dyDescent="0.35">
      <c r="A702" t="s">
        <v>108</v>
      </c>
      <c r="B702" t="s">
        <v>67</v>
      </c>
      <c r="F702">
        <v>100</v>
      </c>
      <c r="G702" t="s">
        <v>9</v>
      </c>
      <c r="H702" t="s">
        <v>85</v>
      </c>
      <c r="I702">
        <v>5</v>
      </c>
      <c r="J702">
        <v>1</v>
      </c>
      <c r="K702" t="s">
        <v>244</v>
      </c>
      <c r="L702" t="str">
        <f>_xlfn.XLOOKUP(AllResponses[[#This Row],[QuestionID]], FinalQuestions!$A:$A, FinalQuestions!$D:$D,"")</f>
        <v>Accountability for Risk Actions</v>
      </c>
    </row>
    <row r="703" spans="1:12" x14ac:dyDescent="0.35">
      <c r="A703" t="s">
        <v>108</v>
      </c>
      <c r="B703" t="s">
        <v>69</v>
      </c>
      <c r="F703">
        <v>100</v>
      </c>
      <c r="G703" t="s">
        <v>10</v>
      </c>
      <c r="H703" t="s">
        <v>85</v>
      </c>
      <c r="I703">
        <v>5</v>
      </c>
      <c r="J703">
        <v>1</v>
      </c>
      <c r="K703" t="s">
        <v>245</v>
      </c>
      <c r="L703" t="str">
        <f>_xlfn.XLOOKUP(AllResponses[[#This Row],[QuestionID]], FinalQuestions!$A:$A, FinalQuestions!$D:$D,"")</f>
        <v xml:space="preserve">Peer to peer Accountability </v>
      </c>
    </row>
    <row r="704" spans="1:12" x14ac:dyDescent="0.35">
      <c r="A704" t="s">
        <v>108</v>
      </c>
      <c r="B704" t="s">
        <v>71</v>
      </c>
      <c r="F704">
        <v>80</v>
      </c>
      <c r="G704" t="s">
        <v>10</v>
      </c>
      <c r="H704" t="s">
        <v>2</v>
      </c>
      <c r="I704">
        <v>4</v>
      </c>
      <c r="J704">
        <v>1</v>
      </c>
      <c r="K704" t="s">
        <v>246</v>
      </c>
      <c r="L704" t="str">
        <f>_xlfn.XLOOKUP(AllResponses[[#This Row],[QuestionID]], FinalQuestions!$A:$A, FinalQuestions!$D:$D,"")</f>
        <v>Timely Resolution of Accountability Issues</v>
      </c>
    </row>
    <row r="705" spans="1:12" x14ac:dyDescent="0.35">
      <c r="A705" t="s">
        <v>108</v>
      </c>
      <c r="B705" t="s">
        <v>73</v>
      </c>
      <c r="F705">
        <v>80</v>
      </c>
      <c r="G705" t="s">
        <v>10</v>
      </c>
      <c r="H705" t="s">
        <v>2</v>
      </c>
      <c r="I705">
        <v>4</v>
      </c>
      <c r="J705">
        <v>1</v>
      </c>
      <c r="K705" t="s">
        <v>247</v>
      </c>
      <c r="L705" t="str">
        <f>_xlfn.XLOOKUP(AllResponses[[#This Row],[QuestionID]], FinalQuestions!$A:$A, FinalQuestions!$D:$D,"")</f>
        <v>Comfort for Reporting Non‑Compliance.</v>
      </c>
    </row>
    <row r="706" spans="1:12" x14ac:dyDescent="0.35">
      <c r="A706" t="s">
        <v>108</v>
      </c>
      <c r="B706" t="s">
        <v>75</v>
      </c>
      <c r="F706">
        <v>80</v>
      </c>
      <c r="G706" t="s">
        <v>10</v>
      </c>
      <c r="H706" t="s">
        <v>2</v>
      </c>
      <c r="I706">
        <v>4</v>
      </c>
      <c r="J706">
        <v>1</v>
      </c>
      <c r="K706" t="s">
        <v>248</v>
      </c>
      <c r="L706" t="str">
        <f>_xlfn.XLOOKUP(AllResponses[[#This Row],[QuestionID]], FinalQuestions!$A:$A, FinalQuestions!$D:$D,"")</f>
        <v>Consistency of Conduct Enforcement</v>
      </c>
    </row>
    <row r="707" spans="1:12" x14ac:dyDescent="0.35">
      <c r="A707" t="s">
        <v>109</v>
      </c>
      <c r="B707" t="s">
        <v>13</v>
      </c>
      <c r="F707">
        <v>80</v>
      </c>
      <c r="G707" t="s">
        <v>0</v>
      </c>
      <c r="H707" t="s">
        <v>2</v>
      </c>
      <c r="I707">
        <v>4</v>
      </c>
      <c r="J707">
        <v>1</v>
      </c>
      <c r="K707" t="s">
        <v>253</v>
      </c>
      <c r="L707" t="str">
        <f>_xlfn.XLOOKUP(AllResponses[[#This Row],[QuestionID]], FinalQuestions!$A:$A, FinalQuestions!$D:$D,"")</f>
        <v xml:space="preserve">Leadership Example‑Setting in Risk Management </v>
      </c>
    </row>
    <row r="708" spans="1:12" x14ac:dyDescent="0.35">
      <c r="A708" t="s">
        <v>109</v>
      </c>
      <c r="B708" t="s">
        <v>15</v>
      </c>
      <c r="F708">
        <v>80</v>
      </c>
      <c r="G708" t="s">
        <v>0</v>
      </c>
      <c r="H708" t="s">
        <v>2</v>
      </c>
      <c r="I708">
        <v>4</v>
      </c>
      <c r="J708">
        <v>1</v>
      </c>
      <c r="K708" t="s">
        <v>222</v>
      </c>
      <c r="L708" t="str">
        <f>_xlfn.XLOOKUP(AllResponses[[#This Row],[QuestionID]], FinalQuestions!$A:$A, FinalQuestions!$D:$D,"")</f>
        <v>Executive Commitment to Risk Culture</v>
      </c>
    </row>
    <row r="709" spans="1:12" x14ac:dyDescent="0.35">
      <c r="A709" t="s">
        <v>109</v>
      </c>
      <c r="B709" t="s">
        <v>17</v>
      </c>
      <c r="F709">
        <v>80</v>
      </c>
      <c r="G709" t="s">
        <v>0</v>
      </c>
      <c r="H709" t="s">
        <v>2</v>
      </c>
      <c r="I709">
        <v>4</v>
      </c>
      <c r="J709">
        <v>1</v>
      </c>
      <c r="K709" t="s">
        <v>223</v>
      </c>
      <c r="L709" t="str">
        <f>_xlfn.XLOOKUP(AllResponses[[#This Row],[QuestionID]], FinalQuestions!$A:$A, FinalQuestions!$D:$D,"")</f>
        <v>Leadership Encouragement to Escalate Risks</v>
      </c>
    </row>
    <row r="710" spans="1:12" x14ac:dyDescent="0.35">
      <c r="A710" t="s">
        <v>109</v>
      </c>
      <c r="B710" t="s">
        <v>19</v>
      </c>
      <c r="F710">
        <v>80</v>
      </c>
      <c r="G710" t="s">
        <v>0</v>
      </c>
      <c r="H710" t="s">
        <v>2</v>
      </c>
      <c r="I710">
        <v>4</v>
      </c>
      <c r="J710">
        <v>1</v>
      </c>
      <c r="K710" t="s">
        <v>224</v>
      </c>
      <c r="L710" t="str">
        <f>_xlfn.XLOOKUP(AllResponses[[#This Row],[QuestionID]], FinalQuestions!$A:$A, FinalQuestions!$D:$D,"")</f>
        <v>Long-Term Decision Awareness</v>
      </c>
    </row>
    <row r="711" spans="1:12" x14ac:dyDescent="0.35">
      <c r="A711" t="s">
        <v>109</v>
      </c>
      <c r="B711" t="s">
        <v>21</v>
      </c>
      <c r="F711">
        <v>80</v>
      </c>
      <c r="G711" t="s">
        <v>117</v>
      </c>
      <c r="H711" t="s">
        <v>2</v>
      </c>
      <c r="I711">
        <v>4</v>
      </c>
      <c r="J711">
        <v>1</v>
      </c>
      <c r="K711" t="s">
        <v>225</v>
      </c>
      <c r="L711" t="str">
        <f>_xlfn.XLOOKUP(AllResponses[[#This Row],[QuestionID]], FinalQuestions!$A:$A, FinalQuestions!$D:$D,"")</f>
        <v>Openness to Discussions</v>
      </c>
    </row>
    <row r="712" spans="1:12" x14ac:dyDescent="0.35">
      <c r="A712" t="s">
        <v>109</v>
      </c>
      <c r="B712" t="s">
        <v>23</v>
      </c>
      <c r="F712">
        <v>60</v>
      </c>
      <c r="G712" t="s">
        <v>117</v>
      </c>
      <c r="H712" t="s">
        <v>4</v>
      </c>
      <c r="I712">
        <v>3</v>
      </c>
      <c r="J712">
        <v>0</v>
      </c>
      <c r="K712" t="s">
        <v>226</v>
      </c>
      <c r="L712" t="str">
        <f>_xlfn.XLOOKUP(AllResponses[[#This Row],[QuestionID]], FinalQuestions!$A:$A, FinalQuestions!$D:$D,"")</f>
        <v>Access to Guidance</v>
      </c>
    </row>
    <row r="713" spans="1:12" x14ac:dyDescent="0.35">
      <c r="A713" t="s">
        <v>109</v>
      </c>
      <c r="B713" t="s">
        <v>25</v>
      </c>
      <c r="F713">
        <v>100</v>
      </c>
      <c r="G713" t="s">
        <v>117</v>
      </c>
      <c r="H713" t="s">
        <v>85</v>
      </c>
      <c r="I713">
        <v>5</v>
      </c>
      <c r="J713">
        <v>1</v>
      </c>
      <c r="K713" t="s">
        <v>227</v>
      </c>
      <c r="L713" t="str">
        <f>_xlfn.XLOOKUP(AllResponses[[#This Row],[QuestionID]], FinalQuestions!$A:$A, FinalQuestions!$D:$D,"")</f>
        <v>Openness to Sharing Opinions</v>
      </c>
    </row>
    <row r="714" spans="1:12" x14ac:dyDescent="0.35">
      <c r="A714" t="s">
        <v>109</v>
      </c>
      <c r="B714" t="s">
        <v>27</v>
      </c>
      <c r="F714">
        <v>100</v>
      </c>
      <c r="G714" t="s">
        <v>117</v>
      </c>
      <c r="H714" t="s">
        <v>85</v>
      </c>
      <c r="I714">
        <v>5</v>
      </c>
      <c r="J714">
        <v>1</v>
      </c>
      <c r="K714" t="s">
        <v>228</v>
      </c>
      <c r="L714" t="str">
        <f>_xlfn.XLOOKUP(AllResponses[[#This Row],[QuestionID]], FinalQuestions!$A:$A, FinalQuestions!$D:$D,"")</f>
        <v>Comfort in Reporting Risk Dilemmas</v>
      </c>
    </row>
    <row r="715" spans="1:12" x14ac:dyDescent="0.35">
      <c r="A715" t="s">
        <v>109</v>
      </c>
      <c r="B715" t="s">
        <v>29</v>
      </c>
      <c r="F715">
        <v>80</v>
      </c>
      <c r="G715" t="s">
        <v>3</v>
      </c>
      <c r="H715" t="s">
        <v>2</v>
      </c>
      <c r="I715">
        <v>4</v>
      </c>
      <c r="J715">
        <v>1</v>
      </c>
      <c r="K715" t="s">
        <v>229</v>
      </c>
      <c r="L715" t="str">
        <f>_xlfn.XLOOKUP(AllResponses[[#This Row],[QuestionID]], FinalQuestions!$A:$A, FinalQuestions!$D:$D,"")</f>
        <v>Adequacy of Risk Management Training</v>
      </c>
    </row>
    <row r="716" spans="1:12" x14ac:dyDescent="0.35">
      <c r="A716" t="s">
        <v>109</v>
      </c>
      <c r="B716" t="s">
        <v>31</v>
      </c>
      <c r="F716">
        <v>80</v>
      </c>
      <c r="G716" t="s">
        <v>3</v>
      </c>
      <c r="H716" t="s">
        <v>2</v>
      </c>
      <c r="I716">
        <v>4</v>
      </c>
      <c r="J716">
        <v>1</v>
      </c>
      <c r="K716" t="s">
        <v>230</v>
      </c>
      <c r="L716" t="str">
        <f>_xlfn.XLOOKUP(AllResponses[[#This Row],[QuestionID]], FinalQuestions!$A:$A, FinalQuestions!$D:$D,"")</f>
        <v>Workload Balance &amp; Resource Sufficiency</v>
      </c>
    </row>
    <row r="717" spans="1:12" x14ac:dyDescent="0.35">
      <c r="A717" t="s">
        <v>109</v>
      </c>
      <c r="B717" t="s">
        <v>33</v>
      </c>
      <c r="F717">
        <v>100</v>
      </c>
      <c r="G717" t="s">
        <v>3</v>
      </c>
      <c r="H717" t="s">
        <v>85</v>
      </c>
      <c r="I717">
        <v>5</v>
      </c>
      <c r="J717">
        <v>1</v>
      </c>
      <c r="K717" t="s">
        <v>231</v>
      </c>
      <c r="L717" t="str">
        <f>_xlfn.XLOOKUP(AllResponses[[#This Row],[QuestionID]], FinalQuestions!$A:$A, FinalQuestions!$D:$D,"")</f>
        <v>Realistic Target Setting</v>
      </c>
    </row>
    <row r="718" spans="1:12" x14ac:dyDescent="0.35">
      <c r="A718" t="s">
        <v>109</v>
      </c>
      <c r="B718" t="s">
        <v>35</v>
      </c>
      <c r="F718">
        <v>100</v>
      </c>
      <c r="G718" t="s">
        <v>3</v>
      </c>
      <c r="H718" t="s">
        <v>85</v>
      </c>
      <c r="I718">
        <v>5</v>
      </c>
      <c r="J718">
        <v>1</v>
      </c>
      <c r="K718" t="s">
        <v>232</v>
      </c>
      <c r="L718" t="str">
        <f>_xlfn.XLOOKUP(AllResponses[[#This Row],[QuestionID]], FinalQuestions!$A:$A, FinalQuestions!$D:$D,"")</f>
        <v>Risk Insight in Decision Making</v>
      </c>
    </row>
    <row r="719" spans="1:12" x14ac:dyDescent="0.35">
      <c r="A719" t="s">
        <v>109</v>
      </c>
      <c r="B719" t="s">
        <v>37</v>
      </c>
      <c r="F719">
        <v>100</v>
      </c>
      <c r="G719" t="s">
        <v>5</v>
      </c>
      <c r="H719" t="s">
        <v>85</v>
      </c>
      <c r="I719">
        <v>5</v>
      </c>
      <c r="J719">
        <v>1</v>
      </c>
      <c r="K719" t="s">
        <v>233</v>
      </c>
      <c r="L719" t="str">
        <f>_xlfn.XLOOKUP(AllResponses[[#This Row],[QuestionID]], FinalQuestions!$A:$A, FinalQuestions!$D:$D,"")</f>
        <v>Learning Culture from Non‑Compliance Cases</v>
      </c>
    </row>
    <row r="720" spans="1:12" x14ac:dyDescent="0.35">
      <c r="A720" t="s">
        <v>109</v>
      </c>
      <c r="B720" t="s">
        <v>39</v>
      </c>
      <c r="F720">
        <v>100</v>
      </c>
      <c r="G720" t="s">
        <v>5</v>
      </c>
      <c r="H720" t="s">
        <v>85</v>
      </c>
      <c r="I720">
        <v>5</v>
      </c>
      <c r="J720">
        <v>1</v>
      </c>
      <c r="K720" t="s">
        <v>234</v>
      </c>
      <c r="L720" t="str">
        <f>_xlfn.XLOOKUP(AllResponses[[#This Row],[QuestionID]], FinalQuestions!$A:$A, FinalQuestions!$D:$D,"")</f>
        <v>Organizational View on Risk Culture</v>
      </c>
    </row>
    <row r="721" spans="1:12" x14ac:dyDescent="0.35">
      <c r="A721" t="s">
        <v>109</v>
      </c>
      <c r="B721" t="s">
        <v>41</v>
      </c>
      <c r="F721">
        <v>100</v>
      </c>
      <c r="G721" t="s">
        <v>5</v>
      </c>
      <c r="H721" t="s">
        <v>85</v>
      </c>
      <c r="I721">
        <v>5</v>
      </c>
      <c r="J721">
        <v>1</v>
      </c>
      <c r="K721" t="s">
        <v>235</v>
      </c>
      <c r="L721" t="str">
        <f>_xlfn.XLOOKUP(AllResponses[[#This Row],[QuestionID]], FinalQuestions!$A:$A, FinalQuestions!$D:$D,"")</f>
        <v>Compliance Recognition &amp; enforcement</v>
      </c>
    </row>
    <row r="722" spans="1:12" x14ac:dyDescent="0.35">
      <c r="A722" t="s">
        <v>109</v>
      </c>
      <c r="B722" t="s">
        <v>43</v>
      </c>
      <c r="F722">
        <v>80</v>
      </c>
      <c r="G722" t="s">
        <v>5</v>
      </c>
      <c r="H722" t="s">
        <v>2</v>
      </c>
      <c r="I722">
        <v>4</v>
      </c>
      <c r="J722">
        <v>1</v>
      </c>
      <c r="K722" t="s">
        <v>236</v>
      </c>
      <c r="L722" t="str">
        <f>_xlfn.XLOOKUP(AllResponses[[#This Row],[QuestionID]], FinalQuestions!$A:$A, FinalQuestions!$D:$D,"")</f>
        <v>Sense of Ownership</v>
      </c>
    </row>
    <row r="723" spans="1:12" x14ac:dyDescent="0.35">
      <c r="A723" t="s">
        <v>109</v>
      </c>
      <c r="B723" t="s">
        <v>45</v>
      </c>
      <c r="F723">
        <v>40</v>
      </c>
      <c r="G723" t="s">
        <v>7</v>
      </c>
      <c r="H723" t="s">
        <v>6</v>
      </c>
      <c r="I723">
        <v>2</v>
      </c>
      <c r="J723">
        <v>0</v>
      </c>
      <c r="K723" t="s">
        <v>237</v>
      </c>
      <c r="L723" t="str">
        <f>_xlfn.XLOOKUP(AllResponses[[#This Row],[QuestionID]], FinalQuestions!$A:$A, FinalQuestions!$D:$D,"")</f>
        <v>Clarity of Role and Responsibilities</v>
      </c>
    </row>
    <row r="724" spans="1:12" x14ac:dyDescent="0.35">
      <c r="A724" t="s">
        <v>109</v>
      </c>
      <c r="B724" t="s">
        <v>47</v>
      </c>
      <c r="F724">
        <v>60</v>
      </c>
      <c r="G724" t="s">
        <v>7</v>
      </c>
      <c r="H724" t="s">
        <v>4</v>
      </c>
      <c r="I724">
        <v>3</v>
      </c>
      <c r="J724">
        <v>0</v>
      </c>
      <c r="K724" t="s">
        <v>238</v>
      </c>
      <c r="L724" t="str">
        <f>_xlfn.XLOOKUP(AllResponses[[#This Row],[QuestionID]], FinalQuestions!$A:$A, FinalQuestions!$D:$D,"")</f>
        <v>Understanding of Risk Policies &amp; Procedures</v>
      </c>
    </row>
    <row r="725" spans="1:12" x14ac:dyDescent="0.35">
      <c r="A725" t="s">
        <v>109</v>
      </c>
      <c r="B725" t="s">
        <v>49</v>
      </c>
      <c r="F725">
        <v>100</v>
      </c>
      <c r="G725" t="s">
        <v>7</v>
      </c>
      <c r="H725" t="s">
        <v>85</v>
      </c>
      <c r="I725">
        <v>5</v>
      </c>
      <c r="J725">
        <v>1</v>
      </c>
      <c r="K725" t="s">
        <v>239</v>
      </c>
      <c r="L725" t="str">
        <f>_xlfn.XLOOKUP(AllResponses[[#This Row],[QuestionID]], FinalQuestions!$A:$A, FinalQuestions!$D:$D,"")</f>
        <v>Clarity of Personal Risk Boundaries</v>
      </c>
    </row>
    <row r="726" spans="1:12" x14ac:dyDescent="0.35">
      <c r="A726" t="s">
        <v>109</v>
      </c>
      <c r="B726" t="s">
        <v>51</v>
      </c>
      <c r="F726">
        <v>80</v>
      </c>
      <c r="G726" t="s">
        <v>7</v>
      </c>
      <c r="H726" t="s">
        <v>2</v>
      </c>
      <c r="I726">
        <v>4</v>
      </c>
      <c r="J726">
        <v>1</v>
      </c>
      <c r="K726" t="s">
        <v>240</v>
      </c>
      <c r="L726" t="str">
        <f>_xlfn.XLOOKUP(AllResponses[[#This Row],[QuestionID]], FinalQuestions!$A:$A, FinalQuestions!$D:$D,"")</f>
        <v>Effectiveness of Risk Communication &amp; Training</v>
      </c>
    </row>
    <row r="727" spans="1:12" x14ac:dyDescent="0.35">
      <c r="A727" t="s">
        <v>109</v>
      </c>
      <c r="B727" t="s">
        <v>53</v>
      </c>
      <c r="F727">
        <v>40</v>
      </c>
      <c r="G727" t="s">
        <v>8</v>
      </c>
      <c r="H727" t="s">
        <v>6</v>
      </c>
      <c r="I727">
        <v>2</v>
      </c>
      <c r="J727">
        <v>0</v>
      </c>
      <c r="K727" t="s">
        <v>249</v>
      </c>
      <c r="L727" t="str">
        <f>_xlfn.XLOOKUP(AllResponses[[#This Row],[QuestionID]], FinalQuestions!$A:$A, FinalQuestions!$D:$D,"")</f>
        <v>Compliance Confidence in team</v>
      </c>
    </row>
    <row r="728" spans="1:12" x14ac:dyDescent="0.35">
      <c r="A728" t="s">
        <v>109</v>
      </c>
      <c r="B728" t="s">
        <v>55</v>
      </c>
      <c r="F728">
        <v>60</v>
      </c>
      <c r="G728" t="s">
        <v>8</v>
      </c>
      <c r="H728" t="s">
        <v>4</v>
      </c>
      <c r="I728">
        <v>3</v>
      </c>
      <c r="J728">
        <v>0</v>
      </c>
      <c r="K728" t="s">
        <v>250</v>
      </c>
      <c r="L728" t="str">
        <f>_xlfn.XLOOKUP(AllResponses[[#This Row],[QuestionID]], FinalQuestions!$A:$A, FinalQuestions!$D:$D,"")</f>
        <v>Transparency in Decision‑Making</v>
      </c>
    </row>
    <row r="729" spans="1:12" x14ac:dyDescent="0.35">
      <c r="A729" t="s">
        <v>109</v>
      </c>
      <c r="B729" t="s">
        <v>57</v>
      </c>
      <c r="F729">
        <v>100</v>
      </c>
      <c r="G729" t="s">
        <v>8</v>
      </c>
      <c r="H729" t="s">
        <v>85</v>
      </c>
      <c r="I729">
        <v>5</v>
      </c>
      <c r="J729">
        <v>1</v>
      </c>
      <c r="K729" t="s">
        <v>251</v>
      </c>
      <c r="L729" t="str">
        <f>_xlfn.XLOOKUP(AllResponses[[#This Row],[QuestionID]], FinalQuestions!$A:$A, FinalQuestions!$D:$D,"")</f>
        <v>Fairness &amp; Equity of Expectations</v>
      </c>
    </row>
    <row r="730" spans="1:12" x14ac:dyDescent="0.35">
      <c r="A730" t="s">
        <v>109</v>
      </c>
      <c r="B730" t="s">
        <v>59</v>
      </c>
      <c r="F730">
        <v>100</v>
      </c>
      <c r="G730" t="s">
        <v>8</v>
      </c>
      <c r="H730" t="s">
        <v>85</v>
      </c>
      <c r="I730">
        <v>5</v>
      </c>
      <c r="J730">
        <v>1</v>
      </c>
      <c r="K730" t="s">
        <v>252</v>
      </c>
      <c r="L730" t="str">
        <f>_xlfn.XLOOKUP(AllResponses[[#This Row],[QuestionID]], FinalQuestions!$A:$A, FinalQuestions!$D:$D,"")</f>
        <v>Leadership Awareness in the team</v>
      </c>
    </row>
    <row r="731" spans="1:12" x14ac:dyDescent="0.35">
      <c r="A731" t="s">
        <v>109</v>
      </c>
      <c r="B731" t="s">
        <v>61</v>
      </c>
      <c r="F731">
        <v>80</v>
      </c>
      <c r="G731" t="s">
        <v>9</v>
      </c>
      <c r="H731" t="s">
        <v>2</v>
      </c>
      <c r="I731">
        <v>4</v>
      </c>
      <c r="J731">
        <v>1</v>
      </c>
      <c r="K731" t="s">
        <v>241</v>
      </c>
      <c r="L731" t="str">
        <f>_xlfn.XLOOKUP(AllResponses[[#This Row],[QuestionID]], FinalQuestions!$A:$A, FinalQuestions!$D:$D,"")</f>
        <v>Motivation for Risk Ownership</v>
      </c>
    </row>
    <row r="732" spans="1:12" x14ac:dyDescent="0.35">
      <c r="A732" t="s">
        <v>109</v>
      </c>
      <c r="B732" t="s">
        <v>63</v>
      </c>
      <c r="F732">
        <v>80</v>
      </c>
      <c r="G732" t="s">
        <v>9</v>
      </c>
      <c r="H732" t="s">
        <v>2</v>
      </c>
      <c r="I732">
        <v>4</v>
      </c>
      <c r="J732">
        <v>1</v>
      </c>
      <c r="K732" t="s">
        <v>242</v>
      </c>
      <c r="L732" t="str">
        <f>_xlfn.XLOOKUP(AllResponses[[#This Row],[QuestionID]], FinalQuestions!$A:$A, FinalQuestions!$D:$D,"")</f>
        <v>Sense of Belonging to the Organization</v>
      </c>
    </row>
    <row r="733" spans="1:12" x14ac:dyDescent="0.35">
      <c r="A733" t="s">
        <v>109</v>
      </c>
      <c r="B733" t="s">
        <v>65</v>
      </c>
      <c r="F733">
        <v>80</v>
      </c>
      <c r="G733" t="s">
        <v>9</v>
      </c>
      <c r="H733" t="s">
        <v>2</v>
      </c>
      <c r="I733">
        <v>4</v>
      </c>
      <c r="J733">
        <v>1</v>
      </c>
      <c r="K733" t="s">
        <v>243</v>
      </c>
      <c r="L733" t="str">
        <f>_xlfn.XLOOKUP(AllResponses[[#This Row],[QuestionID]], FinalQuestions!$A:$A, FinalQuestions!$D:$D,"")</f>
        <v>Consideration of Impact on Others</v>
      </c>
    </row>
    <row r="734" spans="1:12" x14ac:dyDescent="0.35">
      <c r="A734" t="s">
        <v>109</v>
      </c>
      <c r="B734" t="s">
        <v>67</v>
      </c>
      <c r="F734">
        <v>80</v>
      </c>
      <c r="G734" t="s">
        <v>9</v>
      </c>
      <c r="H734" t="s">
        <v>2</v>
      </c>
      <c r="I734">
        <v>4</v>
      </c>
      <c r="J734">
        <v>1</v>
      </c>
      <c r="K734" t="s">
        <v>244</v>
      </c>
      <c r="L734" t="str">
        <f>_xlfn.XLOOKUP(AllResponses[[#This Row],[QuestionID]], FinalQuestions!$A:$A, FinalQuestions!$D:$D,"")</f>
        <v>Accountability for Risk Actions</v>
      </c>
    </row>
    <row r="735" spans="1:12" x14ac:dyDescent="0.35">
      <c r="A735" t="s">
        <v>109</v>
      </c>
      <c r="B735" t="s">
        <v>69</v>
      </c>
      <c r="F735">
        <v>80</v>
      </c>
      <c r="G735" t="s">
        <v>10</v>
      </c>
      <c r="H735" t="s">
        <v>2</v>
      </c>
      <c r="I735">
        <v>4</v>
      </c>
      <c r="J735">
        <v>1</v>
      </c>
      <c r="K735" t="s">
        <v>245</v>
      </c>
      <c r="L735" t="str">
        <f>_xlfn.XLOOKUP(AllResponses[[#This Row],[QuestionID]], FinalQuestions!$A:$A, FinalQuestions!$D:$D,"")</f>
        <v xml:space="preserve">Peer to peer Accountability </v>
      </c>
    </row>
    <row r="736" spans="1:12" x14ac:dyDescent="0.35">
      <c r="A736" t="s">
        <v>109</v>
      </c>
      <c r="B736" t="s">
        <v>71</v>
      </c>
      <c r="F736">
        <v>100</v>
      </c>
      <c r="G736" t="s">
        <v>10</v>
      </c>
      <c r="H736" t="s">
        <v>85</v>
      </c>
      <c r="I736">
        <v>5</v>
      </c>
      <c r="J736">
        <v>1</v>
      </c>
      <c r="K736" t="s">
        <v>246</v>
      </c>
      <c r="L736" t="str">
        <f>_xlfn.XLOOKUP(AllResponses[[#This Row],[QuestionID]], FinalQuestions!$A:$A, FinalQuestions!$D:$D,"")</f>
        <v>Timely Resolution of Accountability Issues</v>
      </c>
    </row>
    <row r="737" spans="1:12" x14ac:dyDescent="0.35">
      <c r="A737" t="s">
        <v>109</v>
      </c>
      <c r="B737" t="s">
        <v>73</v>
      </c>
      <c r="F737">
        <v>80</v>
      </c>
      <c r="G737" t="s">
        <v>10</v>
      </c>
      <c r="H737" t="s">
        <v>2</v>
      </c>
      <c r="I737">
        <v>4</v>
      </c>
      <c r="J737">
        <v>1</v>
      </c>
      <c r="K737" t="s">
        <v>247</v>
      </c>
      <c r="L737" t="str">
        <f>_xlfn.XLOOKUP(AllResponses[[#This Row],[QuestionID]], FinalQuestions!$A:$A, FinalQuestions!$D:$D,"")</f>
        <v>Comfort for Reporting Non‑Compliance.</v>
      </c>
    </row>
    <row r="738" spans="1:12" x14ac:dyDescent="0.35">
      <c r="A738" t="s">
        <v>109</v>
      </c>
      <c r="B738" t="s">
        <v>75</v>
      </c>
      <c r="F738">
        <v>80</v>
      </c>
      <c r="G738" t="s">
        <v>10</v>
      </c>
      <c r="H738" t="s">
        <v>2</v>
      </c>
      <c r="I738">
        <v>4</v>
      </c>
      <c r="J738">
        <v>1</v>
      </c>
      <c r="K738" t="s">
        <v>248</v>
      </c>
      <c r="L738" t="str">
        <f>_xlfn.XLOOKUP(AllResponses[[#This Row],[QuestionID]], FinalQuestions!$A:$A, FinalQuestions!$D:$D,"")</f>
        <v>Consistency of Conduct Enforcement</v>
      </c>
    </row>
    <row r="739" spans="1:12" x14ac:dyDescent="0.35">
      <c r="A739" t="s">
        <v>110</v>
      </c>
      <c r="B739" t="s">
        <v>13</v>
      </c>
      <c r="F739">
        <v>80</v>
      </c>
      <c r="G739" t="s">
        <v>0</v>
      </c>
      <c r="H739" t="s">
        <v>2</v>
      </c>
      <c r="I739">
        <v>4</v>
      </c>
      <c r="J739">
        <v>1</v>
      </c>
      <c r="K739" t="s">
        <v>253</v>
      </c>
      <c r="L739" t="str">
        <f>_xlfn.XLOOKUP(AllResponses[[#This Row],[QuestionID]], FinalQuestions!$A:$A, FinalQuestions!$D:$D,"")</f>
        <v xml:space="preserve">Leadership Example‑Setting in Risk Management </v>
      </c>
    </row>
    <row r="740" spans="1:12" x14ac:dyDescent="0.35">
      <c r="A740" t="s">
        <v>110</v>
      </c>
      <c r="B740" t="s">
        <v>15</v>
      </c>
      <c r="F740">
        <v>80</v>
      </c>
      <c r="G740" t="s">
        <v>0</v>
      </c>
      <c r="H740" t="s">
        <v>2</v>
      </c>
      <c r="I740">
        <v>4</v>
      </c>
      <c r="J740">
        <v>1</v>
      </c>
      <c r="K740" t="s">
        <v>222</v>
      </c>
      <c r="L740" t="str">
        <f>_xlfn.XLOOKUP(AllResponses[[#This Row],[QuestionID]], FinalQuestions!$A:$A, FinalQuestions!$D:$D,"")</f>
        <v>Executive Commitment to Risk Culture</v>
      </c>
    </row>
    <row r="741" spans="1:12" x14ac:dyDescent="0.35">
      <c r="A741" t="s">
        <v>110</v>
      </c>
      <c r="B741" t="s">
        <v>17</v>
      </c>
      <c r="F741">
        <v>80</v>
      </c>
      <c r="G741" t="s">
        <v>0</v>
      </c>
      <c r="H741" t="s">
        <v>2</v>
      </c>
      <c r="I741">
        <v>4</v>
      </c>
      <c r="J741">
        <v>1</v>
      </c>
      <c r="K741" t="s">
        <v>223</v>
      </c>
      <c r="L741" t="str">
        <f>_xlfn.XLOOKUP(AllResponses[[#This Row],[QuestionID]], FinalQuestions!$A:$A, FinalQuestions!$D:$D,"")</f>
        <v>Leadership Encouragement to Escalate Risks</v>
      </c>
    </row>
    <row r="742" spans="1:12" x14ac:dyDescent="0.35">
      <c r="A742" t="s">
        <v>110</v>
      </c>
      <c r="B742" t="s">
        <v>19</v>
      </c>
      <c r="F742">
        <v>80</v>
      </c>
      <c r="G742" t="s">
        <v>0</v>
      </c>
      <c r="H742" t="s">
        <v>2</v>
      </c>
      <c r="I742">
        <v>4</v>
      </c>
      <c r="J742">
        <v>1</v>
      </c>
      <c r="K742" t="s">
        <v>224</v>
      </c>
      <c r="L742" t="str">
        <f>_xlfn.XLOOKUP(AllResponses[[#This Row],[QuestionID]], FinalQuestions!$A:$A, FinalQuestions!$D:$D,"")</f>
        <v>Long-Term Decision Awareness</v>
      </c>
    </row>
    <row r="743" spans="1:12" x14ac:dyDescent="0.35">
      <c r="A743" t="s">
        <v>110</v>
      </c>
      <c r="B743" t="s">
        <v>21</v>
      </c>
      <c r="F743">
        <v>80</v>
      </c>
      <c r="G743" t="s">
        <v>117</v>
      </c>
      <c r="H743" t="s">
        <v>2</v>
      </c>
      <c r="I743">
        <v>4</v>
      </c>
      <c r="J743">
        <v>1</v>
      </c>
      <c r="K743" t="s">
        <v>225</v>
      </c>
      <c r="L743" t="str">
        <f>_xlfn.XLOOKUP(AllResponses[[#This Row],[QuestionID]], FinalQuestions!$A:$A, FinalQuestions!$D:$D,"")</f>
        <v>Openness to Discussions</v>
      </c>
    </row>
    <row r="744" spans="1:12" x14ac:dyDescent="0.35">
      <c r="A744" t="s">
        <v>110</v>
      </c>
      <c r="B744" t="s">
        <v>23</v>
      </c>
      <c r="F744">
        <v>80</v>
      </c>
      <c r="G744" t="s">
        <v>117</v>
      </c>
      <c r="H744" t="s">
        <v>2</v>
      </c>
      <c r="I744">
        <v>4</v>
      </c>
      <c r="J744">
        <v>1</v>
      </c>
      <c r="K744" t="s">
        <v>226</v>
      </c>
      <c r="L744" t="str">
        <f>_xlfn.XLOOKUP(AllResponses[[#This Row],[QuestionID]], FinalQuestions!$A:$A, FinalQuestions!$D:$D,"")</f>
        <v>Access to Guidance</v>
      </c>
    </row>
    <row r="745" spans="1:12" x14ac:dyDescent="0.35">
      <c r="A745" t="s">
        <v>110</v>
      </c>
      <c r="B745" t="s">
        <v>25</v>
      </c>
      <c r="F745">
        <v>60</v>
      </c>
      <c r="G745" t="s">
        <v>117</v>
      </c>
      <c r="H745" t="s">
        <v>4</v>
      </c>
      <c r="I745">
        <v>3</v>
      </c>
      <c r="J745">
        <v>0</v>
      </c>
      <c r="K745" t="s">
        <v>227</v>
      </c>
      <c r="L745" t="str">
        <f>_xlfn.XLOOKUP(AllResponses[[#This Row],[QuestionID]], FinalQuestions!$A:$A, FinalQuestions!$D:$D,"")</f>
        <v>Openness to Sharing Opinions</v>
      </c>
    </row>
    <row r="746" spans="1:12" x14ac:dyDescent="0.35">
      <c r="A746" t="s">
        <v>110</v>
      </c>
      <c r="B746" t="s">
        <v>27</v>
      </c>
      <c r="F746">
        <v>100</v>
      </c>
      <c r="G746" t="s">
        <v>117</v>
      </c>
      <c r="H746" t="s">
        <v>85</v>
      </c>
      <c r="I746">
        <v>5</v>
      </c>
      <c r="J746">
        <v>1</v>
      </c>
      <c r="K746" t="s">
        <v>228</v>
      </c>
      <c r="L746" t="str">
        <f>_xlfn.XLOOKUP(AllResponses[[#This Row],[QuestionID]], FinalQuestions!$A:$A, FinalQuestions!$D:$D,"")</f>
        <v>Comfort in Reporting Risk Dilemmas</v>
      </c>
    </row>
    <row r="747" spans="1:12" x14ac:dyDescent="0.35">
      <c r="A747" t="s">
        <v>110</v>
      </c>
      <c r="B747" t="s">
        <v>29</v>
      </c>
      <c r="F747">
        <v>100</v>
      </c>
      <c r="G747" t="s">
        <v>3</v>
      </c>
      <c r="H747" t="s">
        <v>85</v>
      </c>
      <c r="I747">
        <v>5</v>
      </c>
      <c r="J747">
        <v>1</v>
      </c>
      <c r="K747" t="s">
        <v>229</v>
      </c>
      <c r="L747" t="str">
        <f>_xlfn.XLOOKUP(AllResponses[[#This Row],[QuestionID]], FinalQuestions!$A:$A, FinalQuestions!$D:$D,"")</f>
        <v>Adequacy of Risk Management Training</v>
      </c>
    </row>
    <row r="748" spans="1:12" x14ac:dyDescent="0.35">
      <c r="A748" t="s">
        <v>110</v>
      </c>
      <c r="B748" t="s">
        <v>31</v>
      </c>
      <c r="F748">
        <v>80</v>
      </c>
      <c r="G748" t="s">
        <v>3</v>
      </c>
      <c r="H748" t="s">
        <v>2</v>
      </c>
      <c r="I748">
        <v>4</v>
      </c>
      <c r="J748">
        <v>1</v>
      </c>
      <c r="K748" t="s">
        <v>230</v>
      </c>
      <c r="L748" t="str">
        <f>_xlfn.XLOOKUP(AllResponses[[#This Row],[QuestionID]], FinalQuestions!$A:$A, FinalQuestions!$D:$D,"")</f>
        <v>Workload Balance &amp; Resource Sufficiency</v>
      </c>
    </row>
    <row r="749" spans="1:12" x14ac:dyDescent="0.35">
      <c r="A749" t="s">
        <v>110</v>
      </c>
      <c r="B749" t="s">
        <v>33</v>
      </c>
      <c r="F749">
        <v>80</v>
      </c>
      <c r="G749" t="s">
        <v>3</v>
      </c>
      <c r="H749" t="s">
        <v>2</v>
      </c>
      <c r="I749">
        <v>4</v>
      </c>
      <c r="J749">
        <v>1</v>
      </c>
      <c r="K749" t="s">
        <v>231</v>
      </c>
      <c r="L749" t="str">
        <f>_xlfn.XLOOKUP(AllResponses[[#This Row],[QuestionID]], FinalQuestions!$A:$A, FinalQuestions!$D:$D,"")</f>
        <v>Realistic Target Setting</v>
      </c>
    </row>
    <row r="750" spans="1:12" x14ac:dyDescent="0.35">
      <c r="A750" t="s">
        <v>110</v>
      </c>
      <c r="B750" t="s">
        <v>35</v>
      </c>
      <c r="F750">
        <v>40</v>
      </c>
      <c r="G750" t="s">
        <v>3</v>
      </c>
      <c r="H750" t="s">
        <v>6</v>
      </c>
      <c r="I750">
        <v>2</v>
      </c>
      <c r="J750">
        <v>0</v>
      </c>
      <c r="K750" t="s">
        <v>232</v>
      </c>
      <c r="L750" t="str">
        <f>_xlfn.XLOOKUP(AllResponses[[#This Row],[QuestionID]], FinalQuestions!$A:$A, FinalQuestions!$D:$D,"")</f>
        <v>Risk Insight in Decision Making</v>
      </c>
    </row>
    <row r="751" spans="1:12" x14ac:dyDescent="0.35">
      <c r="A751" t="s">
        <v>110</v>
      </c>
      <c r="B751" t="s">
        <v>37</v>
      </c>
      <c r="F751">
        <v>60</v>
      </c>
      <c r="G751" t="s">
        <v>5</v>
      </c>
      <c r="H751" t="s">
        <v>4</v>
      </c>
      <c r="I751">
        <v>3</v>
      </c>
      <c r="J751">
        <v>0</v>
      </c>
      <c r="K751" t="s">
        <v>233</v>
      </c>
      <c r="L751" t="str">
        <f>_xlfn.XLOOKUP(AllResponses[[#This Row],[QuestionID]], FinalQuestions!$A:$A, FinalQuestions!$D:$D,"")</f>
        <v>Learning Culture from Non‑Compliance Cases</v>
      </c>
    </row>
    <row r="752" spans="1:12" x14ac:dyDescent="0.35">
      <c r="A752" t="s">
        <v>110</v>
      </c>
      <c r="B752" t="s">
        <v>39</v>
      </c>
      <c r="F752">
        <v>100</v>
      </c>
      <c r="G752" t="s">
        <v>5</v>
      </c>
      <c r="H752" t="s">
        <v>85</v>
      </c>
      <c r="I752">
        <v>5</v>
      </c>
      <c r="J752">
        <v>1</v>
      </c>
      <c r="K752" t="s">
        <v>234</v>
      </c>
      <c r="L752" t="str">
        <f>_xlfn.XLOOKUP(AllResponses[[#This Row],[QuestionID]], FinalQuestions!$A:$A, FinalQuestions!$D:$D,"")</f>
        <v>Organizational View on Risk Culture</v>
      </c>
    </row>
    <row r="753" spans="1:12" x14ac:dyDescent="0.35">
      <c r="A753" t="s">
        <v>110</v>
      </c>
      <c r="B753" t="s">
        <v>41</v>
      </c>
      <c r="F753">
        <v>80</v>
      </c>
      <c r="G753" t="s">
        <v>5</v>
      </c>
      <c r="H753" t="s">
        <v>2</v>
      </c>
      <c r="I753">
        <v>4</v>
      </c>
      <c r="J753">
        <v>1</v>
      </c>
      <c r="K753" t="s">
        <v>235</v>
      </c>
      <c r="L753" t="str">
        <f>_xlfn.XLOOKUP(AllResponses[[#This Row],[QuestionID]], FinalQuestions!$A:$A, FinalQuestions!$D:$D,"")</f>
        <v>Compliance Recognition &amp; enforcement</v>
      </c>
    </row>
    <row r="754" spans="1:12" x14ac:dyDescent="0.35">
      <c r="A754" t="s">
        <v>110</v>
      </c>
      <c r="B754" t="s">
        <v>43</v>
      </c>
      <c r="F754">
        <v>40</v>
      </c>
      <c r="G754" t="s">
        <v>5</v>
      </c>
      <c r="H754" t="s">
        <v>6</v>
      </c>
      <c r="I754">
        <v>2</v>
      </c>
      <c r="J754">
        <v>0</v>
      </c>
      <c r="K754" t="s">
        <v>236</v>
      </c>
      <c r="L754" t="str">
        <f>_xlfn.XLOOKUP(AllResponses[[#This Row],[QuestionID]], FinalQuestions!$A:$A, FinalQuestions!$D:$D,"")</f>
        <v>Sense of Ownership</v>
      </c>
    </row>
    <row r="755" spans="1:12" x14ac:dyDescent="0.35">
      <c r="A755" t="s">
        <v>110</v>
      </c>
      <c r="B755" t="s">
        <v>45</v>
      </c>
      <c r="F755">
        <v>60</v>
      </c>
      <c r="G755" t="s">
        <v>7</v>
      </c>
      <c r="H755" t="s">
        <v>4</v>
      </c>
      <c r="I755">
        <v>3</v>
      </c>
      <c r="J755">
        <v>0</v>
      </c>
      <c r="K755" t="s">
        <v>237</v>
      </c>
      <c r="L755" t="str">
        <f>_xlfn.XLOOKUP(AllResponses[[#This Row],[QuestionID]], FinalQuestions!$A:$A, FinalQuestions!$D:$D,"")</f>
        <v>Clarity of Role and Responsibilities</v>
      </c>
    </row>
    <row r="756" spans="1:12" x14ac:dyDescent="0.35">
      <c r="A756" t="s">
        <v>110</v>
      </c>
      <c r="B756" t="s">
        <v>47</v>
      </c>
      <c r="F756">
        <v>100</v>
      </c>
      <c r="G756" t="s">
        <v>7</v>
      </c>
      <c r="H756" t="s">
        <v>85</v>
      </c>
      <c r="I756">
        <v>5</v>
      </c>
      <c r="J756">
        <v>1</v>
      </c>
      <c r="K756" t="s">
        <v>238</v>
      </c>
      <c r="L756" t="str">
        <f>_xlfn.XLOOKUP(AllResponses[[#This Row],[QuestionID]], FinalQuestions!$A:$A, FinalQuestions!$D:$D,"")</f>
        <v>Understanding of Risk Policies &amp; Procedures</v>
      </c>
    </row>
    <row r="757" spans="1:12" x14ac:dyDescent="0.35">
      <c r="A757" t="s">
        <v>110</v>
      </c>
      <c r="B757" t="s">
        <v>49</v>
      </c>
      <c r="F757">
        <v>100</v>
      </c>
      <c r="G757" t="s">
        <v>7</v>
      </c>
      <c r="H757" t="s">
        <v>85</v>
      </c>
      <c r="I757">
        <v>5</v>
      </c>
      <c r="J757">
        <v>1</v>
      </c>
      <c r="K757" t="s">
        <v>239</v>
      </c>
      <c r="L757" t="str">
        <f>_xlfn.XLOOKUP(AllResponses[[#This Row],[QuestionID]], FinalQuestions!$A:$A, FinalQuestions!$D:$D,"")</f>
        <v>Clarity of Personal Risk Boundaries</v>
      </c>
    </row>
    <row r="758" spans="1:12" x14ac:dyDescent="0.35">
      <c r="A758" t="s">
        <v>110</v>
      </c>
      <c r="B758" t="s">
        <v>51</v>
      </c>
      <c r="F758">
        <v>80</v>
      </c>
      <c r="G758" t="s">
        <v>7</v>
      </c>
      <c r="H758" t="s">
        <v>2</v>
      </c>
      <c r="I758">
        <v>4</v>
      </c>
      <c r="J758">
        <v>1</v>
      </c>
      <c r="K758" t="s">
        <v>240</v>
      </c>
      <c r="L758" t="str">
        <f>_xlfn.XLOOKUP(AllResponses[[#This Row],[QuestionID]], FinalQuestions!$A:$A, FinalQuestions!$D:$D,"")</f>
        <v>Effectiveness of Risk Communication &amp; Training</v>
      </c>
    </row>
    <row r="759" spans="1:12" x14ac:dyDescent="0.35">
      <c r="A759" t="s">
        <v>110</v>
      </c>
      <c r="B759" t="s">
        <v>53</v>
      </c>
      <c r="F759">
        <v>40</v>
      </c>
      <c r="G759" t="s">
        <v>8</v>
      </c>
      <c r="H759" t="s">
        <v>6</v>
      </c>
      <c r="I759">
        <v>2</v>
      </c>
      <c r="J759">
        <v>0</v>
      </c>
      <c r="K759" t="s">
        <v>249</v>
      </c>
      <c r="L759" t="str">
        <f>_xlfn.XLOOKUP(AllResponses[[#This Row],[QuestionID]], FinalQuestions!$A:$A, FinalQuestions!$D:$D,"")</f>
        <v>Compliance Confidence in team</v>
      </c>
    </row>
    <row r="760" spans="1:12" x14ac:dyDescent="0.35">
      <c r="A760" t="s">
        <v>110</v>
      </c>
      <c r="B760" t="s">
        <v>55</v>
      </c>
      <c r="F760">
        <v>60</v>
      </c>
      <c r="G760" t="s">
        <v>8</v>
      </c>
      <c r="H760" t="s">
        <v>4</v>
      </c>
      <c r="I760">
        <v>3</v>
      </c>
      <c r="J760">
        <v>0</v>
      </c>
      <c r="K760" t="s">
        <v>250</v>
      </c>
      <c r="L760" t="str">
        <f>_xlfn.XLOOKUP(AllResponses[[#This Row],[QuestionID]], FinalQuestions!$A:$A, FinalQuestions!$D:$D,"")</f>
        <v>Transparency in Decision‑Making</v>
      </c>
    </row>
    <row r="761" spans="1:12" x14ac:dyDescent="0.35">
      <c r="A761" t="s">
        <v>110</v>
      </c>
      <c r="B761" t="s">
        <v>57</v>
      </c>
      <c r="F761">
        <v>100</v>
      </c>
      <c r="G761" t="s">
        <v>8</v>
      </c>
      <c r="H761" t="s">
        <v>85</v>
      </c>
      <c r="I761">
        <v>5</v>
      </c>
      <c r="J761">
        <v>1</v>
      </c>
      <c r="K761" t="s">
        <v>251</v>
      </c>
      <c r="L761" t="str">
        <f>_xlfn.XLOOKUP(AllResponses[[#This Row],[QuestionID]], FinalQuestions!$A:$A, FinalQuestions!$D:$D,"")</f>
        <v>Fairness &amp; Equity of Expectations</v>
      </c>
    </row>
    <row r="762" spans="1:12" x14ac:dyDescent="0.35">
      <c r="A762" t="s">
        <v>110</v>
      </c>
      <c r="B762" t="s">
        <v>59</v>
      </c>
      <c r="F762">
        <v>80</v>
      </c>
      <c r="G762" t="s">
        <v>8</v>
      </c>
      <c r="H762" t="s">
        <v>2</v>
      </c>
      <c r="I762">
        <v>4</v>
      </c>
      <c r="J762">
        <v>1</v>
      </c>
      <c r="K762" t="s">
        <v>252</v>
      </c>
      <c r="L762" t="str">
        <f>_xlfn.XLOOKUP(AllResponses[[#This Row],[QuestionID]], FinalQuestions!$A:$A, FinalQuestions!$D:$D,"")</f>
        <v>Leadership Awareness in the team</v>
      </c>
    </row>
    <row r="763" spans="1:12" x14ac:dyDescent="0.35">
      <c r="A763" t="s">
        <v>110</v>
      </c>
      <c r="B763" t="s">
        <v>61</v>
      </c>
      <c r="F763">
        <v>40</v>
      </c>
      <c r="G763" t="s">
        <v>9</v>
      </c>
      <c r="H763" t="s">
        <v>6</v>
      </c>
      <c r="I763">
        <v>2</v>
      </c>
      <c r="J763">
        <v>0</v>
      </c>
      <c r="K763" t="s">
        <v>241</v>
      </c>
      <c r="L763" t="str">
        <f>_xlfn.XLOOKUP(AllResponses[[#This Row],[QuestionID]], FinalQuestions!$A:$A, FinalQuestions!$D:$D,"")</f>
        <v>Motivation for Risk Ownership</v>
      </c>
    </row>
    <row r="764" spans="1:12" x14ac:dyDescent="0.35">
      <c r="A764" t="s">
        <v>110</v>
      </c>
      <c r="B764" t="s">
        <v>63</v>
      </c>
      <c r="F764">
        <v>60</v>
      </c>
      <c r="G764" t="s">
        <v>9</v>
      </c>
      <c r="H764" t="s">
        <v>4</v>
      </c>
      <c r="I764">
        <v>3</v>
      </c>
      <c r="J764">
        <v>0</v>
      </c>
      <c r="K764" t="s">
        <v>242</v>
      </c>
      <c r="L764" t="str">
        <f>_xlfn.XLOOKUP(AllResponses[[#This Row],[QuestionID]], FinalQuestions!$A:$A, FinalQuestions!$D:$D,"")</f>
        <v>Sense of Belonging to the Organization</v>
      </c>
    </row>
    <row r="765" spans="1:12" x14ac:dyDescent="0.35">
      <c r="A765" t="s">
        <v>110</v>
      </c>
      <c r="B765" t="s">
        <v>65</v>
      </c>
      <c r="F765">
        <v>100</v>
      </c>
      <c r="G765" t="s">
        <v>9</v>
      </c>
      <c r="H765" t="s">
        <v>85</v>
      </c>
      <c r="I765">
        <v>5</v>
      </c>
      <c r="J765">
        <v>1</v>
      </c>
      <c r="K765" t="s">
        <v>243</v>
      </c>
      <c r="L765" t="str">
        <f>_xlfn.XLOOKUP(AllResponses[[#This Row],[QuestionID]], FinalQuestions!$A:$A, FinalQuestions!$D:$D,"")</f>
        <v>Consideration of Impact on Others</v>
      </c>
    </row>
    <row r="766" spans="1:12" x14ac:dyDescent="0.35">
      <c r="A766" t="s">
        <v>110</v>
      </c>
      <c r="B766" t="s">
        <v>67</v>
      </c>
      <c r="F766">
        <v>100</v>
      </c>
      <c r="G766" t="s">
        <v>9</v>
      </c>
      <c r="H766" t="s">
        <v>85</v>
      </c>
      <c r="I766">
        <v>5</v>
      </c>
      <c r="J766">
        <v>1</v>
      </c>
      <c r="K766" t="s">
        <v>244</v>
      </c>
      <c r="L766" t="str">
        <f>_xlfn.XLOOKUP(AllResponses[[#This Row],[QuestionID]], FinalQuestions!$A:$A, FinalQuestions!$D:$D,"")</f>
        <v>Accountability for Risk Actions</v>
      </c>
    </row>
    <row r="767" spans="1:12" x14ac:dyDescent="0.35">
      <c r="A767" t="s">
        <v>110</v>
      </c>
      <c r="B767" t="s">
        <v>69</v>
      </c>
      <c r="F767">
        <v>80</v>
      </c>
      <c r="G767" t="s">
        <v>10</v>
      </c>
      <c r="H767" t="s">
        <v>2</v>
      </c>
      <c r="I767">
        <v>4</v>
      </c>
      <c r="J767">
        <v>1</v>
      </c>
      <c r="K767" t="s">
        <v>245</v>
      </c>
      <c r="L767" t="str">
        <f>_xlfn.XLOOKUP(AllResponses[[#This Row],[QuestionID]], FinalQuestions!$A:$A, FinalQuestions!$D:$D,"")</f>
        <v xml:space="preserve">Peer to peer Accountability </v>
      </c>
    </row>
    <row r="768" spans="1:12" x14ac:dyDescent="0.35">
      <c r="A768" t="s">
        <v>110</v>
      </c>
      <c r="B768" t="s">
        <v>71</v>
      </c>
      <c r="F768">
        <v>80</v>
      </c>
      <c r="G768" t="s">
        <v>10</v>
      </c>
      <c r="H768" t="s">
        <v>2</v>
      </c>
      <c r="I768">
        <v>4</v>
      </c>
      <c r="J768">
        <v>1</v>
      </c>
      <c r="K768" t="s">
        <v>246</v>
      </c>
      <c r="L768" t="str">
        <f>_xlfn.XLOOKUP(AllResponses[[#This Row],[QuestionID]], FinalQuestions!$A:$A, FinalQuestions!$D:$D,"")</f>
        <v>Timely Resolution of Accountability Issues</v>
      </c>
    </row>
    <row r="769" spans="1:12" x14ac:dyDescent="0.35">
      <c r="A769" t="s">
        <v>110</v>
      </c>
      <c r="B769" t="s">
        <v>73</v>
      </c>
      <c r="F769">
        <v>80</v>
      </c>
      <c r="G769" t="s">
        <v>10</v>
      </c>
      <c r="H769" t="s">
        <v>2</v>
      </c>
      <c r="I769">
        <v>4</v>
      </c>
      <c r="J769">
        <v>1</v>
      </c>
      <c r="K769" t="s">
        <v>247</v>
      </c>
      <c r="L769" t="str">
        <f>_xlfn.XLOOKUP(AllResponses[[#This Row],[QuestionID]], FinalQuestions!$A:$A, FinalQuestions!$D:$D,"")</f>
        <v>Comfort for Reporting Non‑Compliance.</v>
      </c>
    </row>
    <row r="770" spans="1:12" x14ac:dyDescent="0.35">
      <c r="A770" t="s">
        <v>110</v>
      </c>
      <c r="B770" t="s">
        <v>75</v>
      </c>
      <c r="F770">
        <v>80</v>
      </c>
      <c r="G770" t="s">
        <v>10</v>
      </c>
      <c r="H770" t="s">
        <v>2</v>
      </c>
      <c r="I770">
        <v>4</v>
      </c>
      <c r="J770">
        <v>1</v>
      </c>
      <c r="K770" t="s">
        <v>248</v>
      </c>
      <c r="L770" t="str">
        <f>_xlfn.XLOOKUP(AllResponses[[#This Row],[QuestionID]], FinalQuestions!$A:$A, FinalQuestions!$D:$D,"")</f>
        <v>Consistency of Conduct Enforcement</v>
      </c>
    </row>
    <row r="771" spans="1:12" x14ac:dyDescent="0.35">
      <c r="A771" t="s">
        <v>111</v>
      </c>
      <c r="B771" t="s">
        <v>13</v>
      </c>
      <c r="F771">
        <v>60</v>
      </c>
      <c r="G771" t="s">
        <v>0</v>
      </c>
      <c r="H771" t="s">
        <v>4</v>
      </c>
      <c r="I771">
        <v>3</v>
      </c>
      <c r="J771">
        <v>0</v>
      </c>
      <c r="K771" t="s">
        <v>253</v>
      </c>
      <c r="L771" t="str">
        <f>_xlfn.XLOOKUP(AllResponses[[#This Row],[QuestionID]], FinalQuestions!$A:$A, FinalQuestions!$D:$D,"")</f>
        <v xml:space="preserve">Leadership Example‑Setting in Risk Management </v>
      </c>
    </row>
    <row r="772" spans="1:12" x14ac:dyDescent="0.35">
      <c r="A772" t="s">
        <v>111</v>
      </c>
      <c r="B772" t="s">
        <v>15</v>
      </c>
      <c r="F772">
        <v>100</v>
      </c>
      <c r="G772" t="s">
        <v>0</v>
      </c>
      <c r="H772" t="s">
        <v>85</v>
      </c>
      <c r="I772">
        <v>5</v>
      </c>
      <c r="J772">
        <v>1</v>
      </c>
      <c r="K772" t="s">
        <v>222</v>
      </c>
      <c r="L772" t="str">
        <f>_xlfn.XLOOKUP(AllResponses[[#This Row],[QuestionID]], FinalQuestions!$A:$A, FinalQuestions!$D:$D,"")</f>
        <v>Executive Commitment to Risk Culture</v>
      </c>
    </row>
    <row r="773" spans="1:12" x14ac:dyDescent="0.35">
      <c r="A773" t="s">
        <v>111</v>
      </c>
      <c r="B773" t="s">
        <v>17</v>
      </c>
      <c r="F773">
        <v>100</v>
      </c>
      <c r="G773" t="s">
        <v>0</v>
      </c>
      <c r="H773" t="s">
        <v>85</v>
      </c>
      <c r="I773">
        <v>5</v>
      </c>
      <c r="J773">
        <v>1</v>
      </c>
      <c r="K773" t="s">
        <v>223</v>
      </c>
      <c r="L773" t="str">
        <f>_xlfn.XLOOKUP(AllResponses[[#This Row],[QuestionID]], FinalQuestions!$A:$A, FinalQuestions!$D:$D,"")</f>
        <v>Leadership Encouragement to Escalate Risks</v>
      </c>
    </row>
    <row r="774" spans="1:12" x14ac:dyDescent="0.35">
      <c r="A774" t="s">
        <v>111</v>
      </c>
      <c r="B774" t="s">
        <v>19</v>
      </c>
      <c r="F774">
        <v>80</v>
      </c>
      <c r="G774" t="s">
        <v>0</v>
      </c>
      <c r="H774" t="s">
        <v>2</v>
      </c>
      <c r="I774">
        <v>4</v>
      </c>
      <c r="J774">
        <v>1</v>
      </c>
      <c r="K774" t="s">
        <v>224</v>
      </c>
      <c r="L774" t="str">
        <f>_xlfn.XLOOKUP(AllResponses[[#This Row],[QuestionID]], FinalQuestions!$A:$A, FinalQuestions!$D:$D,"")</f>
        <v>Long-Term Decision Awareness</v>
      </c>
    </row>
    <row r="775" spans="1:12" x14ac:dyDescent="0.35">
      <c r="A775" t="s">
        <v>111</v>
      </c>
      <c r="B775" t="s">
        <v>21</v>
      </c>
      <c r="F775">
        <v>80</v>
      </c>
      <c r="G775" t="s">
        <v>117</v>
      </c>
      <c r="H775" t="s">
        <v>2</v>
      </c>
      <c r="I775">
        <v>4</v>
      </c>
      <c r="J775">
        <v>1</v>
      </c>
      <c r="K775" t="s">
        <v>225</v>
      </c>
      <c r="L775" t="str">
        <f>_xlfn.XLOOKUP(AllResponses[[#This Row],[QuestionID]], FinalQuestions!$A:$A, FinalQuestions!$D:$D,"")</f>
        <v>Openness to Discussions</v>
      </c>
    </row>
    <row r="776" spans="1:12" x14ac:dyDescent="0.35">
      <c r="A776" t="s">
        <v>111</v>
      </c>
      <c r="B776" t="s">
        <v>23</v>
      </c>
      <c r="F776">
        <v>100</v>
      </c>
      <c r="G776" t="s">
        <v>117</v>
      </c>
      <c r="H776" t="s">
        <v>85</v>
      </c>
      <c r="I776">
        <v>5</v>
      </c>
      <c r="J776">
        <v>1</v>
      </c>
      <c r="K776" t="s">
        <v>226</v>
      </c>
      <c r="L776" t="str">
        <f>_xlfn.XLOOKUP(AllResponses[[#This Row],[QuestionID]], FinalQuestions!$A:$A, FinalQuestions!$D:$D,"")</f>
        <v>Access to Guidance</v>
      </c>
    </row>
    <row r="777" spans="1:12" x14ac:dyDescent="0.35">
      <c r="A777" t="s">
        <v>111</v>
      </c>
      <c r="B777" t="s">
        <v>25</v>
      </c>
      <c r="F777">
        <v>100</v>
      </c>
      <c r="G777" t="s">
        <v>117</v>
      </c>
      <c r="H777" t="s">
        <v>85</v>
      </c>
      <c r="I777">
        <v>5</v>
      </c>
      <c r="J777">
        <v>1</v>
      </c>
      <c r="K777" t="s">
        <v>227</v>
      </c>
      <c r="L777" t="str">
        <f>_xlfn.XLOOKUP(AllResponses[[#This Row],[QuestionID]], FinalQuestions!$A:$A, FinalQuestions!$D:$D,"")</f>
        <v>Openness to Sharing Opinions</v>
      </c>
    </row>
    <row r="778" spans="1:12" x14ac:dyDescent="0.35">
      <c r="A778" t="s">
        <v>111</v>
      </c>
      <c r="B778" t="s">
        <v>27</v>
      </c>
      <c r="F778">
        <v>100</v>
      </c>
      <c r="G778" t="s">
        <v>117</v>
      </c>
      <c r="H778" t="s">
        <v>85</v>
      </c>
      <c r="I778">
        <v>5</v>
      </c>
      <c r="J778">
        <v>1</v>
      </c>
      <c r="K778" t="s">
        <v>228</v>
      </c>
      <c r="L778" t="str">
        <f>_xlfn.XLOOKUP(AllResponses[[#This Row],[QuestionID]], FinalQuestions!$A:$A, FinalQuestions!$D:$D,"")</f>
        <v>Comfort in Reporting Risk Dilemmas</v>
      </c>
    </row>
    <row r="779" spans="1:12" x14ac:dyDescent="0.35">
      <c r="A779" t="s">
        <v>111</v>
      </c>
      <c r="B779" t="s">
        <v>29</v>
      </c>
      <c r="F779">
        <v>100</v>
      </c>
      <c r="G779" t="s">
        <v>3</v>
      </c>
      <c r="H779" t="s">
        <v>85</v>
      </c>
      <c r="I779">
        <v>5</v>
      </c>
      <c r="J779">
        <v>1</v>
      </c>
      <c r="K779" t="s">
        <v>229</v>
      </c>
      <c r="L779" t="str">
        <f>_xlfn.XLOOKUP(AllResponses[[#This Row],[QuestionID]], FinalQuestions!$A:$A, FinalQuestions!$D:$D,"")</f>
        <v>Adequacy of Risk Management Training</v>
      </c>
    </row>
    <row r="780" spans="1:12" x14ac:dyDescent="0.35">
      <c r="A780" t="s">
        <v>111</v>
      </c>
      <c r="B780" t="s">
        <v>31</v>
      </c>
      <c r="F780">
        <v>100</v>
      </c>
      <c r="G780" t="s">
        <v>3</v>
      </c>
      <c r="H780" t="s">
        <v>85</v>
      </c>
      <c r="I780">
        <v>5</v>
      </c>
      <c r="J780">
        <v>1</v>
      </c>
      <c r="K780" t="s">
        <v>230</v>
      </c>
      <c r="L780" t="str">
        <f>_xlfn.XLOOKUP(AllResponses[[#This Row],[QuestionID]], FinalQuestions!$A:$A, FinalQuestions!$D:$D,"")</f>
        <v>Workload Balance &amp; Resource Sufficiency</v>
      </c>
    </row>
    <row r="781" spans="1:12" x14ac:dyDescent="0.35">
      <c r="A781" t="s">
        <v>111</v>
      </c>
      <c r="B781" t="s">
        <v>33</v>
      </c>
      <c r="F781">
        <v>80</v>
      </c>
      <c r="G781" t="s">
        <v>3</v>
      </c>
      <c r="H781" t="s">
        <v>2</v>
      </c>
      <c r="I781">
        <v>4</v>
      </c>
      <c r="J781">
        <v>1</v>
      </c>
      <c r="K781" t="s">
        <v>231</v>
      </c>
      <c r="L781" t="str">
        <f>_xlfn.XLOOKUP(AllResponses[[#This Row],[QuestionID]], FinalQuestions!$A:$A, FinalQuestions!$D:$D,"")</f>
        <v>Realistic Target Setting</v>
      </c>
    </row>
    <row r="782" spans="1:12" x14ac:dyDescent="0.35">
      <c r="A782" t="s">
        <v>111</v>
      </c>
      <c r="B782" t="s">
        <v>35</v>
      </c>
      <c r="F782">
        <v>40</v>
      </c>
      <c r="G782" t="s">
        <v>3</v>
      </c>
      <c r="H782" t="s">
        <v>6</v>
      </c>
      <c r="I782">
        <v>2</v>
      </c>
      <c r="J782">
        <v>0</v>
      </c>
      <c r="K782" t="s">
        <v>232</v>
      </c>
      <c r="L782" t="str">
        <f>_xlfn.XLOOKUP(AllResponses[[#This Row],[QuestionID]], FinalQuestions!$A:$A, FinalQuestions!$D:$D,"")</f>
        <v>Risk Insight in Decision Making</v>
      </c>
    </row>
    <row r="783" spans="1:12" x14ac:dyDescent="0.35">
      <c r="A783" t="s">
        <v>111</v>
      </c>
      <c r="B783" t="s">
        <v>37</v>
      </c>
      <c r="F783">
        <v>60</v>
      </c>
      <c r="G783" t="s">
        <v>5</v>
      </c>
      <c r="H783" t="s">
        <v>4</v>
      </c>
      <c r="I783">
        <v>3</v>
      </c>
      <c r="J783">
        <v>0</v>
      </c>
      <c r="K783" t="s">
        <v>233</v>
      </c>
      <c r="L783" t="str">
        <f>_xlfn.XLOOKUP(AllResponses[[#This Row],[QuestionID]], FinalQuestions!$A:$A, FinalQuestions!$D:$D,"")</f>
        <v>Learning Culture from Non‑Compliance Cases</v>
      </c>
    </row>
    <row r="784" spans="1:12" x14ac:dyDescent="0.35">
      <c r="A784" t="s">
        <v>111</v>
      </c>
      <c r="B784" t="s">
        <v>39</v>
      </c>
      <c r="F784">
        <v>100</v>
      </c>
      <c r="G784" t="s">
        <v>5</v>
      </c>
      <c r="H784" t="s">
        <v>85</v>
      </c>
      <c r="I784">
        <v>5</v>
      </c>
      <c r="J784">
        <v>1</v>
      </c>
      <c r="K784" t="s">
        <v>234</v>
      </c>
      <c r="L784" t="str">
        <f>_xlfn.XLOOKUP(AllResponses[[#This Row],[QuestionID]], FinalQuestions!$A:$A, FinalQuestions!$D:$D,"")</f>
        <v>Organizational View on Risk Culture</v>
      </c>
    </row>
    <row r="785" spans="1:12" x14ac:dyDescent="0.35">
      <c r="A785" t="s">
        <v>111</v>
      </c>
      <c r="B785" t="s">
        <v>41</v>
      </c>
      <c r="F785">
        <v>80</v>
      </c>
      <c r="G785" t="s">
        <v>5</v>
      </c>
      <c r="H785" t="s">
        <v>2</v>
      </c>
      <c r="I785">
        <v>4</v>
      </c>
      <c r="J785">
        <v>1</v>
      </c>
      <c r="K785" t="s">
        <v>235</v>
      </c>
      <c r="L785" t="str">
        <f>_xlfn.XLOOKUP(AllResponses[[#This Row],[QuestionID]], FinalQuestions!$A:$A, FinalQuestions!$D:$D,"")</f>
        <v>Compliance Recognition &amp; enforcement</v>
      </c>
    </row>
    <row r="786" spans="1:12" x14ac:dyDescent="0.35">
      <c r="A786" t="s">
        <v>111</v>
      </c>
      <c r="B786" t="s">
        <v>43</v>
      </c>
      <c r="F786">
        <v>40</v>
      </c>
      <c r="G786" t="s">
        <v>5</v>
      </c>
      <c r="H786" t="s">
        <v>6</v>
      </c>
      <c r="I786">
        <v>2</v>
      </c>
      <c r="J786">
        <v>0</v>
      </c>
      <c r="K786" t="s">
        <v>236</v>
      </c>
      <c r="L786" t="str">
        <f>_xlfn.XLOOKUP(AllResponses[[#This Row],[QuestionID]], FinalQuestions!$A:$A, FinalQuestions!$D:$D,"")</f>
        <v>Sense of Ownership</v>
      </c>
    </row>
    <row r="787" spans="1:12" x14ac:dyDescent="0.35">
      <c r="A787" t="s">
        <v>111</v>
      </c>
      <c r="B787" t="s">
        <v>45</v>
      </c>
      <c r="F787">
        <v>60</v>
      </c>
      <c r="G787" t="s">
        <v>7</v>
      </c>
      <c r="H787" t="s">
        <v>4</v>
      </c>
      <c r="I787">
        <v>3</v>
      </c>
      <c r="J787">
        <v>0</v>
      </c>
      <c r="K787" t="s">
        <v>237</v>
      </c>
      <c r="L787" t="str">
        <f>_xlfn.XLOOKUP(AllResponses[[#This Row],[QuestionID]], FinalQuestions!$A:$A, FinalQuestions!$D:$D,"")</f>
        <v>Clarity of Role and Responsibilities</v>
      </c>
    </row>
    <row r="788" spans="1:12" x14ac:dyDescent="0.35">
      <c r="A788" t="s">
        <v>111</v>
      </c>
      <c r="B788" t="s">
        <v>47</v>
      </c>
      <c r="F788">
        <v>100</v>
      </c>
      <c r="G788" t="s">
        <v>7</v>
      </c>
      <c r="H788" t="s">
        <v>85</v>
      </c>
      <c r="I788">
        <v>5</v>
      </c>
      <c r="J788">
        <v>1</v>
      </c>
      <c r="K788" t="s">
        <v>238</v>
      </c>
      <c r="L788" t="str">
        <f>_xlfn.XLOOKUP(AllResponses[[#This Row],[QuestionID]], FinalQuestions!$A:$A, FinalQuestions!$D:$D,"")</f>
        <v>Understanding of Risk Policies &amp; Procedures</v>
      </c>
    </row>
    <row r="789" spans="1:12" x14ac:dyDescent="0.35">
      <c r="A789" t="s">
        <v>111</v>
      </c>
      <c r="B789" t="s">
        <v>49</v>
      </c>
      <c r="F789">
        <v>100</v>
      </c>
      <c r="G789" t="s">
        <v>7</v>
      </c>
      <c r="H789" t="s">
        <v>85</v>
      </c>
      <c r="I789">
        <v>5</v>
      </c>
      <c r="J789">
        <v>1</v>
      </c>
      <c r="K789" t="s">
        <v>239</v>
      </c>
      <c r="L789" t="str">
        <f>_xlfn.XLOOKUP(AllResponses[[#This Row],[QuestionID]], FinalQuestions!$A:$A, FinalQuestions!$D:$D,"")</f>
        <v>Clarity of Personal Risk Boundaries</v>
      </c>
    </row>
    <row r="790" spans="1:12" x14ac:dyDescent="0.35">
      <c r="A790" t="s">
        <v>111</v>
      </c>
      <c r="B790" t="s">
        <v>51</v>
      </c>
      <c r="F790">
        <v>80</v>
      </c>
      <c r="G790" t="s">
        <v>7</v>
      </c>
      <c r="H790" t="s">
        <v>2</v>
      </c>
      <c r="I790">
        <v>4</v>
      </c>
      <c r="J790">
        <v>1</v>
      </c>
      <c r="K790" t="s">
        <v>240</v>
      </c>
      <c r="L790" t="str">
        <f>_xlfn.XLOOKUP(AllResponses[[#This Row],[QuestionID]], FinalQuestions!$A:$A, FinalQuestions!$D:$D,"")</f>
        <v>Effectiveness of Risk Communication &amp; Training</v>
      </c>
    </row>
    <row r="791" spans="1:12" x14ac:dyDescent="0.35">
      <c r="A791" t="s">
        <v>111</v>
      </c>
      <c r="B791" t="s">
        <v>53</v>
      </c>
      <c r="F791">
        <v>80</v>
      </c>
      <c r="G791" t="s">
        <v>8</v>
      </c>
      <c r="H791" t="s">
        <v>2</v>
      </c>
      <c r="I791">
        <v>4</v>
      </c>
      <c r="J791">
        <v>1</v>
      </c>
      <c r="K791" t="s">
        <v>249</v>
      </c>
      <c r="L791" t="str">
        <f>_xlfn.XLOOKUP(AllResponses[[#This Row],[QuestionID]], FinalQuestions!$A:$A, FinalQuestions!$D:$D,"")</f>
        <v>Compliance Confidence in team</v>
      </c>
    </row>
    <row r="792" spans="1:12" x14ac:dyDescent="0.35">
      <c r="A792" t="s">
        <v>111</v>
      </c>
      <c r="B792" t="s">
        <v>55</v>
      </c>
      <c r="F792">
        <v>80</v>
      </c>
      <c r="G792" t="s">
        <v>8</v>
      </c>
      <c r="H792" t="s">
        <v>2</v>
      </c>
      <c r="I792">
        <v>4</v>
      </c>
      <c r="J792">
        <v>1</v>
      </c>
      <c r="K792" t="s">
        <v>250</v>
      </c>
      <c r="L792" t="str">
        <f>_xlfn.XLOOKUP(AllResponses[[#This Row],[QuestionID]], FinalQuestions!$A:$A, FinalQuestions!$D:$D,"")</f>
        <v>Transparency in Decision‑Making</v>
      </c>
    </row>
    <row r="793" spans="1:12" x14ac:dyDescent="0.35">
      <c r="A793" t="s">
        <v>111</v>
      </c>
      <c r="B793" t="s">
        <v>57</v>
      </c>
      <c r="F793">
        <v>60</v>
      </c>
      <c r="G793" t="s">
        <v>8</v>
      </c>
      <c r="H793" t="s">
        <v>4</v>
      </c>
      <c r="I793">
        <v>3</v>
      </c>
      <c r="J793">
        <v>0</v>
      </c>
      <c r="K793" t="s">
        <v>251</v>
      </c>
      <c r="L793" t="str">
        <f>_xlfn.XLOOKUP(AllResponses[[#This Row],[QuestionID]], FinalQuestions!$A:$A, FinalQuestions!$D:$D,"")</f>
        <v>Fairness &amp; Equity of Expectations</v>
      </c>
    </row>
    <row r="794" spans="1:12" x14ac:dyDescent="0.35">
      <c r="A794" t="s">
        <v>111</v>
      </c>
      <c r="B794" t="s">
        <v>59</v>
      </c>
      <c r="F794">
        <v>100</v>
      </c>
      <c r="G794" t="s">
        <v>8</v>
      </c>
      <c r="H794" t="s">
        <v>85</v>
      </c>
      <c r="I794">
        <v>5</v>
      </c>
      <c r="J794">
        <v>1</v>
      </c>
      <c r="K794" t="s">
        <v>252</v>
      </c>
      <c r="L794" t="str">
        <f>_xlfn.XLOOKUP(AllResponses[[#This Row],[QuestionID]], FinalQuestions!$A:$A, FinalQuestions!$D:$D,"")</f>
        <v>Leadership Awareness in the team</v>
      </c>
    </row>
    <row r="795" spans="1:12" x14ac:dyDescent="0.35">
      <c r="A795" t="s">
        <v>111</v>
      </c>
      <c r="B795" t="s">
        <v>61</v>
      </c>
      <c r="F795">
        <v>100</v>
      </c>
      <c r="G795" t="s">
        <v>9</v>
      </c>
      <c r="H795" t="s">
        <v>85</v>
      </c>
      <c r="I795">
        <v>5</v>
      </c>
      <c r="J795">
        <v>1</v>
      </c>
      <c r="K795" t="s">
        <v>241</v>
      </c>
      <c r="L795" t="str">
        <f>_xlfn.XLOOKUP(AllResponses[[#This Row],[QuestionID]], FinalQuestions!$A:$A, FinalQuestions!$D:$D,"")</f>
        <v>Motivation for Risk Ownership</v>
      </c>
    </row>
    <row r="796" spans="1:12" x14ac:dyDescent="0.35">
      <c r="A796" t="s">
        <v>111</v>
      </c>
      <c r="B796" t="s">
        <v>63</v>
      </c>
      <c r="F796">
        <v>80</v>
      </c>
      <c r="G796" t="s">
        <v>9</v>
      </c>
      <c r="H796" t="s">
        <v>2</v>
      </c>
      <c r="I796">
        <v>4</v>
      </c>
      <c r="J796">
        <v>1</v>
      </c>
      <c r="K796" t="s">
        <v>242</v>
      </c>
      <c r="L796" t="str">
        <f>_xlfn.XLOOKUP(AllResponses[[#This Row],[QuestionID]], FinalQuestions!$A:$A, FinalQuestions!$D:$D,"")</f>
        <v>Sense of Belonging to the Organization</v>
      </c>
    </row>
    <row r="797" spans="1:12" x14ac:dyDescent="0.35">
      <c r="A797" t="s">
        <v>111</v>
      </c>
      <c r="B797" t="s">
        <v>65</v>
      </c>
      <c r="F797">
        <v>80</v>
      </c>
      <c r="G797" t="s">
        <v>9</v>
      </c>
      <c r="H797" t="s">
        <v>2</v>
      </c>
      <c r="I797">
        <v>4</v>
      </c>
      <c r="J797">
        <v>1</v>
      </c>
      <c r="K797" t="s">
        <v>243</v>
      </c>
      <c r="L797" t="str">
        <f>_xlfn.XLOOKUP(AllResponses[[#This Row],[QuestionID]], FinalQuestions!$A:$A, FinalQuestions!$D:$D,"")</f>
        <v>Consideration of Impact on Others</v>
      </c>
    </row>
    <row r="798" spans="1:12" x14ac:dyDescent="0.35">
      <c r="A798" t="s">
        <v>111</v>
      </c>
      <c r="B798" t="s">
        <v>67</v>
      </c>
      <c r="F798">
        <v>80</v>
      </c>
      <c r="G798" t="s">
        <v>9</v>
      </c>
      <c r="H798" t="s">
        <v>2</v>
      </c>
      <c r="I798">
        <v>4</v>
      </c>
      <c r="J798">
        <v>1</v>
      </c>
      <c r="K798" t="s">
        <v>244</v>
      </c>
      <c r="L798" t="str">
        <f>_xlfn.XLOOKUP(AllResponses[[#This Row],[QuestionID]], FinalQuestions!$A:$A, FinalQuestions!$D:$D,"")</f>
        <v>Accountability for Risk Actions</v>
      </c>
    </row>
    <row r="799" spans="1:12" x14ac:dyDescent="0.35">
      <c r="A799" t="s">
        <v>111</v>
      </c>
      <c r="B799" t="s">
        <v>69</v>
      </c>
      <c r="F799">
        <v>40</v>
      </c>
      <c r="G799" t="s">
        <v>10</v>
      </c>
      <c r="H799" t="s">
        <v>6</v>
      </c>
      <c r="I799">
        <v>2</v>
      </c>
      <c r="J799">
        <v>0</v>
      </c>
      <c r="K799" t="s">
        <v>245</v>
      </c>
      <c r="L799" t="str">
        <f>_xlfn.XLOOKUP(AllResponses[[#This Row],[QuestionID]], FinalQuestions!$A:$A, FinalQuestions!$D:$D,"")</f>
        <v xml:space="preserve">Peer to peer Accountability </v>
      </c>
    </row>
    <row r="800" spans="1:12" x14ac:dyDescent="0.35">
      <c r="A800" t="s">
        <v>111</v>
      </c>
      <c r="B800" t="s">
        <v>71</v>
      </c>
      <c r="F800">
        <v>60</v>
      </c>
      <c r="G800" t="s">
        <v>10</v>
      </c>
      <c r="H800" t="s">
        <v>4</v>
      </c>
      <c r="I800">
        <v>3</v>
      </c>
      <c r="J800">
        <v>0</v>
      </c>
      <c r="K800" t="s">
        <v>246</v>
      </c>
      <c r="L800" t="str">
        <f>_xlfn.XLOOKUP(AllResponses[[#This Row],[QuestionID]], FinalQuestions!$A:$A, FinalQuestions!$D:$D,"")</f>
        <v>Timely Resolution of Accountability Issues</v>
      </c>
    </row>
    <row r="801" spans="1:12" x14ac:dyDescent="0.35">
      <c r="A801" t="s">
        <v>111</v>
      </c>
      <c r="B801" t="s">
        <v>73</v>
      </c>
      <c r="F801">
        <v>100</v>
      </c>
      <c r="G801" t="s">
        <v>10</v>
      </c>
      <c r="H801" t="s">
        <v>85</v>
      </c>
      <c r="I801">
        <v>5</v>
      </c>
      <c r="J801">
        <v>1</v>
      </c>
      <c r="K801" t="s">
        <v>247</v>
      </c>
      <c r="L801" t="str">
        <f>_xlfn.XLOOKUP(AllResponses[[#This Row],[QuestionID]], FinalQuestions!$A:$A, FinalQuestions!$D:$D,"")</f>
        <v>Comfort for Reporting Non‑Compliance.</v>
      </c>
    </row>
    <row r="802" spans="1:12" x14ac:dyDescent="0.35">
      <c r="A802" t="s">
        <v>111</v>
      </c>
      <c r="B802" t="s">
        <v>75</v>
      </c>
      <c r="F802">
        <v>80</v>
      </c>
      <c r="G802" t="s">
        <v>10</v>
      </c>
      <c r="H802" t="s">
        <v>2</v>
      </c>
      <c r="I802">
        <v>4</v>
      </c>
      <c r="J802">
        <v>1</v>
      </c>
      <c r="K802" t="s">
        <v>248</v>
      </c>
      <c r="L802" t="str">
        <f>_xlfn.XLOOKUP(AllResponses[[#This Row],[QuestionID]], FinalQuestions!$A:$A, FinalQuestions!$D:$D,"")</f>
        <v>Consistency of Conduct Enforcement</v>
      </c>
    </row>
    <row r="803" spans="1:12" x14ac:dyDescent="0.35">
      <c r="A803" t="s">
        <v>112</v>
      </c>
      <c r="B803" t="s">
        <v>13</v>
      </c>
      <c r="F803">
        <v>40</v>
      </c>
      <c r="G803" t="s">
        <v>0</v>
      </c>
      <c r="H803" t="s">
        <v>6</v>
      </c>
      <c r="I803">
        <v>2</v>
      </c>
      <c r="J803">
        <v>0</v>
      </c>
      <c r="K803" t="s">
        <v>253</v>
      </c>
      <c r="L803" t="str">
        <f>_xlfn.XLOOKUP(AllResponses[[#This Row],[QuestionID]], FinalQuestions!$A:$A, FinalQuestions!$D:$D,"")</f>
        <v xml:space="preserve">Leadership Example‑Setting in Risk Management </v>
      </c>
    </row>
    <row r="804" spans="1:12" x14ac:dyDescent="0.35">
      <c r="A804" t="s">
        <v>112</v>
      </c>
      <c r="B804" t="s">
        <v>15</v>
      </c>
      <c r="F804">
        <v>60</v>
      </c>
      <c r="G804" t="s">
        <v>0</v>
      </c>
      <c r="H804" t="s">
        <v>4</v>
      </c>
      <c r="I804">
        <v>3</v>
      </c>
      <c r="J804">
        <v>0</v>
      </c>
      <c r="K804" t="s">
        <v>222</v>
      </c>
      <c r="L804" t="str">
        <f>_xlfn.XLOOKUP(AllResponses[[#This Row],[QuestionID]], FinalQuestions!$A:$A, FinalQuestions!$D:$D,"")</f>
        <v>Executive Commitment to Risk Culture</v>
      </c>
    </row>
    <row r="805" spans="1:12" x14ac:dyDescent="0.35">
      <c r="A805" t="s">
        <v>112</v>
      </c>
      <c r="B805" t="s">
        <v>17</v>
      </c>
      <c r="F805">
        <v>100</v>
      </c>
      <c r="G805" t="s">
        <v>0</v>
      </c>
      <c r="H805" t="s">
        <v>85</v>
      </c>
      <c r="I805">
        <v>5</v>
      </c>
      <c r="J805">
        <v>1</v>
      </c>
      <c r="K805" t="s">
        <v>223</v>
      </c>
      <c r="L805" t="str">
        <f>_xlfn.XLOOKUP(AllResponses[[#This Row],[QuestionID]], FinalQuestions!$A:$A, FinalQuestions!$D:$D,"")</f>
        <v>Leadership Encouragement to Escalate Risks</v>
      </c>
    </row>
    <row r="806" spans="1:12" x14ac:dyDescent="0.35">
      <c r="A806" t="s">
        <v>112</v>
      </c>
      <c r="B806" t="s">
        <v>19</v>
      </c>
      <c r="F806">
        <v>100</v>
      </c>
      <c r="G806" t="s">
        <v>0</v>
      </c>
      <c r="H806" t="s">
        <v>85</v>
      </c>
      <c r="I806">
        <v>5</v>
      </c>
      <c r="J806">
        <v>1</v>
      </c>
      <c r="K806" t="s">
        <v>224</v>
      </c>
      <c r="L806" t="str">
        <f>_xlfn.XLOOKUP(AllResponses[[#This Row],[QuestionID]], FinalQuestions!$A:$A, FinalQuestions!$D:$D,"")</f>
        <v>Long-Term Decision Awareness</v>
      </c>
    </row>
    <row r="807" spans="1:12" x14ac:dyDescent="0.35">
      <c r="A807" t="s">
        <v>112</v>
      </c>
      <c r="B807" t="s">
        <v>21</v>
      </c>
      <c r="F807">
        <v>80</v>
      </c>
      <c r="G807" t="s">
        <v>117</v>
      </c>
      <c r="H807" t="s">
        <v>2</v>
      </c>
      <c r="I807">
        <v>4</v>
      </c>
      <c r="J807">
        <v>1</v>
      </c>
      <c r="K807" t="s">
        <v>225</v>
      </c>
      <c r="L807" t="str">
        <f>_xlfn.XLOOKUP(AllResponses[[#This Row],[QuestionID]], FinalQuestions!$A:$A, FinalQuestions!$D:$D,"")</f>
        <v>Openness to Discussions</v>
      </c>
    </row>
    <row r="808" spans="1:12" x14ac:dyDescent="0.35">
      <c r="A808" t="s">
        <v>112</v>
      </c>
      <c r="B808" t="s">
        <v>23</v>
      </c>
      <c r="F808">
        <v>100</v>
      </c>
      <c r="G808" t="s">
        <v>117</v>
      </c>
      <c r="H808" t="s">
        <v>85</v>
      </c>
      <c r="I808">
        <v>5</v>
      </c>
      <c r="J808">
        <v>1</v>
      </c>
      <c r="K808" t="s">
        <v>226</v>
      </c>
      <c r="L808" t="str">
        <f>_xlfn.XLOOKUP(AllResponses[[#This Row],[QuestionID]], FinalQuestions!$A:$A, FinalQuestions!$D:$D,"")</f>
        <v>Access to Guidance</v>
      </c>
    </row>
    <row r="809" spans="1:12" x14ac:dyDescent="0.35">
      <c r="A809" t="s">
        <v>112</v>
      </c>
      <c r="B809" t="s">
        <v>25</v>
      </c>
      <c r="F809">
        <v>80</v>
      </c>
      <c r="G809" t="s">
        <v>117</v>
      </c>
      <c r="H809" t="s">
        <v>2</v>
      </c>
      <c r="I809">
        <v>4</v>
      </c>
      <c r="J809">
        <v>1</v>
      </c>
      <c r="K809" t="s">
        <v>227</v>
      </c>
      <c r="L809" t="str">
        <f>_xlfn.XLOOKUP(AllResponses[[#This Row],[QuestionID]], FinalQuestions!$A:$A, FinalQuestions!$D:$D,"")</f>
        <v>Openness to Sharing Opinions</v>
      </c>
    </row>
    <row r="810" spans="1:12" x14ac:dyDescent="0.35">
      <c r="A810" t="s">
        <v>112</v>
      </c>
      <c r="B810" t="s">
        <v>27</v>
      </c>
      <c r="F810">
        <v>80</v>
      </c>
      <c r="G810" t="s">
        <v>117</v>
      </c>
      <c r="H810" t="s">
        <v>2</v>
      </c>
      <c r="I810">
        <v>4</v>
      </c>
      <c r="J810">
        <v>1</v>
      </c>
      <c r="K810" t="s">
        <v>228</v>
      </c>
      <c r="L810" t="str">
        <f>_xlfn.XLOOKUP(AllResponses[[#This Row],[QuestionID]], FinalQuestions!$A:$A, FinalQuestions!$D:$D,"")</f>
        <v>Comfort in Reporting Risk Dilemmas</v>
      </c>
    </row>
    <row r="811" spans="1:12" x14ac:dyDescent="0.35">
      <c r="A811" t="s">
        <v>112</v>
      </c>
      <c r="B811" t="s">
        <v>29</v>
      </c>
      <c r="F811">
        <v>80</v>
      </c>
      <c r="G811" t="s">
        <v>3</v>
      </c>
      <c r="H811" t="s">
        <v>2</v>
      </c>
      <c r="I811">
        <v>4</v>
      </c>
      <c r="J811">
        <v>1</v>
      </c>
      <c r="K811" t="s">
        <v>229</v>
      </c>
      <c r="L811" t="str">
        <f>_xlfn.XLOOKUP(AllResponses[[#This Row],[QuestionID]], FinalQuestions!$A:$A, FinalQuestions!$D:$D,"")</f>
        <v>Adequacy of Risk Management Training</v>
      </c>
    </row>
    <row r="812" spans="1:12" x14ac:dyDescent="0.35">
      <c r="A812" t="s">
        <v>112</v>
      </c>
      <c r="B812" t="s">
        <v>31</v>
      </c>
      <c r="F812">
        <v>80</v>
      </c>
      <c r="G812" t="s">
        <v>3</v>
      </c>
      <c r="H812" t="s">
        <v>2</v>
      </c>
      <c r="I812">
        <v>4</v>
      </c>
      <c r="J812">
        <v>1</v>
      </c>
      <c r="K812" t="s">
        <v>230</v>
      </c>
      <c r="L812" t="str">
        <f>_xlfn.XLOOKUP(AllResponses[[#This Row],[QuestionID]], FinalQuestions!$A:$A, FinalQuestions!$D:$D,"")</f>
        <v>Workload Balance &amp; Resource Sufficiency</v>
      </c>
    </row>
    <row r="813" spans="1:12" x14ac:dyDescent="0.35">
      <c r="A813" t="s">
        <v>112</v>
      </c>
      <c r="B813" t="s">
        <v>33</v>
      </c>
      <c r="F813">
        <v>80</v>
      </c>
      <c r="G813" t="s">
        <v>3</v>
      </c>
      <c r="H813" t="s">
        <v>2</v>
      </c>
      <c r="I813">
        <v>4</v>
      </c>
      <c r="J813">
        <v>1</v>
      </c>
      <c r="K813" t="s">
        <v>231</v>
      </c>
      <c r="L813" t="str">
        <f>_xlfn.XLOOKUP(AllResponses[[#This Row],[QuestionID]], FinalQuestions!$A:$A, FinalQuestions!$D:$D,"")</f>
        <v>Realistic Target Setting</v>
      </c>
    </row>
    <row r="814" spans="1:12" x14ac:dyDescent="0.35">
      <c r="A814" t="s">
        <v>112</v>
      </c>
      <c r="B814" t="s">
        <v>35</v>
      </c>
      <c r="F814">
        <v>80</v>
      </c>
      <c r="G814" t="s">
        <v>3</v>
      </c>
      <c r="H814" t="s">
        <v>2</v>
      </c>
      <c r="I814">
        <v>4</v>
      </c>
      <c r="J814">
        <v>1</v>
      </c>
      <c r="K814" t="s">
        <v>232</v>
      </c>
      <c r="L814" t="str">
        <f>_xlfn.XLOOKUP(AllResponses[[#This Row],[QuestionID]], FinalQuestions!$A:$A, FinalQuestions!$D:$D,"")</f>
        <v>Risk Insight in Decision Making</v>
      </c>
    </row>
    <row r="815" spans="1:12" x14ac:dyDescent="0.35">
      <c r="A815" t="s">
        <v>112</v>
      </c>
      <c r="B815" t="s">
        <v>37</v>
      </c>
      <c r="F815">
        <v>80</v>
      </c>
      <c r="G815" t="s">
        <v>5</v>
      </c>
      <c r="H815" t="s">
        <v>2</v>
      </c>
      <c r="I815">
        <v>4</v>
      </c>
      <c r="J815">
        <v>1</v>
      </c>
      <c r="K815" t="s">
        <v>233</v>
      </c>
      <c r="L815" t="str">
        <f>_xlfn.XLOOKUP(AllResponses[[#This Row],[QuestionID]], FinalQuestions!$A:$A, FinalQuestions!$D:$D,"")</f>
        <v>Learning Culture from Non‑Compliance Cases</v>
      </c>
    </row>
    <row r="816" spans="1:12" x14ac:dyDescent="0.35">
      <c r="A816" t="s">
        <v>112</v>
      </c>
      <c r="B816" t="s">
        <v>39</v>
      </c>
      <c r="F816">
        <v>80</v>
      </c>
      <c r="G816" t="s">
        <v>5</v>
      </c>
      <c r="H816" t="s">
        <v>2</v>
      </c>
      <c r="I816">
        <v>4</v>
      </c>
      <c r="J816">
        <v>1</v>
      </c>
      <c r="K816" t="s">
        <v>234</v>
      </c>
      <c r="L816" t="str">
        <f>_xlfn.XLOOKUP(AllResponses[[#This Row],[QuestionID]], FinalQuestions!$A:$A, FinalQuestions!$D:$D,"")</f>
        <v>Organizational View on Risk Culture</v>
      </c>
    </row>
    <row r="817" spans="1:12" x14ac:dyDescent="0.35">
      <c r="A817" t="s">
        <v>112</v>
      </c>
      <c r="B817" t="s">
        <v>41</v>
      </c>
      <c r="F817">
        <v>60</v>
      </c>
      <c r="G817" t="s">
        <v>5</v>
      </c>
      <c r="H817" t="s">
        <v>4</v>
      </c>
      <c r="I817">
        <v>3</v>
      </c>
      <c r="J817">
        <v>0</v>
      </c>
      <c r="K817" t="s">
        <v>235</v>
      </c>
      <c r="L817" t="str">
        <f>_xlfn.XLOOKUP(AllResponses[[#This Row],[QuestionID]], FinalQuestions!$A:$A, FinalQuestions!$D:$D,"")</f>
        <v>Compliance Recognition &amp; enforcement</v>
      </c>
    </row>
    <row r="818" spans="1:12" x14ac:dyDescent="0.35">
      <c r="A818" t="s">
        <v>112</v>
      </c>
      <c r="B818" t="s">
        <v>43</v>
      </c>
      <c r="F818">
        <v>100</v>
      </c>
      <c r="G818" t="s">
        <v>5</v>
      </c>
      <c r="H818" t="s">
        <v>85</v>
      </c>
      <c r="I818">
        <v>5</v>
      </c>
      <c r="J818">
        <v>1</v>
      </c>
      <c r="K818" t="s">
        <v>236</v>
      </c>
      <c r="L818" t="str">
        <f>_xlfn.XLOOKUP(AllResponses[[#This Row],[QuestionID]], FinalQuestions!$A:$A, FinalQuestions!$D:$D,"")</f>
        <v>Sense of Ownership</v>
      </c>
    </row>
    <row r="819" spans="1:12" x14ac:dyDescent="0.35">
      <c r="A819" t="s">
        <v>112</v>
      </c>
      <c r="B819" t="s">
        <v>45</v>
      </c>
      <c r="F819">
        <v>100</v>
      </c>
      <c r="G819" t="s">
        <v>7</v>
      </c>
      <c r="H819" t="s">
        <v>85</v>
      </c>
      <c r="I819">
        <v>5</v>
      </c>
      <c r="J819">
        <v>1</v>
      </c>
      <c r="K819" t="s">
        <v>237</v>
      </c>
      <c r="L819" t="str">
        <f>_xlfn.XLOOKUP(AllResponses[[#This Row],[QuestionID]], FinalQuestions!$A:$A, FinalQuestions!$D:$D,"")</f>
        <v>Clarity of Role and Responsibilities</v>
      </c>
    </row>
    <row r="820" spans="1:12" x14ac:dyDescent="0.35">
      <c r="A820" t="s">
        <v>112</v>
      </c>
      <c r="B820" t="s">
        <v>47</v>
      </c>
      <c r="F820">
        <v>80</v>
      </c>
      <c r="G820" t="s">
        <v>7</v>
      </c>
      <c r="H820" t="s">
        <v>2</v>
      </c>
      <c r="I820">
        <v>4</v>
      </c>
      <c r="J820">
        <v>1</v>
      </c>
      <c r="K820" t="s">
        <v>238</v>
      </c>
      <c r="L820" t="str">
        <f>_xlfn.XLOOKUP(AllResponses[[#This Row],[QuestionID]], FinalQuestions!$A:$A, FinalQuestions!$D:$D,"")</f>
        <v>Understanding of Risk Policies &amp; Procedures</v>
      </c>
    </row>
    <row r="821" spans="1:12" x14ac:dyDescent="0.35">
      <c r="A821" t="s">
        <v>112</v>
      </c>
      <c r="B821" t="s">
        <v>49</v>
      </c>
      <c r="F821">
        <v>80</v>
      </c>
      <c r="G821" t="s">
        <v>7</v>
      </c>
      <c r="H821" t="s">
        <v>2</v>
      </c>
      <c r="I821">
        <v>4</v>
      </c>
      <c r="J821">
        <v>1</v>
      </c>
      <c r="K821" t="s">
        <v>239</v>
      </c>
      <c r="L821" t="str">
        <f>_xlfn.XLOOKUP(AllResponses[[#This Row],[QuestionID]], FinalQuestions!$A:$A, FinalQuestions!$D:$D,"")</f>
        <v>Clarity of Personal Risk Boundaries</v>
      </c>
    </row>
    <row r="822" spans="1:12" x14ac:dyDescent="0.35">
      <c r="A822" t="s">
        <v>112</v>
      </c>
      <c r="B822" t="s">
        <v>51</v>
      </c>
      <c r="F822">
        <v>100</v>
      </c>
      <c r="G822" t="s">
        <v>7</v>
      </c>
      <c r="H822" t="s">
        <v>85</v>
      </c>
      <c r="I822">
        <v>5</v>
      </c>
      <c r="J822">
        <v>1</v>
      </c>
      <c r="K822" t="s">
        <v>240</v>
      </c>
      <c r="L822" t="str">
        <f>_xlfn.XLOOKUP(AllResponses[[#This Row],[QuestionID]], FinalQuestions!$A:$A, FinalQuestions!$D:$D,"")</f>
        <v>Effectiveness of Risk Communication &amp; Training</v>
      </c>
    </row>
    <row r="823" spans="1:12" x14ac:dyDescent="0.35">
      <c r="A823" t="s">
        <v>112</v>
      </c>
      <c r="B823" t="s">
        <v>53</v>
      </c>
      <c r="F823">
        <v>100</v>
      </c>
      <c r="G823" t="s">
        <v>8</v>
      </c>
      <c r="H823" t="s">
        <v>85</v>
      </c>
      <c r="I823">
        <v>5</v>
      </c>
      <c r="J823">
        <v>1</v>
      </c>
      <c r="K823" t="s">
        <v>249</v>
      </c>
      <c r="L823" t="str">
        <f>_xlfn.XLOOKUP(AllResponses[[#This Row],[QuestionID]], FinalQuestions!$A:$A, FinalQuestions!$D:$D,"")</f>
        <v>Compliance Confidence in team</v>
      </c>
    </row>
    <row r="824" spans="1:12" x14ac:dyDescent="0.35">
      <c r="A824" t="s">
        <v>112</v>
      </c>
      <c r="B824" t="s">
        <v>55</v>
      </c>
      <c r="F824">
        <v>100</v>
      </c>
      <c r="G824" t="s">
        <v>8</v>
      </c>
      <c r="H824" t="s">
        <v>85</v>
      </c>
      <c r="I824">
        <v>5</v>
      </c>
      <c r="J824">
        <v>1</v>
      </c>
      <c r="K824" t="s">
        <v>250</v>
      </c>
      <c r="L824" t="str">
        <f>_xlfn.XLOOKUP(AllResponses[[#This Row],[QuestionID]], FinalQuestions!$A:$A, FinalQuestions!$D:$D,"")</f>
        <v>Transparency in Decision‑Making</v>
      </c>
    </row>
    <row r="825" spans="1:12" x14ac:dyDescent="0.35">
      <c r="A825" t="s">
        <v>112</v>
      </c>
      <c r="B825" t="s">
        <v>57</v>
      </c>
      <c r="F825">
        <v>80</v>
      </c>
      <c r="G825" t="s">
        <v>8</v>
      </c>
      <c r="H825" t="s">
        <v>2</v>
      </c>
      <c r="I825">
        <v>4</v>
      </c>
      <c r="J825">
        <v>1</v>
      </c>
      <c r="K825" t="s">
        <v>251</v>
      </c>
      <c r="L825" t="str">
        <f>_xlfn.XLOOKUP(AllResponses[[#This Row],[QuestionID]], FinalQuestions!$A:$A, FinalQuestions!$D:$D,"")</f>
        <v>Fairness &amp; Equity of Expectations</v>
      </c>
    </row>
    <row r="826" spans="1:12" x14ac:dyDescent="0.35">
      <c r="A826" t="s">
        <v>112</v>
      </c>
      <c r="B826" t="s">
        <v>59</v>
      </c>
      <c r="F826">
        <v>40</v>
      </c>
      <c r="G826" t="s">
        <v>8</v>
      </c>
      <c r="H826" t="s">
        <v>6</v>
      </c>
      <c r="I826">
        <v>2</v>
      </c>
      <c r="J826">
        <v>0</v>
      </c>
      <c r="K826" t="s">
        <v>252</v>
      </c>
      <c r="L826" t="str">
        <f>_xlfn.XLOOKUP(AllResponses[[#This Row],[QuestionID]], FinalQuestions!$A:$A, FinalQuestions!$D:$D,"")</f>
        <v>Leadership Awareness in the team</v>
      </c>
    </row>
    <row r="827" spans="1:12" x14ac:dyDescent="0.35">
      <c r="A827" t="s">
        <v>112</v>
      </c>
      <c r="B827" t="s">
        <v>61</v>
      </c>
      <c r="F827">
        <v>60</v>
      </c>
      <c r="G827" t="s">
        <v>9</v>
      </c>
      <c r="H827" t="s">
        <v>4</v>
      </c>
      <c r="I827">
        <v>3</v>
      </c>
      <c r="J827">
        <v>0</v>
      </c>
      <c r="K827" t="s">
        <v>241</v>
      </c>
      <c r="L827" t="str">
        <f>_xlfn.XLOOKUP(AllResponses[[#This Row],[QuestionID]], FinalQuestions!$A:$A, FinalQuestions!$D:$D,"")</f>
        <v>Motivation for Risk Ownership</v>
      </c>
    </row>
    <row r="828" spans="1:12" x14ac:dyDescent="0.35">
      <c r="A828" t="s">
        <v>112</v>
      </c>
      <c r="B828" t="s">
        <v>63</v>
      </c>
      <c r="F828">
        <v>100</v>
      </c>
      <c r="G828" t="s">
        <v>9</v>
      </c>
      <c r="H828" t="s">
        <v>85</v>
      </c>
      <c r="I828">
        <v>5</v>
      </c>
      <c r="J828">
        <v>1</v>
      </c>
      <c r="K828" t="s">
        <v>242</v>
      </c>
      <c r="L828" t="str">
        <f>_xlfn.XLOOKUP(AllResponses[[#This Row],[QuestionID]], FinalQuestions!$A:$A, FinalQuestions!$D:$D,"")</f>
        <v>Sense of Belonging to the Organization</v>
      </c>
    </row>
    <row r="829" spans="1:12" x14ac:dyDescent="0.35">
      <c r="A829" t="s">
        <v>112</v>
      </c>
      <c r="B829" t="s">
        <v>65</v>
      </c>
      <c r="F829">
        <v>80</v>
      </c>
      <c r="G829" t="s">
        <v>9</v>
      </c>
      <c r="H829" t="s">
        <v>2</v>
      </c>
      <c r="I829">
        <v>4</v>
      </c>
      <c r="J829">
        <v>1</v>
      </c>
      <c r="K829" t="s">
        <v>243</v>
      </c>
      <c r="L829" t="str">
        <f>_xlfn.XLOOKUP(AllResponses[[#This Row],[QuestionID]], FinalQuestions!$A:$A, FinalQuestions!$D:$D,"")</f>
        <v>Consideration of Impact on Others</v>
      </c>
    </row>
    <row r="830" spans="1:12" x14ac:dyDescent="0.35">
      <c r="A830" t="s">
        <v>112</v>
      </c>
      <c r="B830" t="s">
        <v>67</v>
      </c>
      <c r="F830">
        <v>40</v>
      </c>
      <c r="G830" t="s">
        <v>9</v>
      </c>
      <c r="H830" t="s">
        <v>6</v>
      </c>
      <c r="I830">
        <v>2</v>
      </c>
      <c r="J830">
        <v>0</v>
      </c>
      <c r="K830" t="s">
        <v>244</v>
      </c>
      <c r="L830" t="str">
        <f>_xlfn.XLOOKUP(AllResponses[[#This Row],[QuestionID]], FinalQuestions!$A:$A, FinalQuestions!$D:$D,"")</f>
        <v>Accountability for Risk Actions</v>
      </c>
    </row>
    <row r="831" spans="1:12" x14ac:dyDescent="0.35">
      <c r="A831" t="s">
        <v>112</v>
      </c>
      <c r="B831" t="s">
        <v>69</v>
      </c>
      <c r="F831">
        <v>60</v>
      </c>
      <c r="G831" t="s">
        <v>10</v>
      </c>
      <c r="H831" t="s">
        <v>4</v>
      </c>
      <c r="I831">
        <v>3</v>
      </c>
      <c r="J831">
        <v>0</v>
      </c>
      <c r="K831" t="s">
        <v>245</v>
      </c>
      <c r="L831" t="str">
        <f>_xlfn.XLOOKUP(AllResponses[[#This Row],[QuestionID]], FinalQuestions!$A:$A, FinalQuestions!$D:$D,"")</f>
        <v xml:space="preserve">Peer to peer Accountability </v>
      </c>
    </row>
    <row r="832" spans="1:12" x14ac:dyDescent="0.35">
      <c r="A832" t="s">
        <v>112</v>
      </c>
      <c r="B832" t="s">
        <v>71</v>
      </c>
      <c r="F832">
        <v>100</v>
      </c>
      <c r="G832" t="s">
        <v>10</v>
      </c>
      <c r="H832" t="s">
        <v>85</v>
      </c>
      <c r="I832">
        <v>5</v>
      </c>
      <c r="J832">
        <v>1</v>
      </c>
      <c r="K832" t="s">
        <v>246</v>
      </c>
      <c r="L832" t="str">
        <f>_xlfn.XLOOKUP(AllResponses[[#This Row],[QuestionID]], FinalQuestions!$A:$A, FinalQuestions!$D:$D,"")</f>
        <v>Timely Resolution of Accountability Issues</v>
      </c>
    </row>
    <row r="833" spans="1:12" x14ac:dyDescent="0.35">
      <c r="A833" t="s">
        <v>112</v>
      </c>
      <c r="B833" t="s">
        <v>73</v>
      </c>
      <c r="F833">
        <v>100</v>
      </c>
      <c r="G833" t="s">
        <v>10</v>
      </c>
      <c r="H833" t="s">
        <v>85</v>
      </c>
      <c r="I833">
        <v>5</v>
      </c>
      <c r="J833">
        <v>1</v>
      </c>
      <c r="K833" t="s">
        <v>247</v>
      </c>
      <c r="L833" t="str">
        <f>_xlfn.XLOOKUP(AllResponses[[#This Row],[QuestionID]], FinalQuestions!$A:$A, FinalQuestions!$D:$D,"")</f>
        <v>Comfort for Reporting Non‑Compliance.</v>
      </c>
    </row>
    <row r="834" spans="1:12" x14ac:dyDescent="0.35">
      <c r="A834" t="s">
        <v>112</v>
      </c>
      <c r="B834" t="s">
        <v>75</v>
      </c>
      <c r="F834">
        <v>80</v>
      </c>
      <c r="G834" t="s">
        <v>10</v>
      </c>
      <c r="H834" t="s">
        <v>2</v>
      </c>
      <c r="I834">
        <v>4</v>
      </c>
      <c r="J834">
        <v>1</v>
      </c>
      <c r="K834" t="s">
        <v>248</v>
      </c>
      <c r="L834" t="str">
        <f>_xlfn.XLOOKUP(AllResponses[[#This Row],[QuestionID]], FinalQuestions!$A:$A, FinalQuestions!$D:$D,"")</f>
        <v>Consistency of Conduct Enforcement</v>
      </c>
    </row>
    <row r="835" spans="1:12" x14ac:dyDescent="0.35">
      <c r="A835" t="s">
        <v>123</v>
      </c>
      <c r="B835" t="s">
        <v>13</v>
      </c>
      <c r="F835">
        <v>80</v>
      </c>
      <c r="G835" t="s">
        <v>0</v>
      </c>
      <c r="H835" t="s">
        <v>2</v>
      </c>
      <c r="I835">
        <v>4</v>
      </c>
      <c r="J835">
        <v>1</v>
      </c>
      <c r="K835" t="s">
        <v>253</v>
      </c>
      <c r="L835" t="str">
        <f>_xlfn.XLOOKUP(AllResponses[[#This Row],[QuestionID]], FinalQuestions!$A:$A, FinalQuestions!$D:$D,"")</f>
        <v xml:space="preserve">Leadership Example‑Setting in Risk Management </v>
      </c>
    </row>
    <row r="836" spans="1:12" x14ac:dyDescent="0.35">
      <c r="A836" t="s">
        <v>123</v>
      </c>
      <c r="B836" t="s">
        <v>15</v>
      </c>
      <c r="F836">
        <v>80</v>
      </c>
      <c r="G836" t="s">
        <v>0</v>
      </c>
      <c r="H836" t="s">
        <v>2</v>
      </c>
      <c r="I836">
        <v>4</v>
      </c>
      <c r="J836">
        <v>1</v>
      </c>
      <c r="K836" t="s">
        <v>222</v>
      </c>
      <c r="L836" t="str">
        <f>_xlfn.XLOOKUP(AllResponses[[#This Row],[QuestionID]], FinalQuestions!$A:$A, FinalQuestions!$D:$D,"")</f>
        <v>Executive Commitment to Risk Culture</v>
      </c>
    </row>
    <row r="837" spans="1:12" x14ac:dyDescent="0.35">
      <c r="A837" t="s">
        <v>123</v>
      </c>
      <c r="B837" t="s">
        <v>17</v>
      </c>
      <c r="F837">
        <v>60</v>
      </c>
      <c r="G837" t="s">
        <v>0</v>
      </c>
      <c r="H837" t="s">
        <v>4</v>
      </c>
      <c r="I837">
        <v>3</v>
      </c>
      <c r="J837">
        <v>0</v>
      </c>
      <c r="K837" t="s">
        <v>223</v>
      </c>
      <c r="L837" t="str">
        <f>_xlfn.XLOOKUP(AllResponses[[#This Row],[QuestionID]], FinalQuestions!$A:$A, FinalQuestions!$D:$D,"")</f>
        <v>Leadership Encouragement to Escalate Risks</v>
      </c>
    </row>
    <row r="838" spans="1:12" x14ac:dyDescent="0.35">
      <c r="A838" t="s">
        <v>123</v>
      </c>
      <c r="B838" t="s">
        <v>19</v>
      </c>
      <c r="F838">
        <v>100</v>
      </c>
      <c r="G838" t="s">
        <v>0</v>
      </c>
      <c r="H838" t="s">
        <v>85</v>
      </c>
      <c r="I838">
        <v>5</v>
      </c>
      <c r="J838">
        <v>1</v>
      </c>
      <c r="K838" t="s">
        <v>224</v>
      </c>
      <c r="L838" t="str">
        <f>_xlfn.XLOOKUP(AllResponses[[#This Row],[QuestionID]], FinalQuestions!$A:$A, FinalQuestions!$D:$D,"")</f>
        <v>Long-Term Decision Awareness</v>
      </c>
    </row>
    <row r="839" spans="1:12" x14ac:dyDescent="0.35">
      <c r="A839" t="s">
        <v>123</v>
      </c>
      <c r="B839" t="s">
        <v>21</v>
      </c>
      <c r="F839">
        <v>100</v>
      </c>
      <c r="G839" t="s">
        <v>117</v>
      </c>
      <c r="H839" t="s">
        <v>85</v>
      </c>
      <c r="I839">
        <v>5</v>
      </c>
      <c r="J839">
        <v>1</v>
      </c>
      <c r="K839" t="s">
        <v>225</v>
      </c>
      <c r="L839" t="str">
        <f>_xlfn.XLOOKUP(AllResponses[[#This Row],[QuestionID]], FinalQuestions!$A:$A, FinalQuestions!$D:$D,"")</f>
        <v>Openness to Discussions</v>
      </c>
    </row>
    <row r="840" spans="1:12" x14ac:dyDescent="0.35">
      <c r="A840" t="s">
        <v>123</v>
      </c>
      <c r="B840" t="s">
        <v>23</v>
      </c>
      <c r="F840">
        <v>80</v>
      </c>
      <c r="G840" t="s">
        <v>117</v>
      </c>
      <c r="H840" t="s">
        <v>2</v>
      </c>
      <c r="I840">
        <v>4</v>
      </c>
      <c r="J840">
        <v>1</v>
      </c>
      <c r="K840" t="s">
        <v>226</v>
      </c>
      <c r="L840" t="str">
        <f>_xlfn.XLOOKUP(AllResponses[[#This Row],[QuestionID]], FinalQuestions!$A:$A, FinalQuestions!$D:$D,"")</f>
        <v>Access to Guidance</v>
      </c>
    </row>
    <row r="841" spans="1:12" x14ac:dyDescent="0.35">
      <c r="A841" t="s">
        <v>123</v>
      </c>
      <c r="B841" t="s">
        <v>25</v>
      </c>
      <c r="F841">
        <v>80</v>
      </c>
      <c r="G841" t="s">
        <v>117</v>
      </c>
      <c r="H841" t="s">
        <v>2</v>
      </c>
      <c r="I841">
        <v>4</v>
      </c>
      <c r="J841">
        <v>1</v>
      </c>
      <c r="K841" t="s">
        <v>227</v>
      </c>
      <c r="L841" t="str">
        <f>_xlfn.XLOOKUP(AllResponses[[#This Row],[QuestionID]], FinalQuestions!$A:$A, FinalQuestions!$D:$D,"")</f>
        <v>Openness to Sharing Opinions</v>
      </c>
    </row>
    <row r="842" spans="1:12" x14ac:dyDescent="0.35">
      <c r="A842" t="s">
        <v>123</v>
      </c>
      <c r="B842" t="s">
        <v>27</v>
      </c>
      <c r="F842">
        <v>100</v>
      </c>
      <c r="G842" t="s">
        <v>117</v>
      </c>
      <c r="H842" t="s">
        <v>85</v>
      </c>
      <c r="I842">
        <v>5</v>
      </c>
      <c r="J842">
        <v>1</v>
      </c>
      <c r="K842" t="s">
        <v>228</v>
      </c>
      <c r="L842" t="str">
        <f>_xlfn.XLOOKUP(AllResponses[[#This Row],[QuestionID]], FinalQuestions!$A:$A, FinalQuestions!$D:$D,"")</f>
        <v>Comfort in Reporting Risk Dilemmas</v>
      </c>
    </row>
    <row r="843" spans="1:12" x14ac:dyDescent="0.35">
      <c r="A843" t="s">
        <v>123</v>
      </c>
      <c r="B843" t="s">
        <v>29</v>
      </c>
      <c r="F843">
        <v>100</v>
      </c>
      <c r="G843" t="s">
        <v>3</v>
      </c>
      <c r="H843" t="s">
        <v>85</v>
      </c>
      <c r="I843">
        <v>5</v>
      </c>
      <c r="J843">
        <v>1</v>
      </c>
      <c r="K843" t="s">
        <v>229</v>
      </c>
      <c r="L843" t="str">
        <f>_xlfn.XLOOKUP(AllResponses[[#This Row],[QuestionID]], FinalQuestions!$A:$A, FinalQuestions!$D:$D,"")</f>
        <v>Adequacy of Risk Management Training</v>
      </c>
    </row>
    <row r="844" spans="1:12" x14ac:dyDescent="0.35">
      <c r="A844" t="s">
        <v>123</v>
      </c>
      <c r="B844" t="s">
        <v>31</v>
      </c>
      <c r="F844">
        <v>100</v>
      </c>
      <c r="G844" t="s">
        <v>3</v>
      </c>
      <c r="H844" t="s">
        <v>85</v>
      </c>
      <c r="I844">
        <v>5</v>
      </c>
      <c r="J844">
        <v>1</v>
      </c>
      <c r="K844" t="s">
        <v>230</v>
      </c>
      <c r="L844" t="str">
        <f>_xlfn.XLOOKUP(AllResponses[[#This Row],[QuestionID]], FinalQuestions!$A:$A, FinalQuestions!$D:$D,"")</f>
        <v>Workload Balance &amp; Resource Sufficiency</v>
      </c>
    </row>
    <row r="845" spans="1:12" x14ac:dyDescent="0.35">
      <c r="A845" t="s">
        <v>123</v>
      </c>
      <c r="B845" t="s">
        <v>33</v>
      </c>
      <c r="F845">
        <v>80</v>
      </c>
      <c r="G845" t="s">
        <v>3</v>
      </c>
      <c r="H845" t="s">
        <v>2</v>
      </c>
      <c r="I845">
        <v>4</v>
      </c>
      <c r="J845">
        <v>1</v>
      </c>
      <c r="K845" t="s">
        <v>231</v>
      </c>
      <c r="L845" t="str">
        <f>_xlfn.XLOOKUP(AllResponses[[#This Row],[QuestionID]], FinalQuestions!$A:$A, FinalQuestions!$D:$D,"")</f>
        <v>Realistic Target Setting</v>
      </c>
    </row>
    <row r="846" spans="1:12" x14ac:dyDescent="0.35">
      <c r="A846" t="s">
        <v>123</v>
      </c>
      <c r="B846" t="s">
        <v>35</v>
      </c>
      <c r="F846">
        <v>40</v>
      </c>
      <c r="G846" t="s">
        <v>3</v>
      </c>
      <c r="H846" t="s">
        <v>6</v>
      </c>
      <c r="I846">
        <v>2</v>
      </c>
      <c r="J846">
        <v>0</v>
      </c>
      <c r="K846" t="s">
        <v>232</v>
      </c>
      <c r="L846" t="str">
        <f>_xlfn.XLOOKUP(AllResponses[[#This Row],[QuestionID]], FinalQuestions!$A:$A, FinalQuestions!$D:$D,"")</f>
        <v>Risk Insight in Decision Making</v>
      </c>
    </row>
    <row r="847" spans="1:12" x14ac:dyDescent="0.35">
      <c r="A847" t="s">
        <v>123</v>
      </c>
      <c r="B847" t="s">
        <v>37</v>
      </c>
      <c r="F847">
        <v>60</v>
      </c>
      <c r="G847" t="s">
        <v>5</v>
      </c>
      <c r="H847" t="s">
        <v>4</v>
      </c>
      <c r="I847">
        <v>3</v>
      </c>
      <c r="J847">
        <v>0</v>
      </c>
      <c r="K847" t="s">
        <v>233</v>
      </c>
      <c r="L847" t="str">
        <f>_xlfn.XLOOKUP(AllResponses[[#This Row],[QuestionID]], FinalQuestions!$A:$A, FinalQuestions!$D:$D,"")</f>
        <v>Learning Culture from Non‑Compliance Cases</v>
      </c>
    </row>
    <row r="848" spans="1:12" x14ac:dyDescent="0.35">
      <c r="A848" t="s">
        <v>123</v>
      </c>
      <c r="B848" t="s">
        <v>39</v>
      </c>
      <c r="F848">
        <v>100</v>
      </c>
      <c r="G848" t="s">
        <v>5</v>
      </c>
      <c r="H848" t="s">
        <v>85</v>
      </c>
      <c r="I848">
        <v>5</v>
      </c>
      <c r="J848">
        <v>1</v>
      </c>
      <c r="K848" t="s">
        <v>234</v>
      </c>
      <c r="L848" t="str">
        <f>_xlfn.XLOOKUP(AllResponses[[#This Row],[QuestionID]], FinalQuestions!$A:$A, FinalQuestions!$D:$D,"")</f>
        <v>Organizational View on Risk Culture</v>
      </c>
    </row>
    <row r="849" spans="1:12" x14ac:dyDescent="0.35">
      <c r="A849" t="s">
        <v>123</v>
      </c>
      <c r="B849" t="s">
        <v>41</v>
      </c>
      <c r="F849">
        <v>80</v>
      </c>
      <c r="G849" t="s">
        <v>5</v>
      </c>
      <c r="H849" t="s">
        <v>2</v>
      </c>
      <c r="I849">
        <v>4</v>
      </c>
      <c r="J849">
        <v>1</v>
      </c>
      <c r="K849" t="s">
        <v>235</v>
      </c>
      <c r="L849" t="str">
        <f>_xlfn.XLOOKUP(AllResponses[[#This Row],[QuestionID]], FinalQuestions!$A:$A, FinalQuestions!$D:$D,"")</f>
        <v>Compliance Recognition &amp; enforcement</v>
      </c>
    </row>
    <row r="850" spans="1:12" x14ac:dyDescent="0.35">
      <c r="A850" t="s">
        <v>123</v>
      </c>
      <c r="B850" t="s">
        <v>43</v>
      </c>
      <c r="F850">
        <v>40</v>
      </c>
      <c r="G850" t="s">
        <v>5</v>
      </c>
      <c r="H850" t="s">
        <v>6</v>
      </c>
      <c r="I850">
        <v>2</v>
      </c>
      <c r="J850">
        <v>0</v>
      </c>
      <c r="K850" t="s">
        <v>236</v>
      </c>
      <c r="L850" t="str">
        <f>_xlfn.XLOOKUP(AllResponses[[#This Row],[QuestionID]], FinalQuestions!$A:$A, FinalQuestions!$D:$D,"")</f>
        <v>Sense of Ownership</v>
      </c>
    </row>
    <row r="851" spans="1:12" x14ac:dyDescent="0.35">
      <c r="A851" t="s">
        <v>123</v>
      </c>
      <c r="B851" t="s">
        <v>45</v>
      </c>
      <c r="F851">
        <v>60</v>
      </c>
      <c r="G851" t="s">
        <v>7</v>
      </c>
      <c r="H851" t="s">
        <v>4</v>
      </c>
      <c r="I851">
        <v>3</v>
      </c>
      <c r="J851">
        <v>0</v>
      </c>
      <c r="K851" t="s">
        <v>237</v>
      </c>
      <c r="L851" t="str">
        <f>_xlfn.XLOOKUP(AllResponses[[#This Row],[QuestionID]], FinalQuestions!$A:$A, FinalQuestions!$D:$D,"")</f>
        <v>Clarity of Role and Responsibilities</v>
      </c>
    </row>
    <row r="852" spans="1:12" x14ac:dyDescent="0.35">
      <c r="A852" t="s">
        <v>123</v>
      </c>
      <c r="B852" t="s">
        <v>47</v>
      </c>
      <c r="F852">
        <v>80</v>
      </c>
      <c r="G852" t="s">
        <v>7</v>
      </c>
      <c r="H852" t="s">
        <v>2</v>
      </c>
      <c r="I852">
        <v>4</v>
      </c>
      <c r="J852">
        <v>1</v>
      </c>
      <c r="K852" t="s">
        <v>238</v>
      </c>
      <c r="L852" t="str">
        <f>_xlfn.XLOOKUP(AllResponses[[#This Row],[QuestionID]], FinalQuestions!$A:$A, FinalQuestions!$D:$D,"")</f>
        <v>Understanding of Risk Policies &amp; Procedures</v>
      </c>
    </row>
    <row r="853" spans="1:12" x14ac:dyDescent="0.35">
      <c r="A853" t="s">
        <v>123</v>
      </c>
      <c r="B853" t="s">
        <v>49</v>
      </c>
      <c r="F853">
        <v>80</v>
      </c>
      <c r="G853" t="s">
        <v>7</v>
      </c>
      <c r="H853" t="s">
        <v>2</v>
      </c>
      <c r="I853">
        <v>4</v>
      </c>
      <c r="J853">
        <v>1</v>
      </c>
      <c r="K853" t="s">
        <v>239</v>
      </c>
      <c r="L853" t="str">
        <f>_xlfn.XLOOKUP(AllResponses[[#This Row],[QuestionID]], FinalQuestions!$A:$A, FinalQuestions!$D:$D,"")</f>
        <v>Clarity of Personal Risk Boundaries</v>
      </c>
    </row>
    <row r="854" spans="1:12" x14ac:dyDescent="0.35">
      <c r="A854" t="s">
        <v>123</v>
      </c>
      <c r="B854" t="s">
        <v>51</v>
      </c>
      <c r="F854">
        <v>60</v>
      </c>
      <c r="G854" t="s">
        <v>7</v>
      </c>
      <c r="H854" t="s">
        <v>4</v>
      </c>
      <c r="I854">
        <v>3</v>
      </c>
      <c r="J854">
        <v>0</v>
      </c>
      <c r="K854" t="s">
        <v>240</v>
      </c>
      <c r="L854" t="str">
        <f>_xlfn.XLOOKUP(AllResponses[[#This Row],[QuestionID]], FinalQuestions!$A:$A, FinalQuestions!$D:$D,"")</f>
        <v>Effectiveness of Risk Communication &amp; Training</v>
      </c>
    </row>
    <row r="855" spans="1:12" x14ac:dyDescent="0.35">
      <c r="A855" t="s">
        <v>123</v>
      </c>
      <c r="B855" t="s">
        <v>53</v>
      </c>
      <c r="F855">
        <v>100</v>
      </c>
      <c r="G855" t="s">
        <v>8</v>
      </c>
      <c r="H855" t="s">
        <v>85</v>
      </c>
      <c r="I855">
        <v>5</v>
      </c>
      <c r="J855">
        <v>1</v>
      </c>
      <c r="K855" t="s">
        <v>249</v>
      </c>
      <c r="L855" t="str">
        <f>_xlfn.XLOOKUP(AllResponses[[#This Row],[QuestionID]], FinalQuestions!$A:$A, FinalQuestions!$D:$D,"")</f>
        <v>Compliance Confidence in team</v>
      </c>
    </row>
    <row r="856" spans="1:12" x14ac:dyDescent="0.35">
      <c r="A856" t="s">
        <v>123</v>
      </c>
      <c r="B856" t="s">
        <v>55</v>
      </c>
      <c r="F856">
        <v>100</v>
      </c>
      <c r="G856" t="s">
        <v>8</v>
      </c>
      <c r="H856" t="s">
        <v>85</v>
      </c>
      <c r="I856">
        <v>5</v>
      </c>
      <c r="J856">
        <v>1</v>
      </c>
      <c r="K856" t="s">
        <v>250</v>
      </c>
      <c r="L856" t="str">
        <f>_xlfn.XLOOKUP(AllResponses[[#This Row],[QuestionID]], FinalQuestions!$A:$A, FinalQuestions!$D:$D,"")</f>
        <v>Transparency in Decision‑Making</v>
      </c>
    </row>
    <row r="857" spans="1:12" x14ac:dyDescent="0.35">
      <c r="A857" t="s">
        <v>123</v>
      </c>
      <c r="B857" t="s">
        <v>57</v>
      </c>
      <c r="F857">
        <v>80</v>
      </c>
      <c r="G857" t="s">
        <v>8</v>
      </c>
      <c r="H857" t="s">
        <v>2</v>
      </c>
      <c r="I857">
        <v>4</v>
      </c>
      <c r="J857">
        <v>1</v>
      </c>
      <c r="K857" t="s">
        <v>251</v>
      </c>
      <c r="L857" t="str">
        <f>_xlfn.XLOOKUP(AllResponses[[#This Row],[QuestionID]], FinalQuestions!$A:$A, FinalQuestions!$D:$D,"")</f>
        <v>Fairness &amp; Equity of Expectations</v>
      </c>
    </row>
    <row r="858" spans="1:12" x14ac:dyDescent="0.35">
      <c r="A858" t="s">
        <v>123</v>
      </c>
      <c r="B858" t="s">
        <v>59</v>
      </c>
      <c r="F858">
        <v>80</v>
      </c>
      <c r="G858" t="s">
        <v>8</v>
      </c>
      <c r="H858" t="s">
        <v>2</v>
      </c>
      <c r="I858">
        <v>4</v>
      </c>
      <c r="J858">
        <v>1</v>
      </c>
      <c r="K858" t="s">
        <v>252</v>
      </c>
      <c r="L858" t="str">
        <f>_xlfn.XLOOKUP(AllResponses[[#This Row],[QuestionID]], FinalQuestions!$A:$A, FinalQuestions!$D:$D,"")</f>
        <v>Leadership Awareness in the team</v>
      </c>
    </row>
    <row r="859" spans="1:12" x14ac:dyDescent="0.35">
      <c r="A859" t="s">
        <v>123</v>
      </c>
      <c r="B859" t="s">
        <v>61</v>
      </c>
      <c r="F859">
        <v>100</v>
      </c>
      <c r="G859" t="s">
        <v>9</v>
      </c>
      <c r="H859" t="s">
        <v>85</v>
      </c>
      <c r="I859">
        <v>5</v>
      </c>
      <c r="J859">
        <v>1</v>
      </c>
      <c r="K859" t="s">
        <v>241</v>
      </c>
      <c r="L859" t="str">
        <f>_xlfn.XLOOKUP(AllResponses[[#This Row],[QuestionID]], FinalQuestions!$A:$A, FinalQuestions!$D:$D,"")</f>
        <v>Motivation for Risk Ownership</v>
      </c>
    </row>
    <row r="860" spans="1:12" x14ac:dyDescent="0.35">
      <c r="A860" t="s">
        <v>123</v>
      </c>
      <c r="B860" t="s">
        <v>63</v>
      </c>
      <c r="F860">
        <v>100</v>
      </c>
      <c r="G860" t="s">
        <v>9</v>
      </c>
      <c r="H860" t="s">
        <v>85</v>
      </c>
      <c r="I860">
        <v>5</v>
      </c>
      <c r="J860">
        <v>1</v>
      </c>
      <c r="K860" t="s">
        <v>242</v>
      </c>
      <c r="L860" t="str">
        <f>_xlfn.XLOOKUP(AllResponses[[#This Row],[QuestionID]], FinalQuestions!$A:$A, FinalQuestions!$D:$D,"")</f>
        <v>Sense of Belonging to the Organization</v>
      </c>
    </row>
    <row r="861" spans="1:12" x14ac:dyDescent="0.35">
      <c r="A861" t="s">
        <v>123</v>
      </c>
      <c r="B861" t="s">
        <v>65</v>
      </c>
      <c r="F861">
        <v>100</v>
      </c>
      <c r="G861" t="s">
        <v>9</v>
      </c>
      <c r="H861" t="s">
        <v>85</v>
      </c>
      <c r="I861">
        <v>5</v>
      </c>
      <c r="J861">
        <v>1</v>
      </c>
      <c r="K861" t="s">
        <v>243</v>
      </c>
      <c r="L861" t="str">
        <f>_xlfn.XLOOKUP(AllResponses[[#This Row],[QuestionID]], FinalQuestions!$A:$A, FinalQuestions!$D:$D,"")</f>
        <v>Consideration of Impact on Others</v>
      </c>
    </row>
    <row r="862" spans="1:12" x14ac:dyDescent="0.35">
      <c r="A862" t="s">
        <v>123</v>
      </c>
      <c r="B862" t="s">
        <v>67</v>
      </c>
      <c r="F862">
        <v>80</v>
      </c>
      <c r="G862" t="s">
        <v>9</v>
      </c>
      <c r="H862" t="s">
        <v>2</v>
      </c>
      <c r="I862">
        <v>4</v>
      </c>
      <c r="J862">
        <v>1</v>
      </c>
      <c r="K862" t="s">
        <v>244</v>
      </c>
      <c r="L862" t="str">
        <f>_xlfn.XLOOKUP(AllResponses[[#This Row],[QuestionID]], FinalQuestions!$A:$A, FinalQuestions!$D:$D,"")</f>
        <v>Accountability for Risk Actions</v>
      </c>
    </row>
    <row r="863" spans="1:12" x14ac:dyDescent="0.35">
      <c r="A863" t="s">
        <v>123</v>
      </c>
      <c r="B863" t="s">
        <v>69</v>
      </c>
      <c r="F863">
        <v>40</v>
      </c>
      <c r="G863" t="s">
        <v>10</v>
      </c>
      <c r="H863" t="s">
        <v>6</v>
      </c>
      <c r="I863">
        <v>2</v>
      </c>
      <c r="J863">
        <v>0</v>
      </c>
      <c r="K863" t="s">
        <v>245</v>
      </c>
      <c r="L863" t="str">
        <f>_xlfn.XLOOKUP(AllResponses[[#This Row],[QuestionID]], FinalQuestions!$A:$A, FinalQuestions!$D:$D,"")</f>
        <v xml:space="preserve">Peer to peer Accountability </v>
      </c>
    </row>
    <row r="864" spans="1:12" x14ac:dyDescent="0.35">
      <c r="A864" t="s">
        <v>123</v>
      </c>
      <c r="B864" t="s">
        <v>71</v>
      </c>
      <c r="F864">
        <v>60</v>
      </c>
      <c r="G864" t="s">
        <v>10</v>
      </c>
      <c r="H864" t="s">
        <v>4</v>
      </c>
      <c r="I864">
        <v>3</v>
      </c>
      <c r="J864">
        <v>0</v>
      </c>
      <c r="K864" t="s">
        <v>246</v>
      </c>
      <c r="L864" t="str">
        <f>_xlfn.XLOOKUP(AllResponses[[#This Row],[QuestionID]], FinalQuestions!$A:$A, FinalQuestions!$D:$D,"")</f>
        <v>Timely Resolution of Accountability Issues</v>
      </c>
    </row>
    <row r="865" spans="1:12" x14ac:dyDescent="0.35">
      <c r="A865" t="s">
        <v>123</v>
      </c>
      <c r="B865" t="s">
        <v>73</v>
      </c>
      <c r="F865">
        <v>100</v>
      </c>
      <c r="G865" t="s">
        <v>10</v>
      </c>
      <c r="H865" t="s">
        <v>85</v>
      </c>
      <c r="I865">
        <v>5</v>
      </c>
      <c r="J865">
        <v>1</v>
      </c>
      <c r="K865" t="s">
        <v>247</v>
      </c>
      <c r="L865" t="str">
        <f>_xlfn.XLOOKUP(AllResponses[[#This Row],[QuestionID]], FinalQuestions!$A:$A, FinalQuestions!$D:$D,"")</f>
        <v>Comfort for Reporting Non‑Compliance.</v>
      </c>
    </row>
    <row r="866" spans="1:12" x14ac:dyDescent="0.35">
      <c r="A866" t="s">
        <v>123</v>
      </c>
      <c r="B866" t="s">
        <v>75</v>
      </c>
      <c r="F866">
        <v>80</v>
      </c>
      <c r="G866" t="s">
        <v>10</v>
      </c>
      <c r="H866" t="s">
        <v>2</v>
      </c>
      <c r="I866">
        <v>4</v>
      </c>
      <c r="J866">
        <v>1</v>
      </c>
      <c r="K866" t="s">
        <v>248</v>
      </c>
      <c r="L866" t="str">
        <f>_xlfn.XLOOKUP(AllResponses[[#This Row],[QuestionID]], FinalQuestions!$A:$A, FinalQuestions!$D:$D,"")</f>
        <v>Consistency of Conduct Enforcement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6B5A-5381-4AB0-B3D0-074A7CB62536}">
  <dimension ref="A1:L41"/>
  <sheetViews>
    <sheetView zoomScale="85" zoomScaleNormal="353" workbookViewId="0">
      <selection activeCell="B17" sqref="B17"/>
    </sheetView>
  </sheetViews>
  <sheetFormatPr defaultRowHeight="14.5" x14ac:dyDescent="0.35"/>
  <cols>
    <col min="1" max="1" width="22.90625" customWidth="1"/>
    <col min="2" max="2" width="15.08984375" customWidth="1"/>
    <col min="3" max="3" width="18.6328125" customWidth="1"/>
    <col min="4" max="4" width="19.7265625" customWidth="1"/>
  </cols>
  <sheetData>
    <row r="1" spans="1:12" ht="15" thickBot="1" x14ac:dyDescent="0.4">
      <c r="A1" s="21" t="s">
        <v>1</v>
      </c>
      <c r="B1" s="25" t="s">
        <v>133</v>
      </c>
    </row>
    <row r="2" spans="1:12" ht="15" thickTop="1" x14ac:dyDescent="0.35">
      <c r="A2" s="22" t="s">
        <v>0</v>
      </c>
      <c r="B2" s="26"/>
    </row>
    <row r="3" spans="1:12" x14ac:dyDescent="0.35">
      <c r="A3" s="23" t="s">
        <v>117</v>
      </c>
      <c r="B3" s="27"/>
    </row>
    <row r="4" spans="1:12" x14ac:dyDescent="0.35">
      <c r="A4" s="22" t="s">
        <v>3</v>
      </c>
      <c r="B4" s="26" t="str">
        <f>IFERROR(ROUND(AVERAGEIF(Responses!$D:$D, 'SOFT CONTROL SCORECARD'!#REF!, Responses!$F:$F), 0), "")</f>
        <v/>
      </c>
    </row>
    <row r="5" spans="1:12" x14ac:dyDescent="0.35">
      <c r="A5" s="23" t="s">
        <v>5</v>
      </c>
      <c r="B5" s="27" t="str">
        <f>IFERROR(ROUND(AVERAGEIF(Responses!$D:$D, 'SOFT CONTROL SCORECARD'!#REF!, Responses!$F:$F), 0), "")</f>
        <v/>
      </c>
    </row>
    <row r="6" spans="1:12" x14ac:dyDescent="0.35">
      <c r="A6" s="22" t="s">
        <v>7</v>
      </c>
      <c r="B6" s="26" t="str">
        <f>IFERROR(ROUND(AVERAGEIF(Responses!$D:$D, 'SOFT CONTROL SCORECARD'!#REF!, Responses!$F:$F), 0), "")</f>
        <v/>
      </c>
    </row>
    <row r="7" spans="1:12" x14ac:dyDescent="0.35">
      <c r="A7" s="23" t="s">
        <v>8</v>
      </c>
      <c r="B7" s="27" t="str">
        <f>IFERROR(ROUND(AVERAGEIF(Responses!$D:$D, 'SOFT CONTROL SCORECARD'!#REF!, Responses!$F:$F), 0), "")</f>
        <v/>
      </c>
    </row>
    <row r="8" spans="1:12" x14ac:dyDescent="0.35">
      <c r="A8" s="22" t="s">
        <v>9</v>
      </c>
      <c r="B8" s="26" t="str">
        <f>IFERROR(ROUND(AVERAGEIF(Responses!$D:$D, 'SOFT CONTROL SCORECARD'!#REF!, Responses!$F:$F), 0), "")</f>
        <v/>
      </c>
    </row>
    <row r="9" spans="1:12" x14ac:dyDescent="0.35">
      <c r="A9" s="24" t="s">
        <v>118</v>
      </c>
      <c r="B9" s="28" t="str">
        <f>IFERROR(ROUND(AVERAGEIF(Responses!$D:$D, 'SOFT CONTROL SCORECARD'!#REF!, Responses!$F:$F), 0), "")</f>
        <v/>
      </c>
    </row>
    <row r="12" spans="1:12" x14ac:dyDescent="0.35">
      <c r="L12" t="s">
        <v>122</v>
      </c>
    </row>
    <row r="33" spans="1:5" ht="15" thickBot="1" x14ac:dyDescent="0.4">
      <c r="A33" s="21" t="s">
        <v>1</v>
      </c>
      <c r="B33" t="s">
        <v>137</v>
      </c>
      <c r="C33" t="s">
        <v>136</v>
      </c>
      <c r="D33" t="s">
        <v>135</v>
      </c>
      <c r="E33" t="s">
        <v>133</v>
      </c>
    </row>
    <row r="34" spans="1:5" ht="15" thickTop="1" x14ac:dyDescent="0.35">
      <c r="A34" s="22" t="s">
        <v>0</v>
      </c>
      <c r="B34">
        <f>100</f>
        <v>100</v>
      </c>
      <c r="C34">
        <f>IF(OR('SOFT CONTROL SCORECARD'!$A2="Clarity",'SOFT CONTROL SCORECARD'!$A2="Role Modelling",'SOFT CONTROL SCORECARD'!$A2="Achievability"),80,70)</f>
        <v>80</v>
      </c>
      <c r="D34">
        <f>IF(OR('SOFT CONTROL SCORECARD'!$A2="Clarity",'SOFT CONTROL SCORECARD'!$A2="Role Modelling",'SOFT CONTROL SCORECARD'!$A2="Achievability"), 70, 60)</f>
        <v>70</v>
      </c>
      <c r="E34">
        <f>ROUND(IFERROR(AVERAGEIFS(Responses!$F:$F,Responses!$D:$D,$A2),0),0)</f>
        <v>75</v>
      </c>
    </row>
    <row r="35" spans="1:5" x14ac:dyDescent="0.35">
      <c r="A35" s="23" t="s">
        <v>117</v>
      </c>
      <c r="B35">
        <f>100</f>
        <v>100</v>
      </c>
      <c r="C35">
        <f>IF(OR('SOFT CONTROL SCORECARD'!$A3="Clarity",'SOFT CONTROL SCORECARD'!$A3="Role Modelling",'SOFT CONTROL SCORECARD'!$A3="Achievability"),80,70)</f>
        <v>70</v>
      </c>
      <c r="D35">
        <f>IF(OR('SOFT CONTROL SCORECARD'!$A3="Clarity",'SOFT CONTROL SCORECARD'!$A3="Role Modelling",'SOFT CONTROL SCORECARD'!$A3="Achievability"), 70, 60)</f>
        <v>60</v>
      </c>
      <c r="E35">
        <f>ROUND(IFERROR(AVERAGEIFS(Responses!$F:$F,Responses!$D:$D,$A3),0),0)</f>
        <v>78</v>
      </c>
    </row>
    <row r="36" spans="1:5" x14ac:dyDescent="0.35">
      <c r="A36" s="22" t="s">
        <v>3</v>
      </c>
      <c r="B36">
        <f>100</f>
        <v>100</v>
      </c>
      <c r="C36">
        <f>IF(OR('SOFT CONTROL SCORECARD'!$A4="Clarity",'SOFT CONTROL SCORECARD'!$A4="Role Modelling",'SOFT CONTROL SCORECARD'!$A4="Achievability"),80,70)</f>
        <v>80</v>
      </c>
      <c r="D36">
        <f>IF(OR('SOFT CONTROL SCORECARD'!$A4="Clarity",'SOFT CONTROL SCORECARD'!$A4="Role Modelling",'SOFT CONTROL SCORECARD'!$A4="Achievability"), 70, 60)</f>
        <v>70</v>
      </c>
      <c r="E36">
        <f>ROUND(IFERROR(AVERAGEIFS(Responses!$F:$F,Responses!$D:$D,$A4),0),0)</f>
        <v>72</v>
      </c>
    </row>
    <row r="37" spans="1:5" x14ac:dyDescent="0.35">
      <c r="A37" s="23" t="s">
        <v>5</v>
      </c>
      <c r="B37">
        <f>100</f>
        <v>100</v>
      </c>
      <c r="C37">
        <f>IF(OR('SOFT CONTROL SCORECARD'!$A5="Clarity",'SOFT CONTROL SCORECARD'!$A5="Role Modelling",'SOFT CONTROL SCORECARD'!$A5="Achievability"),80,70)</f>
        <v>70</v>
      </c>
      <c r="D37">
        <f>IF(OR('SOFT CONTROL SCORECARD'!$A5="Clarity",'SOFT CONTROL SCORECARD'!$A5="Role Modelling",'SOFT CONTROL SCORECARD'!$A5="Achievability"), 70, 60)</f>
        <v>60</v>
      </c>
      <c r="E37">
        <f>ROUND(IFERROR(AVERAGEIFS(Responses!$F:$F,Responses!$D:$D,$A5),0),0)</f>
        <v>75</v>
      </c>
    </row>
    <row r="38" spans="1:5" x14ac:dyDescent="0.35">
      <c r="A38" s="22" t="s">
        <v>7</v>
      </c>
      <c r="B38">
        <f>100</f>
        <v>100</v>
      </c>
      <c r="C38">
        <f>IF(OR('SOFT CONTROL SCORECARD'!$A6="Clarity",'SOFT CONTROL SCORECARD'!$A6="Role Modelling",'SOFT CONTROL SCORECARD'!$A6="Achievability"),80,70)</f>
        <v>80</v>
      </c>
      <c r="D38">
        <f>IF(OR('SOFT CONTROL SCORECARD'!$A6="Clarity",'SOFT CONTROL SCORECARD'!$A6="Role Modelling",'SOFT CONTROL SCORECARD'!$A6="Achievability"), 70, 60)</f>
        <v>70</v>
      </c>
      <c r="E38">
        <f>ROUND(IFERROR(AVERAGEIFS(Responses!$F:$F,Responses!$D:$D,$A6),0),0)</f>
        <v>75</v>
      </c>
    </row>
    <row r="39" spans="1:5" x14ac:dyDescent="0.35">
      <c r="A39" s="23" t="s">
        <v>8</v>
      </c>
      <c r="B39">
        <f>100</f>
        <v>100</v>
      </c>
      <c r="C39">
        <f>IF(OR('SOFT CONTROL SCORECARD'!$A7="Clarity",'SOFT CONTROL SCORECARD'!$A7="Role Modelling",'SOFT CONTROL SCORECARD'!$A7="Achievability"),80,70)</f>
        <v>70</v>
      </c>
      <c r="D39">
        <f>IF(OR('SOFT CONTROL SCORECARD'!$A7="Clarity",'SOFT CONTROL SCORECARD'!$A7="Role Modelling",'SOFT CONTROL SCORECARD'!$A7="Achievability"), 70, 60)</f>
        <v>60</v>
      </c>
      <c r="E39">
        <f>ROUND(IFERROR(AVERAGEIFS(Responses!$F:$F,Responses!$D:$D,$A7),0),0)</f>
        <v>75</v>
      </c>
    </row>
    <row r="40" spans="1:5" x14ac:dyDescent="0.35">
      <c r="A40" s="22" t="s">
        <v>9</v>
      </c>
      <c r="B40">
        <f>100</f>
        <v>100</v>
      </c>
      <c r="C40">
        <f>IF(OR('SOFT CONTROL SCORECARD'!$A8="Clarity",'SOFT CONTROL SCORECARD'!$A8="Role Modelling",'SOFT CONTROL SCORECARD'!$A8="Achievability"),80,70)</f>
        <v>70</v>
      </c>
      <c r="D40">
        <f>IF(OR('SOFT CONTROL SCORECARD'!$A8="Clarity",'SOFT CONTROL SCORECARD'!$A8="Role Modelling",'SOFT CONTROL SCORECARD'!$A8="Achievability"), 70, 60)</f>
        <v>60</v>
      </c>
      <c r="E40">
        <f>ROUND(IFERROR(AVERAGEIFS(Responses!$F:$F,Responses!$D:$D,$A8),0),0)</f>
        <v>74</v>
      </c>
    </row>
    <row r="41" spans="1:5" x14ac:dyDescent="0.35">
      <c r="A41" s="24" t="s">
        <v>118</v>
      </c>
      <c r="B41">
        <f>100</f>
        <v>100</v>
      </c>
      <c r="C41">
        <f>IF(OR('SOFT CONTROL SCORECARD'!$A9="Clarity",'SOFT CONTROL SCORECARD'!$A9="Role Modelling",'SOFT CONTROL SCORECARD'!$A9="Achievability"),80,70)</f>
        <v>70</v>
      </c>
      <c r="D41">
        <f>IF(OR('SOFT CONTROL SCORECARD'!$A9="Clarity",'SOFT CONTROL SCORECARD'!$A9="Role Modelling",'SOFT CONTROL SCORECARD'!$A9="Achievability"), 70, 60)</f>
        <v>60</v>
      </c>
      <c r="E41">
        <f>ROUND(IFERROR(AVERAGEIFS(Responses!$F:$F,Responses!$D:$D,$A9),0),0)</f>
        <v>70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D9E39-4252-4878-B94A-0B455F302AB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Master Question Bank</vt:lpstr>
      <vt:lpstr>FinalQuestions</vt:lpstr>
      <vt:lpstr>Sheet2</vt:lpstr>
      <vt:lpstr>Responses</vt:lpstr>
      <vt:lpstr>Function_SC</vt:lpstr>
      <vt:lpstr>Sheet1</vt:lpstr>
      <vt:lpstr>Culture_Risk_Index</vt:lpstr>
      <vt:lpstr>Sector benchmark score</vt:lpstr>
      <vt:lpstr>Summary</vt:lpstr>
      <vt:lpstr>SOFT CONTROL SCORECARD</vt:lpstr>
      <vt:lpstr>SurveyForm</vt:lpstr>
      <vt:lpstr>Functions</vt:lpstr>
      <vt:lpstr>Dimension Sheet</vt:lpstr>
      <vt:lpstr>Flagged_Qs</vt:lpstr>
      <vt:lpstr>Recommendations</vt:lpstr>
      <vt:lpstr>Auto_Recommendations</vt:lpstr>
      <vt:lpstr>AllResponses</vt:lpstr>
      <vt:lpstr>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ghadge</cp:lastModifiedBy>
  <dcterms:created xsi:type="dcterms:W3CDTF">2026-02-18T09:22:40Z</dcterms:created>
  <dcterms:modified xsi:type="dcterms:W3CDTF">2026-04-22T07:20:14Z</dcterms:modified>
</cp:coreProperties>
</file>