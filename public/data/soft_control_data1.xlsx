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D:\WebsiteBackup\Soft_Controls_Frontend\public\data\"/>
    </mc:Choice>
  </mc:AlternateContent>
  <xr:revisionPtr revIDLastSave="0" documentId="13_ncr:1_{D6170F26-9222-409E-9DD8-0B2B93DD724C}" xr6:coauthVersionLast="47" xr6:coauthVersionMax="47" xr10:uidLastSave="{00000000-0000-0000-0000-000000000000}"/>
  <bookViews>
    <workbookView xWindow="-110" yWindow="-110" windowWidth="19420" windowHeight="10420" firstSheet="1" activeTab="2" xr2:uid="{00000000-000D-0000-FFFF-FFFF00000000}"/>
  </bookViews>
  <sheets>
    <sheet name="Master Question Bank" sheetId="2" state="hidden" r:id="rId1"/>
    <sheet name="FinalQuestions" sheetId="8" r:id="rId2"/>
    <sheet name="Sheet2" sheetId="29" r:id="rId3"/>
    <sheet name="Responses" sheetId="7" r:id="rId4"/>
    <sheet name="Function_SC" sheetId="24" r:id="rId5"/>
    <sheet name="Sheet1" sheetId="28" r:id="rId6"/>
    <sheet name="Culture_Risk_Index" sheetId="16" r:id="rId7"/>
    <sheet name="Sector benchmark score" sheetId="25" r:id="rId8"/>
    <sheet name="Summary" sheetId="11" r:id="rId9"/>
    <sheet name="SOFT CONTROL SCORECARD" sheetId="9" r:id="rId10"/>
    <sheet name="SurveyForm" sheetId="12" r:id="rId11"/>
    <sheet name="Functions" sheetId="23" r:id="rId12"/>
    <sheet name="Dimension Sheet" sheetId="20" r:id="rId13"/>
    <sheet name="Flagged_Qs" sheetId="27" r:id="rId14"/>
    <sheet name="Recommendations" sheetId="10" r:id="rId15"/>
    <sheet name="Auto_Recommendations" sheetId="26" r:id="rId16"/>
    <sheet name="AllResponses" sheetId="15" r:id="rId17"/>
    <sheet name="Radar Chart" sheetId="17" r:id="rId18"/>
  </sheets>
  <definedNames>
    <definedName name="ExternalData_1" localSheetId="16" hidden="1">AllResponses!$A$1:$K$866</definedName>
  </definedNames>
  <calcPr calcId="191029"/>
  <pivotCaches>
    <pivotCache cacheId="4" r:id="rId19"/>
  </pivotCaches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7" l="1" a="1"/>
  <c r="A2" i="27" s="1"/>
  <c r="B2" i="27" s="1"/>
  <c r="C12" i="27" l="1"/>
  <c r="C10" i="27"/>
  <c r="B18" i="27"/>
  <c r="C9" i="27"/>
  <c r="C8" i="27"/>
  <c r="B16" i="27"/>
  <c r="C7" i="27"/>
  <c r="D11" i="27"/>
  <c r="B14" i="27"/>
  <c r="C2" i="27"/>
  <c r="C5" i="27"/>
  <c r="B13" i="27"/>
  <c r="C18" i="27"/>
  <c r="C4" i="27"/>
  <c r="B12" i="27"/>
  <c r="C17" i="27"/>
  <c r="C3" i="27"/>
  <c r="B11" i="27"/>
  <c r="C16" i="27"/>
  <c r="B10" i="27"/>
  <c r="C15" i="27"/>
  <c r="D2" i="27"/>
  <c r="B9" i="27"/>
  <c r="C14" i="27"/>
  <c r="D18" i="27"/>
  <c r="B7" i="27"/>
  <c r="D16" i="27"/>
  <c r="B6" i="27"/>
  <c r="C11" i="27"/>
  <c r="D15" i="27"/>
  <c r="B5" i="27"/>
  <c r="D14" i="27"/>
  <c r="B4" i="27"/>
  <c r="D13" i="27"/>
  <c r="B17" i="27"/>
  <c r="B3" i="27"/>
  <c r="D12" i="27"/>
  <c r="B15" i="27"/>
  <c r="C6" i="27"/>
  <c r="D10" i="27"/>
  <c r="D9" i="27"/>
  <c r="D8" i="27"/>
  <c r="D7" i="27"/>
  <c r="D6" i="27"/>
  <c r="D5" i="27"/>
  <c r="D4" i="27"/>
  <c r="B8" i="27"/>
  <c r="C13" i="27"/>
  <c r="D17" i="27"/>
  <c r="D3" i="27"/>
  <c r="A11" i="24" a="1"/>
  <c r="A11" i="24" s="1"/>
  <c r="A2" i="24" a="1"/>
  <c r="A2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B14" i="24" l="1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B4" i="16" l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 s="1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B16" i="24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C2" i="20" s="1"/>
  <c r="E2" i="20" s="1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B15" i="24" l="1"/>
  <c r="B11" i="24"/>
  <c r="B12" i="24"/>
  <c r="B13" i="24"/>
  <c r="B3" i="20"/>
  <c r="B2" i="16"/>
  <c r="P10" i="16"/>
  <c r="C4" i="9"/>
  <c r="B14" i="26" s="1"/>
  <c r="C5" i="9"/>
  <c r="B21" i="26" s="1"/>
  <c r="C6" i="9"/>
  <c r="B28" i="26" s="1"/>
  <c r="C7" i="9"/>
  <c r="B35" i="26" s="1"/>
  <c r="B21" i="9"/>
  <c r="C8" i="9"/>
  <c r="C9" i="9"/>
  <c r="B22" i="9"/>
  <c r="B23" i="9"/>
  <c r="B24" i="9"/>
  <c r="B25" i="9"/>
  <c r="B1" i="24" a="1"/>
  <c r="B26" i="9"/>
  <c r="B27" i="9"/>
  <c r="B20" i="9"/>
  <c r="C2" i="9"/>
  <c r="B2" i="26" s="1"/>
  <c r="C3" i="9"/>
  <c r="B21" i="20"/>
  <c r="C7" i="20"/>
  <c r="E7" i="20" s="1"/>
  <c r="C21" i="20"/>
  <c r="E21" i="20" s="1"/>
  <c r="B8" i="20"/>
  <c r="B7" i="20"/>
  <c r="B22" i="20"/>
  <c r="C22" i="20"/>
  <c r="E22" i="20" s="1"/>
  <c r="C8" i="20"/>
  <c r="E8" i="20" s="1"/>
  <c r="C6" i="20"/>
  <c r="E6" i="20" s="1"/>
  <c r="B33" i="20"/>
  <c r="B19" i="20"/>
  <c r="C33" i="20"/>
  <c r="E33" i="20" s="1"/>
  <c r="C19" i="20"/>
  <c r="E19" i="20" s="1"/>
  <c r="C5" i="20"/>
  <c r="E5" i="20" s="1"/>
  <c r="B32" i="20"/>
  <c r="B18" i="20"/>
  <c r="B6" i="20"/>
  <c r="C32" i="20"/>
  <c r="E32" i="20" s="1"/>
  <c r="C18" i="20"/>
  <c r="E18" i="20" s="1"/>
  <c r="C4" i="20"/>
  <c r="E4" i="20" s="1"/>
  <c r="B5" i="20"/>
  <c r="C31" i="20"/>
  <c r="E31" i="20" s="1"/>
  <c r="C17" i="20"/>
  <c r="E17" i="20" s="1"/>
  <c r="C3" i="20"/>
  <c r="E3" i="20" s="1"/>
  <c r="B2" i="20"/>
  <c r="B17" i="20"/>
  <c r="B30" i="20"/>
  <c r="B16" i="20"/>
  <c r="C30" i="20"/>
  <c r="E30" i="20" s="1"/>
  <c r="C16" i="20"/>
  <c r="E16" i="20" s="1"/>
  <c r="C20" i="20"/>
  <c r="E20" i="20" s="1"/>
  <c r="B4" i="20"/>
  <c r="B29" i="20"/>
  <c r="B15" i="20"/>
  <c r="C29" i="20"/>
  <c r="E29" i="20" s="1"/>
  <c r="C15" i="20"/>
  <c r="E15" i="20" s="1"/>
  <c r="B28" i="20"/>
  <c r="B14" i="20"/>
  <c r="C28" i="20"/>
  <c r="E28" i="20" s="1"/>
  <c r="C14" i="20"/>
  <c r="E14" i="20" s="1"/>
  <c r="B27" i="20"/>
  <c r="B13" i="20"/>
  <c r="C27" i="20"/>
  <c r="E27" i="20" s="1"/>
  <c r="C13" i="20"/>
  <c r="E13" i="20" s="1"/>
  <c r="B20" i="20"/>
  <c r="B31" i="20"/>
  <c r="B26" i="20"/>
  <c r="B12" i="20"/>
  <c r="C26" i="20"/>
  <c r="E26" i="20" s="1"/>
  <c r="C12" i="20"/>
  <c r="E12" i="20" s="1"/>
  <c r="B25" i="20"/>
  <c r="B11" i="20"/>
  <c r="C25" i="20"/>
  <c r="E25" i="20" s="1"/>
  <c r="C11" i="20"/>
  <c r="E11" i="20" s="1"/>
  <c r="B24" i="20"/>
  <c r="B10" i="20"/>
  <c r="C24" i="20"/>
  <c r="E24" i="20" s="1"/>
  <c r="C10" i="20"/>
  <c r="E10" i="20" s="1"/>
  <c r="B23" i="20"/>
  <c r="B9" i="20"/>
  <c r="C23" i="20"/>
  <c r="E23" i="20" s="1"/>
  <c r="C9" i="20"/>
  <c r="E9" i="20" s="1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D29" i="11"/>
  <c r="C31" i="11"/>
  <c r="C30" i="11"/>
  <c r="C29" i="11"/>
  <c r="C25" i="11"/>
  <c r="D26" i="11"/>
  <c r="D30" i="11"/>
  <c r="C27" i="1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B9" i="9"/>
  <c r="B8" i="9"/>
  <c r="B7" i="9"/>
  <c r="B6" i="9"/>
  <c r="B5" i="9"/>
  <c r="B4" i="9"/>
  <c r="B3" i="9"/>
  <c r="B2" i="9"/>
  <c r="B28" i="24" l="1"/>
  <c r="B27" i="24"/>
  <c r="F2" i="9"/>
  <c r="C2" i="26" s="1"/>
  <c r="F4" i="9"/>
  <c r="C14" i="26" s="1"/>
  <c r="D14" i="26" s="1" a="1"/>
  <c r="D14" i="26" s="1"/>
  <c r="F5" i="9"/>
  <c r="C21" i="26" s="1"/>
  <c r="D21" i="26" s="1" a="1"/>
  <c r="D21" i="26" s="1"/>
  <c r="F7" i="9"/>
  <c r="C35" i="26" s="1"/>
  <c r="D28" i="26" a="1"/>
  <c r="D28" i="26" s="1"/>
  <c r="E28" i="26" a="1"/>
  <c r="E28" i="26" s="1"/>
  <c r="F9" i="9"/>
  <c r="C49" i="26" s="1"/>
  <c r="B49" i="26"/>
  <c r="F8" i="9"/>
  <c r="C42" i="26" s="1"/>
  <c r="B42" i="26"/>
  <c r="F3" i="9"/>
  <c r="C9" i="26" s="1"/>
  <c r="B9" i="26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E2" i="26" l="1" a="1"/>
  <c r="E2" i="26" s="1"/>
  <c r="D2" i="26" a="1"/>
  <c r="D2" i="26" s="1"/>
  <c r="E35" i="26" a="1"/>
  <c r="E35" i="26" s="1"/>
  <c r="E14" i="26" a="1"/>
  <c r="E14" i="26" s="1"/>
  <c r="D35" i="26" a="1"/>
  <c r="D35" i="26" s="1"/>
  <c r="E21" i="26" a="1"/>
  <c r="E21" i="26" s="1"/>
  <c r="D9" i="26" a="1"/>
  <c r="D9" i="26" s="1"/>
  <c r="E9" i="26" a="1"/>
  <c r="E9" i="26" s="1"/>
  <c r="D42" i="26" a="1"/>
  <c r="D42" i="26" s="1"/>
  <c r="E42" i="26" a="1"/>
  <c r="E42" i="26" s="1"/>
  <c r="D49" i="26" a="1"/>
  <c r="D49" i="26" s="1"/>
  <c r="E49" i="26" a="1"/>
  <c r="E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<sst xmlns="http://schemas.openxmlformats.org/spreadsheetml/2006/main" count="9011" uniqueCount="562">
  <si>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</si>
  <si>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</si>
  <si>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</si>
  <si>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</si>
  <si>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</si>
  <si>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</si>
  <si>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</si>
  <si>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</si>
  <si>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</si>
  <si>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</si>
  <si>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</si>
  <si>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</si>
  <si>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</si>
  <si>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</si>
  <si>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</si>
  <si>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</si>
  <si>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</si>
  <si>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</si>
  <si>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</si>
  <si>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</si>
  <si>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</si>
  <si>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</si>
  <si>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</si>
  <si>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</si>
  <si>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</si>
  <si>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</si>
  <si>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</si>
  <si>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</si>
  <si>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</si>
  <si>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</si>
  <si>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</si>
  <si>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</si>
  <si>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</si>
  <si>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</si>
  <si>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</si>
  <si>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</si>
  <si>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</si>
  <si>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</si>
  <si>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</si>
  <si>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</si>
  <si>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</si>
  <si>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</si>
  <si>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</si>
  <si>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</si>
  <si>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</si>
  <si>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</si>
  <si>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</si>
  <si>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</si>
  <si>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</si>
  <si>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</si>
  <si>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</si>
  <si>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</si>
  <si>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</si>
  <si>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</si>
  <si>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</si>
  <si>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</si>
  <si>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</si>
  <si>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</si>
  <si>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</si>
  <si>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</si>
  <si>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</si>
  <si>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</si>
  <si>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</si>
  <si>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</si>
  <si>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</si>
  <si>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</si>
  <si>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</si>
  <si>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</si>
  <si>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</si>
  <si>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</si>
  <si>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</si>
  <si>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</si>
  <si>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</si>
  <si>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</si>
  <si>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</si>
  <si>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</si>
  <si>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</si>
  <si>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</si>
  <si>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</si>
  <si>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</si>
  <si>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</si>
  <si>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</si>
  <si>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</si>
  <si>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</si>
  <si>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</si>
  <si>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</si>
  <si>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</si>
  <si>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</si>
  <si>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</si>
  <si>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</si>
  <si>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</si>
  <si>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</si>
  <si>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</si>
  <si>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</si>
  <si>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</si>
  <si>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</si>
  <si>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</si>
  <si>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</si>
  <si>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</si>
  <si>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</si>
  <si>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</si>
  <si>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</si>
  <si>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</si>
  <si>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</si>
  <si>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</si>
  <si>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</si>
  <si>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</si>
  <si>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</si>
  <si>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</si>
  <si>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</si>
  <si>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</si>
  <si>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</si>
  <si>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</si>
  <si>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</si>
  <si>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</si>
  <si>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</si>
  <si>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</si>
  <si>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</si>
  <si>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</si>
  <si>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</si>
  <si>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</si>
  <si>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</si>
  <si>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</si>
  <si>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</si>
  <si>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</si>
  <si>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</si>
  <si>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</si>
  <si>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</si>
  <si>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</si>
  <si>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</si>
  <si>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</si>
  <si>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</si>
  <si>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</si>
  <si>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</si>
  <si>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</si>
  <si>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</si>
  <si>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</si>
  <si>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</si>
  <si>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</si>
  <si>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</si>
  <si>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</si>
  <si>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</si>
  <si>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</si>
  <si>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</si>
  <si>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</si>
  <si>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</si>
  <si>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</si>
  <si>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</si>
  <si>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When</t>
  </si>
  <si>
    <t>Discussibility</t>
  </si>
  <si>
    <t>Run small-group listening meetings to hear concerns and ideas.</t>
  </si>
  <si>
    <t>Collect topics anonymously; hold 45‑min session; publish what was heard and actions.</t>
  </si>
  <si>
    <t>Start this quarter; quarterly</t>
  </si>
  <si>
    <t>Hold problem-scenario discussions with anonymous voting and leader explanations.</t>
  </si>
  <si>
    <t>Use simple polls on 2–3 real dilemmas; record decisions and reasons; share notes.</t>
  </si>
  <si>
    <t>Start in 1–2 months; quarterly</t>
  </si>
  <si>
    <t>Re‑introduce speak‑up channels and protections.</t>
  </si>
  <si>
    <t>One‑page guide + short video on where to report, what happens next, and non‑retaliation.</t>
  </si>
  <si>
    <t>Within 1 month; refresh twice a year</t>
  </si>
  <si>
    <t>Share a monthly ‘You said, we did’ update.</t>
  </si>
  <si>
    <t>5‑bullet intranet/email note listing issues raised, actions taken, and any constraints.</t>
  </si>
  <si>
    <t>Monthly</t>
  </si>
  <si>
    <t>Publish answers to common employee questions.</t>
  </si>
  <si>
    <t>Collect questions (anonymous allowed), group them, and post clear answers in one place.</t>
  </si>
  <si>
    <t>Start within 1 month; update monthly</t>
  </si>
  <si>
    <t>Share short, visual guides for confusing processes.</t>
  </si>
  <si>
    <t>1‑page flows for incident handling, promotions, and workload planning; include contacts.</t>
  </si>
  <si>
    <t>Draft in 4–6 weeks; review 6‑monthly</t>
  </si>
  <si>
    <t>Leaders run open reflection sessions on past decisions and learnings.</t>
  </si>
  <si>
    <t>30‑min slot in team meetings; leader shares what worked/what didn’t and next changes.</t>
  </si>
  <si>
    <t>Start next month; quarterly</t>
  </si>
  <si>
    <t>Publish a simple ‘how to escalate’ guide.</t>
  </si>
  <si>
    <t>What to raise, when, to whom, expected timelines; include examples.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</si>
  <si>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</si>
  <si>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</si>
  <si>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</si>
  <si>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Review targets to ensure they are realistic.</t>
  </si>
  <si>
    <t>Check workload, skills, resources; adjust targets or add support.</t>
  </si>
  <si>
    <t>Within 6 weeks; at planning cycles</t>
  </si>
  <si>
    <t>Map workloads every two months to spot overload.</t>
  </si>
  <si>
    <t>Simple RAG per person/team; drop, delay, or reassign low‑priority work.</t>
  </si>
  <si>
    <t>Every 2 months</t>
  </si>
  <si>
    <t>Add a short ‘pressure check’ to performance conversations.</t>
  </si>
  <si>
    <t>Ask about blockers, deadlines, support needed; note 1–2 actions.</t>
  </si>
  <si>
    <t>From next review cycle</t>
  </si>
  <si>
    <t>Publish how misconduct or rule‑breaking is handled consistently.</t>
  </si>
  <si>
    <t>Steps, roles, timelines, and example outcomes apply equally to all levels.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</si>
  <si>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</si>
  <si>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</si>
  <si>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</si>
  <si>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</si>
  <si>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Send status updates to people who report concerns.</t>
  </si>
  <si>
    <t>Acknowledge receipt; share process and timelines; confirm closure (no sensitive details).</t>
  </si>
  <si>
    <t>Immediate; ongoing</t>
  </si>
  <si>
    <t>Run team sessions to clarify who does what.</t>
  </si>
  <si>
    <t>Create a simple responsibility map (RACI) and agree on handoffs.</t>
  </si>
  <si>
    <t>Within 1–2 months; review 6‑monthly</t>
  </si>
  <si>
    <t>Publish a short guide on how common decisions are made.</t>
  </si>
  <si>
    <t>Who decides, inputs needed, timelines, and appeal/escalation path.</t>
  </si>
  <si>
    <t>Hold a monthly ‘ask anything’ hour with department heads.</t>
  </si>
  <si>
    <t>45‑min session; allow anonymous questions; post a written summary.</t>
  </si>
  <si>
    <t>Role modelling</t>
  </si>
  <si>
    <t>Leaders share real examples of tough choices and lessons.</t>
  </si>
  <si>
    <t>10‑min segment at staff meetings or a short video; focus on what changed after mistakes.</t>
  </si>
  <si>
    <t>Quarterly</t>
  </si>
  <si>
    <t>Let selected employees observe key meetings and debrief behaviours.</t>
  </si>
  <si>
    <t>1 meeting/month; 15‑min debrief on listening, respect, and inviting challenge.</t>
  </si>
  <si>
    <t>Pilot in 2–3 months</t>
  </si>
  <si>
    <t>Provide simple 360° behaviour feedback to leaders.</t>
  </si>
  <si>
    <t>5–7 questions on listening, inclusion, inviting challenge; agree 2–3 actions.</t>
  </si>
  <si>
    <t>Start in 3–4 months; annual thereafter</t>
  </si>
  <si>
    <t>Publish a 6‑month culture plan with 3–5 actions and owners.</t>
  </si>
  <si>
    <t>Define milestones; review progress at the executive meeting each month.</t>
  </si>
  <si>
    <t>Draft in 4 weeks; monthly reviews</t>
  </si>
  <si>
    <t>Nominate culture champions across functions to keep actions moving.</t>
  </si>
  <si>
    <t>One‑page role; collect feedback; surface risks; share quick wins.</t>
  </si>
  <si>
    <t>Nominate in 1–2 months</t>
  </si>
  <si>
    <t>Add culture metrics to leader scorecards and reviews.</t>
  </si>
  <si>
    <t>Track speak‑up usage, leader‑employee gap, and sentiment trend each quarter.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</si>
  <si>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</si>
  <si>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</si>
  <si>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</si>
  <si>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</si>
  <si>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</si>
  <si>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</si>
  <si>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</si>
  <si>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</si>
  <si>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</si>
  <si>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</si>
  <si>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</si>
  <si>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</si>
  <si>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</si>
  <si>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</si>
  <si>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</si>
  <si>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</si>
  <si>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</si>
  <si>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</si>
  <si>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</si>
  <si>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</si>
  <si>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</si>
  <si>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</si>
  <si>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</si>
  <si>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</si>
  <si>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</si>
  <si>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</si>
  <si>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</si>
  <si>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</si>
  <si>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</si>
  <si>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</si>
  <si>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</si>
  <si>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</si>
  <si>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</si>
  <si>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</si>
  <si>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</si>
  <si>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</si>
  <si>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</si>
  <si>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</si>
  <si>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</si>
  <si>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</si>
  <si>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</si>
  <si>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</si>
  <si>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</si>
  <si>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</si>
  <si>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</si>
  <si>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</si>
  <si>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</si>
  <si>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</si>
  <si>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</si>
  <si>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</si>
  <si>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</si>
  <si>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</si>
  <si>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</si>
  <si>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</si>
  <si>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</si>
  <si>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</si>
  <si>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</si>
  <si>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</si>
  <si>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</si>
  <si>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</si>
  <si>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</si>
  <si>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</si>
  <si>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</si>
  <si>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</si>
  <si>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</si>
  <si>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</si>
  <si>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</si>
  <si>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</si>
  <si>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</si>
  <si>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</si>
  <si>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</si>
  <si>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</si>
  <si>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Organizational View on Risk Culture</t>
  </si>
  <si>
    <t>Team members are held to the same behavioral standards, no matter who they are.</t>
  </si>
  <si>
    <t>Consistency of Conduct Enforcement</t>
  </si>
  <si>
    <t>Start ‘Workload Forecast Fridays’.</t>
  </si>
  <si>
    <t>Team predicts next week’s workload with R/Y/G tags; manager reallocates tasks as needed.</t>
  </si>
  <si>
    <t>Build a 30‑day skill booster for weak areas.</t>
  </si>
  <si>
    <t>L&amp;D creates bite‑sized training for the 2 most common skill gaps; track completion and application.</t>
  </si>
  <si>
    <t>Introduce ‘Priority Swap Logs’.</t>
  </si>
  <si>
    <t>When a new task arrives, list which lower‑priority task will pause; share weekly.</t>
  </si>
  <si>
    <t>Create a monthly resourcing checkpoint.</t>
  </si>
  <si>
    <t>BU reviews capacity, backlog, and blockers with HR; temporarily redistribute resources.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</si>
  <si>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</si>
  <si>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</si>
  <si>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</si>
  <si>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</si>
  <si>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Run 15‑min ‘Case Replay’ exercises.</t>
  </si>
  <si>
    <t>Manager picks a sanitized situation, explains what should have happened, and clarifies expectations.</t>
  </si>
  <si>
    <t>Launch quick ‘Stop/Start/Continue’ monthly peer feedback.</t>
  </si>
  <si>
    <t>Each member submits 1 behaviour under each category; manager consolidates themes anonymously.</t>
  </si>
  <si>
    <t>Publish ‘Role Boundaries Cheat Sheets’.</t>
  </si>
  <si>
    <t>One‑pager per role listing 5 decisions they can make and 5 they cannot; share yearly.</t>
  </si>
  <si>
    <t>Use ‘Fast FAQs’ for any new process.</t>
  </si>
  <si>
    <t>On launch, publish 5 FAQs + 5 Do’s/Don’ts; share in team chats.</t>
  </si>
  <si>
    <t>Standardize ‘Before you start’ checklists.</t>
  </si>
  <si>
    <t>Each process owner provides a quick checklist to verify prerequisites.</t>
  </si>
  <si>
    <t>Create cross‑BU walkthrough recordings.</t>
  </si>
  <si>
    <t>10‑minute videos explaining steps, common confusions, and contacts; host on intranet.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</si>
  <si>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</si>
  <si>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</si>
  <si>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</si>
  <si>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</si>
  <si>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</si>
  <si>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</si>
  <si>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</si>
  <si>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</si>
  <si>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Start weekly ‘5‑Minute Clarity Checks’.</t>
  </si>
  <si>
    <t>Managers ask 2 fixed prompts: ‘What’s unclear?’ and ‘Where did we hesitate last week?’; note 1 action and share in team chat.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</si>
  <si>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</si>
  <si>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</si>
  <si>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</si>
  <si>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</si>
  <si>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</si>
  <si>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</si>
  <si>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</si>
  <si>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</si>
  <si>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</si>
  <si>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</si>
  <si>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Add SLA timers for case handling.</t>
  </si>
  <si>
    <t>Case system alerts when steps exceed defined timelines; monthly review for delays.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</si>
  <si>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</si>
  <si>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</si>
  <si>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</si>
  <si>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</si>
  <si>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Introduce ‘Show Your Work’ leadership notes.</t>
  </si>
  <si>
    <t>Leaders publish short notes after key decisions showing risks considered and trade‑offs.</t>
  </si>
  <si>
    <t>Set up a rotating leader Q&amp;A carousel.</t>
  </si>
  <si>
    <t>Each month a different leader hosts a 15‑min open Q&amp;A; anonymous submissions.</t>
  </si>
  <si>
    <t>Embed values moments in leader briefings.</t>
  </si>
  <si>
    <t>Leaders open each briefing with a 1‑minute story of a value demonstrated internally.</t>
  </si>
  <si>
    <t>Publish ‘This Month in Decisions’ micro‑updates.</t>
  </si>
  <si>
    <t>Bullet 5 key decisions (no names); add what changed for teams and link to updated docs.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</si>
  <si>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</si>
  <si>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</si>
  <si>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</si>
  <si>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</si>
  <si>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Introduce ‘Why we changed this’ tags.</t>
  </si>
  <si>
    <t>Add a one‑line reason on each new process/policy update; keep it visible on the page.</t>
  </si>
  <si>
    <t>AvgScore</t>
  </si>
  <si>
    <t>Flagged_RCI</t>
  </si>
  <si>
    <t>Flagged</t>
  </si>
  <si>
    <t>No</t>
  </si>
  <si>
    <t>Yes</t>
  </si>
  <si>
    <t>Neutral%</t>
  </si>
  <si>
    <t>Favourable%</t>
  </si>
  <si>
    <t>Unfavourable%</t>
  </si>
  <si>
    <t>What it means to your organization</t>
  </si>
  <si>
    <t>Business Impact</t>
  </si>
  <si>
    <t>When this is low, employees receive mixed signals about expected behavior, leading to inconsistency, reduced trust in leadership, and weaker cultural alignment.</t>
  </si>
  <si>
    <t>Shows how visibly senior leadership prioritizes and reinforces a strong risk culture.</t>
  </si>
  <si>
    <t>Low commitment reduces the credibility of risk initiatives, slows cultural adoption, and causes employees to deprioritize risk considerations.</t>
  </si>
  <si>
    <t>Indicates whether leaders actively encourage employees to raise concerns and escalate risks early.</t>
  </si>
  <si>
    <t>Low scores result in hidden risks, delayed escalation, and higher likelihood of issues growing into serious incidents.</t>
  </si>
  <si>
    <t>Measures the extent to which decisions consider long‑term consequences beyond immediate pressures.</t>
  </si>
  <si>
    <t>Low awareness leads to short‑term decision‑making, recurring problems, and misalignment with long‑term strategy.</t>
  </si>
  <si>
    <t>Reflects how freely employees can discuss concerns, mistakes, and dilemmas.</t>
  </si>
  <si>
    <t>Low openness suppresses learning, limits problem‑solving, and allows unresolved issues to accumulate.</t>
  </si>
  <si>
    <t>Poor access increases uncertainty, inconsistent decisions, and operational inefficiencies.</t>
  </si>
  <si>
    <t>Measures whether employees feel comfortable sharing views and perspectives on risk matters.</t>
  </si>
  <si>
    <t>Low openness reduces diversity of input, weakens decision quality, and limits early identification of risks.</t>
  </si>
  <si>
    <t>Indicates whether employees feel safe raising ethical dilemmas or complex risk situations.</t>
  </si>
  <si>
    <t>Low comfort discourages reporting, delays resolution, and increases exposure to unmanaged risks.</t>
  </si>
  <si>
    <t>Assesses whether employees feel sufficiently trained to manage risk appropriately.</t>
  </si>
  <si>
    <t>Insufficient training leads to inconsistent behavior, higher error rates, and dependence on individual experience.</t>
  </si>
  <si>
    <t>Evaluates whether employees have enough time and resources to manage risk effectively.</t>
  </si>
  <si>
    <t>High workload pressure causes shortcuts, control gaps, and increased operational risk.</t>
  </si>
  <si>
    <t>Measures whether targets and expectations are achievable without compromising risk standards.</t>
  </si>
  <si>
    <t>Unrealistic targets encourage risk‑taking, policy breaches, and erosion of ethical behavior.</t>
  </si>
  <si>
    <t>Low risk insight increases exposure to financial, operational, and reputational issues.</t>
  </si>
  <si>
    <t>Assesses the organization’s ability to learn and improve from past non‑compliance events.</t>
  </si>
  <si>
    <t>Low learning results in repeated issues, higher compliance risk, and diminished control maturity.</t>
  </si>
  <si>
    <t>Reflects how seriously risk culture is perceived across the organization.</t>
  </si>
  <si>
    <t>A weak view of risk culture undermines consistency in behavior and weakens overall risk management.</t>
  </si>
  <si>
    <t>Indicates whether compliance is recognized, reinforced, and acted upon fairly.</t>
  </si>
  <si>
    <t>Poor enforcement reduces rule adherence and increases misconduct risk.</t>
  </si>
  <si>
    <t>Shows how clearly individuals understand their role in managing risk.</t>
  </si>
  <si>
    <t>Measures how well employees understand risk‑related rules and procedures.</t>
  </si>
  <si>
    <t>Low understanding increases mistakes, non‑compliance, and inconsistent execution.</t>
  </si>
  <si>
    <t>Indicates whether employees understand personal limits and decision boundaries around risk.</t>
  </si>
  <si>
    <t>Unclear boundaries encourage risky decisions and inconsistent judgment calls.</t>
  </si>
  <si>
    <t>Assesses the clarity and usefulness of risk messaging and training initiatives.</t>
  </si>
  <si>
    <t>Ineffective communication weakens awareness and consistent application of risk principles.</t>
  </si>
  <si>
    <t>Reflects confidence within teams that compliance is taken seriously.</t>
  </si>
  <si>
    <t>Low confidence reduces adherence to standards and increases complacency toward risks.</t>
  </si>
  <si>
    <t>Shows whether risks are identified early rather than after incidents occur.</t>
  </si>
  <si>
    <t>Low proactivity increases reaction time, impact severity, and cost of failures.</t>
  </si>
  <si>
    <t>Measures whether leaders act on raised issues and concerns.</t>
  </si>
  <si>
    <t>Poor follow‑through reduces trust, engagement, and future willingness to escalate risks.</t>
  </si>
  <si>
    <t>Indicates whether standards and policies are easy to find and consistently applied.</t>
  </si>
  <si>
    <t>Low transparency leads to confusion, inconsistent compliance, and operational inefficiency.</t>
  </si>
  <si>
    <t>Measures fairness and consistency in applying behavioral rules.</t>
  </si>
  <si>
    <t>Inconsistent enforcement erodes trust and weakens adherence to standards.</t>
  </si>
  <si>
    <t>Sense of Ownership</t>
  </si>
  <si>
    <t>Low comfort hides breaches, increasing regulatory and reputational risk.</t>
  </si>
  <si>
    <t>Reflects how safe employees feel reporting non‑compliance or misconduct.</t>
  </si>
  <si>
    <t>Delayed resolution causes recurring problems and weakens confidence in controls.</t>
  </si>
  <si>
    <t>Assesses how quickly accountability concerns are addressed.</t>
  </si>
  <si>
    <t>Low peer accountability allows undesirable behaviors to spread unchecked.</t>
  </si>
  <si>
    <t>Measures willingness to hold colleagues accountable constructively.</t>
  </si>
  <si>
    <t>Weak accountability delays mitigation and increases unresolved risk exposure.</t>
  </si>
  <si>
    <t>Indicates whether individuals feel accountable for risk‑related decisions and outcomes.</t>
  </si>
  <si>
    <t>Low consideration damages collaboration, trust, and workplace culture.</t>
  </si>
  <si>
    <t>Shows whether employees consider how their actions affect colleagues and stakeholders.</t>
  </si>
  <si>
    <t>Low belonging reduces engagement, collaboration, and retention.</t>
  </si>
  <si>
    <t>Measures whether employees feel connected and valued by the organization.</t>
  </si>
  <si>
    <t>Low motivation results in passive behavior and unaddressed risks.</t>
  </si>
  <si>
    <t>Reflects employee motivation to take ownership of risks in their role.</t>
  </si>
  <si>
    <t>Unclear roles create accountability gaps, duplication of work, and overlooked risks.</t>
  </si>
  <si>
    <t>Shows how well risk considerations are integrated into everyday decisions</t>
  </si>
  <si>
    <t>Shows how easily employees can obtain advice or guidance when facing risk‑related situations</t>
  </si>
  <si>
    <t>This dimension reflects the extent to which employees feel personally responsible for managing risks, taking initiative, and acting in the best interest of the organization within their role.</t>
  </si>
  <si>
    <t>Low sense of ownership results in passive behavior, delayed action on risks, and unclear accountability across teams.</t>
  </si>
  <si>
    <t>It reflects how consistently leaders demonstrate risk‑aware behavior through their decisions and day‑to‑day actions.</t>
  </si>
  <si>
    <t>High Risk Statements</t>
  </si>
  <si>
    <t>Med Risk Statements</t>
  </si>
  <si>
    <t>Low Risk Statements</t>
  </si>
  <si>
    <t>Leaders are not consistently demonstrating expected risk‑aware behavior. This creates confusion within teams about what is acceptable and weakens trust in leadership decisions.</t>
  </si>
  <si>
    <t>Leadership intent is understood, but behaviors are not consistently demonstrated across levels. This may lead to pockets of inconsistency and uneven culture adoption.</t>
  </si>
  <si>
    <t>Leaders consistently role‑model strong risk‑aware behaviors. This sets clear expectations and strongly reinforces the desired culture across the organization.</t>
  </si>
  <si>
    <t>Senior leadership support for risk culture is perceived as weak or inconsistent. As a result, employees deprioritize risk considerations in daily decisions.</t>
  </si>
  <si>
    <t>Executives communicate commitment to risk culture, but reinforcement is not always visible. Cultural momentum exists but lacks strong top‑down reinforcement.</t>
  </si>
  <si>
    <t>Executive leadership visibly prioritizes and reinforces risk culture. This drives strong alignment and reinforces consistent behavior across functions.</t>
  </si>
  <si>
    <t>Employees do not feel encouraged to raise concerns, resulting in risks remaining hidden until they escalate into major issues.</t>
  </si>
  <si>
    <t>Employees escalate certain issues but may hesitate in sensitive situations. Early warning signals may still be missed.</t>
  </si>
  <si>
    <t>Leaders actively encourage escalation, enabling early detection and timely resolution of risks.</t>
  </si>
  <si>
    <t>Decisions are driven primarily by short‑term pressure, increasing the likelihood of repeated problems and strategic misalignment.</t>
  </si>
  <si>
    <t>Long‑term implications are considered in some decisions, but consistency is lacking under operational pressure.</t>
  </si>
  <si>
    <t>Decisions consistently account for long‑term impact, supporting sustainable performance and risk management.</t>
  </si>
  <si>
    <t>Employees are reluctant to discuss concerns or mistakes, limiting learning and increasing unresolved risks.</t>
  </si>
  <si>
    <t>Open discussions occur in some teams but are not consistent across the organization.</t>
  </si>
  <si>
    <t>Employees freely discuss issues and dilemmas, enabling continuous learning and early risk identification.</t>
  </si>
  <si>
    <t>Employees struggle to obtain guidance, leading to uncertainty and inconsistent handling of risks.</t>
  </si>
  <si>
    <t>Guidance is available but not always timely or clear enough for effective decision‑making.</t>
  </si>
  <si>
    <t>Employees have easy access to guidance, supporting confident and consistent risk decisions.</t>
  </si>
  <si>
    <t>Employees hesitate to share opinions, limiting diverse perspectives and increasing the chance of blind spots.</t>
  </si>
  <si>
    <t>Opinions are shared selectively, and some perspectives may remain unheard.</t>
  </si>
  <si>
    <t>Employees openly share views, strengthening decision quality and risk awareness.</t>
  </si>
  <si>
    <t>Employees feel unsafe reporting dilemmas, allowing ethical and risk issues to remain unaddressed.</t>
  </si>
  <si>
    <t>Some dilemmas are reported, but hesitation remains around sensitive issues.</t>
  </si>
  <si>
    <t>Employees feel safe raising dilemmas, enabling timely guidance and resolution.</t>
  </si>
  <si>
    <t>Training gaps leave employees ill‑equipped to manage risk, increasing errors and inconsistencies.</t>
  </si>
  <si>
    <t>Training exists but may not fully address practical risk scenarios.</t>
  </si>
  <si>
    <t>Training effectively equips employees to manage risks confidently.</t>
  </si>
  <si>
    <t>High workload prevents employees from properly managing risks, leading to shortcuts and control gaps.</t>
  </si>
  <si>
    <t>Work pressure occasionally impacts risk quality but remains manageable.</t>
  </si>
  <si>
    <t>Workload and resources allow employees to consistently manage risks effectively.</t>
  </si>
  <si>
    <t>Unrealistic targets encourage risk‑taking and rule‑bypassing behavior.</t>
  </si>
  <si>
    <t>Targets are generally realistic, but pressure remains in certain situations.</t>
  </si>
  <si>
    <t>Targets support responsible behavior without compromising risk standards.</t>
  </si>
  <si>
    <t>Decisions are made with limited consideration of risk implications.</t>
  </si>
  <si>
    <t>Risk is considered but not consistently integrated into decisions.</t>
  </si>
  <si>
    <t>Risk considerations are a natural part of decision‑making.</t>
  </si>
  <si>
    <t>The organization does not effectively learn from past non‑compliance cases. Similar issues are likely to repeat due to lack of reflection and corrective action.</t>
  </si>
  <si>
    <t>Some learning takes place after non‑compliance, but insights are not consistently embedded across teams.</t>
  </si>
  <si>
    <t>Non‑compliance cases are treated as learning opportunities, leading to continuous improvement and stronger controls.</t>
  </si>
  <si>
    <t>Risk culture is not perceived as important, resulting in inconsistent behavior and weak adherence to risk standards.</t>
  </si>
  <si>
    <t>Risk culture is recognized, but its importance may vary across functions or leadership levels.</t>
  </si>
  <si>
    <t>Risk culture is clearly valued and consistently reinforced across the organization.</t>
  </si>
  <si>
    <t>Compliance is not consistently recognized or enforced, reducing the seriousness of rules and expected behavior.</t>
  </si>
  <si>
    <t>Compliance is enforced in major cases, but consistency and visibility can be improved.</t>
  </si>
  <si>
    <t>Compliance is clearly recognized and enforced fairly, reinforcing disciplined and responsible behavior.</t>
  </si>
  <si>
    <t>Employees are unclear about their risk‑related roles, leading to ownership gaps and unmanaged risks.</t>
  </si>
  <si>
    <t>Role responsibilities are generally understood, but some overlaps or gaps remain.</t>
  </si>
  <si>
    <t>Roles and responsibilities are clearly defined, supporting effective risk ownership.</t>
  </si>
  <si>
    <t>Policies and procedures are poorly understood, increasing mistakes and non‑compliance.</t>
  </si>
  <si>
    <t>Policies are understood at a high level, but practical interpretation varies.</t>
  </si>
  <si>
    <t>Employees clearly understand policies and apply them consistently in daily work.</t>
  </si>
  <si>
    <t>Employees are unsure where their decision boundaries lie, increasing inappropriate risk‑taking.</t>
  </si>
  <si>
    <t>Most employees understand boundaries, but uncertainty exists in complex situations.</t>
  </si>
  <si>
    <t>Personal risk boundaries are clear, enabling confident and responsible decision‑making.</t>
  </si>
  <si>
    <t>Training exists but could be more practical or engaging.</t>
  </si>
  <si>
    <t>Risk communication and training are effective and well understood across the organization.</t>
  </si>
  <si>
    <t>Teams lack confidence that compliance is taken seriously, leading to complacency.</t>
  </si>
  <si>
    <t>Compliance is respected within teams, though confidence varies by situation.</t>
  </si>
  <si>
    <t>Teams strongly believe compliance is valued and upheld consistently.</t>
  </si>
  <si>
    <t>Employees lack motivation to take ownership of risks, assuming responsibility lies elsewhere.</t>
  </si>
  <si>
    <t>Employees take ownership in some situations but hesitate in others.</t>
  </si>
  <si>
    <t>Strong ownership mindset drives proactive and responsible risk management.</t>
  </si>
  <si>
    <t>Employees feel disconnected, reducing engagement and commitment.</t>
  </si>
  <si>
    <t>Employees feel moderately connected, though engagement varies.</t>
  </si>
  <si>
    <t>Strong sense of belonging enhances collaboration and retention.</t>
  </si>
  <si>
    <t>Decisions are made without considering effects on colleagues or stakeholders.</t>
  </si>
  <si>
    <t>Impact on others is sometimes considered but not consistently.</t>
  </si>
  <si>
    <t>Employees actively consider the broader impact of their actions.</t>
  </si>
  <si>
    <t>Accountability for risk actions is unclear, leading to delayed responses.</t>
  </si>
  <si>
    <t>Accountability exists but is inconsistently applied.</t>
  </si>
  <si>
    <t>Clear accountability ensures timely and effective risk responses.</t>
  </si>
  <si>
    <t>Employees hesitate to hold colleagues accountable, allowing poor behaviors to persist.</t>
  </si>
  <si>
    <t>Peer accountability occurs but is situational.</t>
  </si>
  <si>
    <t>Constructive peer accountability strengthens team discipline.</t>
  </si>
  <si>
    <t>Accountability issues remain unresolved, increasing recurring problems.</t>
  </si>
  <si>
    <t>Most issues are resolved, though some delays occur.</t>
  </si>
  <si>
    <t>Issues are addressed promptly, reinforcing trust and control.</t>
  </si>
  <si>
    <t>Employees feel unsafe reporting non‑compliance, hiding critical issues.</t>
  </si>
  <si>
    <t>Some reporting occurs, but fear remains in sensitive cases.</t>
  </si>
  <si>
    <t>Employees confidently report non‑compliance without fear.</t>
  </si>
  <si>
    <t>Rules are applied inconsistently, eroding trust and fairness.</t>
  </si>
  <si>
    <t>Enforcement is generally fair but occasionally inconsistent.</t>
  </si>
  <si>
    <t>Consistent enforcement reinforces ethical and expected behavior.</t>
  </si>
  <si>
    <t>Employees do not feel personally responsible for managing risks beyond basic compliance. Risk‑related decisions are often delayed or pushed to others, leading to accountability gaps and unresolved issues.</t>
  </si>
  <si>
    <t>Employees take ownership of risk in familiar situations, but confidence and initiative reduce in complex or high‑pressure scenarios. This can result in inconsistent risk handling across teams.</t>
  </si>
  <si>
    <t>Employees feel empowered and confident to take ownership of risk‑related decisions within their role. This drives proactive behavior, faster decision‑making, and stronger accountability across the organization.</t>
  </si>
  <si>
    <t>Leaders openly emphasize the importance of doing things the right way, even under time pressure</t>
  </si>
  <si>
    <t>All the seniors encourage employees to identify, escalate and report all the concerns in a timely manner</t>
  </si>
  <si>
    <t>Differences of opinion are respected during discussions about judgments or decisions</t>
  </si>
  <si>
    <t>I can openly raise concerns without fear of negative consequences</t>
  </si>
  <si>
    <t>Colleagues respond constructively when mistakes or concerns are raised management.</t>
  </si>
  <si>
    <t>I feel comfortable escalating issues to Risk Management / Ethics &amp; Independence / DPP when needed</t>
  </si>
  <si>
    <t>I have received enough training to handle job‑related challenges effectively.</t>
  </si>
  <si>
    <t>I have observed changes implemented as a result of past issues or incidents.</t>
  </si>
  <si>
    <t>Ways of handling work challenges are followed consistently across the organization.</t>
  </si>
  <si>
    <t>Good behaviors related to quality and ethics are recognized and appreciated.</t>
  </si>
  <si>
    <t>I feel confident and supported to make important decisions within my role.</t>
  </si>
  <si>
    <t>I understand the purpose of my roles and responsibilities</t>
  </si>
  <si>
    <t xml:space="preserve">I understand the consequences of not following the firm policies </t>
  </si>
  <si>
    <t>The guidance and training I receive are clear and help me make good decisions.</t>
  </si>
  <si>
    <t>I understand what is expected of me and it is clearly available to me in form of a policy</t>
  </si>
  <si>
    <t>People in my team feel motivated to handle challenges responsibly.</t>
  </si>
  <si>
    <t>Feedback from team members is considered when improving ways of working.</t>
  </si>
  <si>
    <t>I feel involved in decisions that affect how work is carried out.</t>
  </si>
  <si>
    <t>I feel responsible for speaking up if I observe behavior that does not align with my organizations values</t>
  </si>
  <si>
    <t>I feel comfortable to report when someone is non-compliant with regard to policies, procedures or guidelines</t>
  </si>
  <si>
    <t>How key decisions are made within my team is transparent</t>
  </si>
  <si>
    <t>Expectations are applied consistently across team members.</t>
  </si>
  <si>
    <t>Managers have a good understanding of what is happening within the team.</t>
  </si>
  <si>
    <t>Compliance Confidence in team</t>
  </si>
  <si>
    <t>I believe that my leaders and senior managers consistently act as positive role models, also when they are under time pressure or facing difficult trade‑offs.</t>
  </si>
  <si>
    <t>Transparency in Decision‑Making</t>
  </si>
  <si>
    <t>Leadership Awareness in the team</t>
  </si>
  <si>
    <t>Fairness &amp; Equity of Expectations</t>
  </si>
  <si>
    <t>Decision‑making processes are unclear or opaque, making it difficult for team members to understand how and why decisions are taken. This reduces trust, limits buy‑in, and increases resistance to implementation.</t>
  </si>
  <si>
    <t>Some decisions are explained, but transparency is inconsistent across situations or teams. While intent is visible, employees may still feel partially excluded from the decision‑making process.</t>
  </si>
  <si>
    <t>Decision‑making is clear and transparent. Employees understand the rationale behind decisions, which strengthens trust, alignment, and effective execution.</t>
  </si>
  <si>
    <t>Expectations appear uneven or biased, leading employees to feel that standards differ based on role, seniority, or personal relationships. This reduces morale and increases disengagement.</t>
  </si>
  <si>
    <t>Expectations are generally applied fairly, but inconsistencies arise in certain situations. Employees may question fairness during periods of pressure or change.</t>
  </si>
  <si>
    <t>Expectations are applied fairly and consistently across all team members. This reinforces trust, motivation, and a sense of equity within the team.</t>
  </si>
  <si>
    <t>Managers are disconnected from day‑to‑day realities, increasing the risk that issues remain unnoticed until they escalate. This weakens timely intervention and decision quality.</t>
  </si>
  <si>
    <t>Managers have partial visibility, but insight may be limited to certain activities or individuals. Some emerging risks may still go undetected.</t>
  </si>
  <si>
    <t>Managers are well‑informed and aware of team activities, enabling early identification of issues and informed decision‑making.</t>
  </si>
  <si>
    <t>Grand Total</t>
  </si>
  <si>
    <t>Dimension x Functions</t>
  </si>
  <si>
    <t>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</si>
</sst>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0000"/>
        <bgColor theme="4" tint="0.59999389629810485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14" fillId="0" borderId="0" xfId="0" applyFont="1"/>
    <xf numFmtId="0" fontId="0" fillId="12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0" xfId="0" applyFill="1"/>
    <xf numFmtId="49" fontId="0" fillId="0" borderId="0" xfId="0" applyNumberFormat="1"/>
    <xf numFmtId="49" fontId="0" fillId="11" borderId="0" xfId="0" applyNumberFormat="1" applyFill="1"/>
    <xf numFmtId="0" fontId="0" fillId="17" borderId="0" xfId="0" applyFill="1"/>
    <xf numFmtId="0" fontId="0" fillId="18" borderId="1" xfId="0" applyFill="1" applyBorder="1"/>
    <xf numFmtId="0" fontId="0" fillId="19" borderId="1" xfId="0" applyFill="1" applyBorder="1"/>
    <xf numFmtId="0" fontId="0" fillId="2" borderId="16" xfId="0" applyFill="1" applyBorder="1"/>
    <xf numFmtId="0" fontId="0" fillId="2" borderId="7" xfId="0" applyFill="1" applyBorder="1"/>
    <xf numFmtId="0" fontId="0" fillId="2" borderId="16" xfId="0" applyFill="1" applyBorder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8"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133.875</c:v>
                </c:pt>
                <c:pt idx="1">
                  <c:v>1</c:v>
                </c:pt>
                <c:pt idx="2">
                  <c:v>225.125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32.675119328705" createdVersion="8" refreshedVersion="8" minRefreshableVersion="3" recordCount="832" xr:uid="{C734C7F1-53A5-4223-BB5E-97277E26612C}">
  <cacheSource type="worksheet">
    <worksheetSource name="Table7"/>
  </cacheSource>
  <cacheFields count="9">
    <cacheField name="RespondentID" numFmtId="0">
      <sharedItems/>
    </cacheField>
    <cacheField name="QuestionID" numFmtId="0">
      <sharedItems/>
    </cacheField>
    <cacheField name="Response" numFmtId="0">
      <sharedItems/>
    </cacheField>
    <cacheField name="SoftControl" numFmtId="0">
      <sharedItems/>
    </cacheField>
    <cacheField name="Scores" numFmtId="0">
      <sharedItems containsSemiMixedTypes="0" containsString="0" containsNumber="1" containsInteger="1" minValue="1" maxValue="5"/>
    </cacheField>
    <cacheField name="Score_100" numFmtId="0">
      <sharedItems containsSemiMixedTypes="0" containsString="0" containsNumber="1" containsInteger="1" minValue="20" maxValue="100"/>
    </cacheField>
    <cacheField name="FavorableFlag" numFmtId="0">
      <sharedItems containsSemiMixedTypes="0" containsString="0" containsNumber="1" containsInteger="1" minValue="0" maxValue="1"/>
    </cacheField>
    <cacheField name="Dimensions" numFmtId="0">
      <sharedItems count="32">
        <s v="Leadership Example‑Setting in Risk Management "/>
        <s v="Executive Commitment to Risk Culture"/>
        <s v="Leadership Encouragement to Escalate Risks"/>
        <s v="Long-Term Decision Awareness"/>
        <s v="Openness to Discussions"/>
        <s v="Access to Guidance"/>
        <s v="Openness to Sharing Opinions"/>
        <s v="Comfort in Reporting Risk Dilemmas"/>
        <s v="Adequacy of Risk Management Training"/>
        <s v="Workload Balance &amp; Resource Sufficiency"/>
        <s v="Realistic Target Setting"/>
        <s v="Risk Insight in Decision Making"/>
        <s v="Learning Culture from Non‑Compliance Cases"/>
        <s v="Organizational View on Risk Culture"/>
        <s v="Compliance Recognition &amp; enforcement"/>
        <s v="Sense of Ownership"/>
        <s v="Clarity of Role and Responsibilities"/>
        <s v="Understanding of Risk Policies &amp; Procedures"/>
        <s v="Clarity of Personal Risk Boundaries"/>
        <s v="Effectiveness of Risk Communication &amp; Training"/>
        <s v="Compliance Confidence in team"/>
        <s v="Transparency in Decision‑Making"/>
        <s v="Fairness &amp; Equity of Expectations"/>
        <s v="Leadership Awareness in the team"/>
        <s v="Motivation for Risk Ownership"/>
        <s v="Sense of Belonging to the Organization"/>
        <s v="Consideration of Impact on Others"/>
        <s v="Accountability for Risk Actions"/>
        <s v="Peer to peer Accountability "/>
        <s v="Timely Resolution of Accountability Issues"/>
        <s v="Comfort for Reporting Non‑Compliance."/>
        <s v="Consistency of Conduct Enforcement"/>
      </sharedItems>
    </cacheField>
    <cacheField name="Function" numFmtId="0">
      <sharedItems count="6">
        <s v="HR"/>
        <s v="Finance"/>
        <s v="Operations"/>
        <s v="Audit"/>
        <s v="IT"/>
        <s v="Sal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2">
  <r>
    <s v="R001"/>
    <s v="Q001"/>
    <s v="Strongly Agree"/>
    <s v="Role Modelling"/>
    <n v="5"/>
    <n v="100"/>
    <n v="1"/>
    <x v="0"/>
    <x v="0"/>
  </r>
  <r>
    <s v="R001"/>
    <s v="Q002"/>
    <s v="Disagree"/>
    <s v="Role Modelling"/>
    <n v="2"/>
    <n v="40"/>
    <n v="0"/>
    <x v="1"/>
    <x v="0"/>
  </r>
  <r>
    <s v="R001"/>
    <s v="Q003"/>
    <s v="Strongly Agree"/>
    <s v="Role Modelling"/>
    <n v="5"/>
    <n v="100"/>
    <n v="1"/>
    <x v="2"/>
    <x v="0"/>
  </r>
  <r>
    <s v="R001"/>
    <s v="Q004"/>
    <s v="Strongly Agree"/>
    <s v="Role Modelling"/>
    <n v="5"/>
    <n v="100"/>
    <n v="1"/>
    <x v="3"/>
    <x v="0"/>
  </r>
  <r>
    <s v="R001"/>
    <s v="Q005"/>
    <s v="Strongly Agree"/>
    <s v="Discussability"/>
    <n v="5"/>
    <n v="100"/>
    <n v="1"/>
    <x v="4"/>
    <x v="0"/>
  </r>
  <r>
    <s v="R001"/>
    <s v="Q006"/>
    <s v="Strongly Agree"/>
    <s v="Discussability"/>
    <n v="5"/>
    <n v="100"/>
    <n v="1"/>
    <x v="5"/>
    <x v="0"/>
  </r>
  <r>
    <s v="R001"/>
    <s v="Q007"/>
    <s v="Strongly Agree"/>
    <s v="Discussability"/>
    <n v="5"/>
    <n v="100"/>
    <n v="1"/>
    <x v="6"/>
    <x v="0"/>
  </r>
  <r>
    <s v="R001"/>
    <s v="Q008"/>
    <s v="Strongly Agree"/>
    <s v="Discussability"/>
    <n v="5"/>
    <n v="100"/>
    <n v="1"/>
    <x v="7"/>
    <x v="0"/>
  </r>
  <r>
    <s v="R001"/>
    <s v="Q009"/>
    <s v="Strongly Agree"/>
    <s v="Achievability"/>
    <n v="5"/>
    <n v="100"/>
    <n v="1"/>
    <x v="8"/>
    <x v="0"/>
  </r>
  <r>
    <s v="R001"/>
    <s v="Q010"/>
    <s v="Strongly Agree"/>
    <s v="Achievability"/>
    <n v="5"/>
    <n v="100"/>
    <n v="1"/>
    <x v="9"/>
    <x v="0"/>
  </r>
  <r>
    <s v="R001"/>
    <s v="Q011"/>
    <s v="Strongly Agree"/>
    <s v="Achievability"/>
    <n v="5"/>
    <n v="100"/>
    <n v="1"/>
    <x v="10"/>
    <x v="0"/>
  </r>
  <r>
    <s v="R001"/>
    <s v="Q012"/>
    <s v="Strongly Agree"/>
    <s v="Achievability"/>
    <n v="5"/>
    <n v="100"/>
    <n v="1"/>
    <x v="11"/>
    <x v="0"/>
  </r>
  <r>
    <s v="R001"/>
    <s v="Q013"/>
    <s v="Strongly Agree"/>
    <s v="Enforcement"/>
    <n v="5"/>
    <n v="100"/>
    <n v="1"/>
    <x v="12"/>
    <x v="0"/>
  </r>
  <r>
    <s v="R001"/>
    <s v="Q014"/>
    <s v="Strongly Agree"/>
    <s v="Enforcement"/>
    <n v="5"/>
    <n v="100"/>
    <n v="1"/>
    <x v="13"/>
    <x v="0"/>
  </r>
  <r>
    <s v="R001"/>
    <s v="Q015"/>
    <s v="Strongly Agree"/>
    <s v="Enforcement"/>
    <n v="5"/>
    <n v="100"/>
    <n v="1"/>
    <x v="14"/>
    <x v="0"/>
  </r>
  <r>
    <s v="R001"/>
    <s v="Q016"/>
    <s v="Strongly Agree"/>
    <s v="Enforcement"/>
    <n v="5"/>
    <n v="100"/>
    <n v="1"/>
    <x v="15"/>
    <x v="0"/>
  </r>
  <r>
    <s v="R001"/>
    <s v="Q017"/>
    <s v="Strongly Agree"/>
    <s v="Clarity"/>
    <n v="5"/>
    <n v="100"/>
    <n v="1"/>
    <x v="16"/>
    <x v="0"/>
  </r>
  <r>
    <s v="R001"/>
    <s v="Q018"/>
    <s v="Strongly Agree"/>
    <s v="Clarity"/>
    <n v="5"/>
    <n v="100"/>
    <n v="1"/>
    <x v="17"/>
    <x v="0"/>
  </r>
  <r>
    <s v="R001"/>
    <s v="Q019"/>
    <s v="Strongly Agree"/>
    <s v="Clarity"/>
    <n v="5"/>
    <n v="100"/>
    <n v="1"/>
    <x v="18"/>
    <x v="0"/>
  </r>
  <r>
    <s v="R001"/>
    <s v="Q020"/>
    <s v="Strongly Agree"/>
    <s v="Clarity"/>
    <n v="5"/>
    <n v="100"/>
    <n v="1"/>
    <x v="19"/>
    <x v="0"/>
  </r>
  <r>
    <s v="R001"/>
    <s v="Q021"/>
    <s v="Strongly Agree"/>
    <s v="Transparency"/>
    <n v="5"/>
    <n v="100"/>
    <n v="1"/>
    <x v="20"/>
    <x v="0"/>
  </r>
  <r>
    <s v="R001"/>
    <s v="Q022"/>
    <s v="Strongly Agree"/>
    <s v="Transparency"/>
    <n v="5"/>
    <n v="100"/>
    <n v="1"/>
    <x v="21"/>
    <x v="0"/>
  </r>
  <r>
    <s v="R001"/>
    <s v="Q023"/>
    <s v="Strongly Agree"/>
    <s v="Transparency"/>
    <n v="5"/>
    <n v="100"/>
    <n v="1"/>
    <x v="22"/>
    <x v="0"/>
  </r>
  <r>
    <s v="R001"/>
    <s v="Q024"/>
    <s v="Strongly Agree"/>
    <s v="Transparency"/>
    <n v="5"/>
    <n v="100"/>
    <n v="1"/>
    <x v="23"/>
    <x v="0"/>
  </r>
  <r>
    <s v="R001"/>
    <s v="Q025"/>
    <s v="Strongly Agree"/>
    <s v="Commitment"/>
    <n v="5"/>
    <n v="100"/>
    <n v="1"/>
    <x v="24"/>
    <x v="0"/>
  </r>
  <r>
    <s v="R001"/>
    <s v="Q026"/>
    <s v="Strongly Agree"/>
    <s v="Commitment"/>
    <n v="5"/>
    <n v="100"/>
    <n v="1"/>
    <x v="25"/>
    <x v="0"/>
  </r>
  <r>
    <s v="R001"/>
    <s v="Q027"/>
    <s v="Strongly Agree"/>
    <s v="Commitment"/>
    <n v="5"/>
    <n v="100"/>
    <n v="1"/>
    <x v="26"/>
    <x v="0"/>
  </r>
  <r>
    <s v="R001"/>
    <s v="Q028"/>
    <s v="Strongly Agree"/>
    <s v="Commitment"/>
    <n v="5"/>
    <n v="100"/>
    <n v="1"/>
    <x v="27"/>
    <x v="0"/>
  </r>
  <r>
    <s v="R001"/>
    <s v="Q029"/>
    <s v="Strongly Agree"/>
    <s v="Call someone to account"/>
    <n v="5"/>
    <n v="100"/>
    <n v="1"/>
    <x v="28"/>
    <x v="0"/>
  </r>
  <r>
    <s v="R001"/>
    <s v="Q030"/>
    <s v="Strongly Agree"/>
    <s v="Call someone to account"/>
    <n v="5"/>
    <n v="100"/>
    <n v="1"/>
    <x v="29"/>
    <x v="0"/>
  </r>
  <r>
    <s v="R001"/>
    <s v="Q031"/>
    <s v="Strongly Agree"/>
    <s v="Call someone to account"/>
    <n v="5"/>
    <n v="100"/>
    <n v="1"/>
    <x v="30"/>
    <x v="0"/>
  </r>
  <r>
    <s v="R001"/>
    <s v="Q032"/>
    <s v="Strongly Agree"/>
    <s v="Call someone to account"/>
    <n v="5"/>
    <n v="100"/>
    <n v="1"/>
    <x v="31"/>
    <x v="0"/>
  </r>
  <r>
    <s v="R002"/>
    <s v="Q001"/>
    <s v="Strongly Agree"/>
    <s v="Role Modelling"/>
    <n v="5"/>
    <n v="100"/>
    <n v="1"/>
    <x v="0"/>
    <x v="1"/>
  </r>
  <r>
    <s v="R002"/>
    <s v="Q002"/>
    <s v="Strongly Agree"/>
    <s v="Role Modelling"/>
    <n v="5"/>
    <n v="100"/>
    <n v="1"/>
    <x v="1"/>
    <x v="1"/>
  </r>
  <r>
    <s v="R002"/>
    <s v="Q003"/>
    <s v="Strongly Agree"/>
    <s v="Role Modelling"/>
    <n v="5"/>
    <n v="100"/>
    <n v="1"/>
    <x v="2"/>
    <x v="1"/>
  </r>
  <r>
    <s v="R002"/>
    <s v="Q004"/>
    <s v="Strongly Agree"/>
    <s v="Role Modelling"/>
    <n v="5"/>
    <n v="100"/>
    <n v="1"/>
    <x v="3"/>
    <x v="1"/>
  </r>
  <r>
    <s v="R002"/>
    <s v="Q005"/>
    <s v="Strongly Agree"/>
    <s v="Discussability"/>
    <n v="5"/>
    <n v="100"/>
    <n v="1"/>
    <x v="4"/>
    <x v="1"/>
  </r>
  <r>
    <s v="R002"/>
    <s v="Q006"/>
    <s v="Strongly Agree"/>
    <s v="Discussability"/>
    <n v="5"/>
    <n v="100"/>
    <n v="1"/>
    <x v="5"/>
    <x v="1"/>
  </r>
  <r>
    <s v="R002"/>
    <s v="Q007"/>
    <s v="Strongly Agree"/>
    <s v="Discussability"/>
    <n v="5"/>
    <n v="100"/>
    <n v="1"/>
    <x v="6"/>
    <x v="1"/>
  </r>
  <r>
    <s v="R002"/>
    <s v="Q008"/>
    <s v="Strongly Agree"/>
    <s v="Discussability"/>
    <n v="5"/>
    <n v="100"/>
    <n v="1"/>
    <x v="7"/>
    <x v="1"/>
  </r>
  <r>
    <s v="R002"/>
    <s v="Q009"/>
    <s v="Strongly Agree"/>
    <s v="Achievability"/>
    <n v="5"/>
    <n v="100"/>
    <n v="1"/>
    <x v="8"/>
    <x v="1"/>
  </r>
  <r>
    <s v="R002"/>
    <s v="Q010"/>
    <s v="Strongly Agree"/>
    <s v="Achievability"/>
    <n v="5"/>
    <n v="100"/>
    <n v="1"/>
    <x v="9"/>
    <x v="1"/>
  </r>
  <r>
    <s v="R002"/>
    <s v="Q011"/>
    <s v="Strongly Agree"/>
    <s v="Achievability"/>
    <n v="5"/>
    <n v="100"/>
    <n v="1"/>
    <x v="10"/>
    <x v="1"/>
  </r>
  <r>
    <s v="R002"/>
    <s v="Q012"/>
    <s v="Strongly Agree"/>
    <s v="Achievability"/>
    <n v="5"/>
    <n v="100"/>
    <n v="1"/>
    <x v="11"/>
    <x v="1"/>
  </r>
  <r>
    <s v="R002"/>
    <s v="Q013"/>
    <s v="Strongly Agree"/>
    <s v="Enforcement"/>
    <n v="5"/>
    <n v="100"/>
    <n v="1"/>
    <x v="12"/>
    <x v="1"/>
  </r>
  <r>
    <s v="R002"/>
    <s v="Q014"/>
    <s v="Strongly Agree"/>
    <s v="Enforcement"/>
    <n v="5"/>
    <n v="100"/>
    <n v="1"/>
    <x v="13"/>
    <x v="1"/>
  </r>
  <r>
    <s v="R002"/>
    <s v="Q015"/>
    <s v="Strongly Agree"/>
    <s v="Enforcement"/>
    <n v="5"/>
    <n v="100"/>
    <n v="1"/>
    <x v="14"/>
    <x v="1"/>
  </r>
  <r>
    <s v="R002"/>
    <s v="Q016"/>
    <s v="Strongly Agree"/>
    <s v="Enforcement"/>
    <n v="5"/>
    <n v="100"/>
    <n v="1"/>
    <x v="15"/>
    <x v="1"/>
  </r>
  <r>
    <s v="R002"/>
    <s v="Q017"/>
    <s v="Strongly Agree"/>
    <s v="Clarity"/>
    <n v="5"/>
    <n v="100"/>
    <n v="1"/>
    <x v="16"/>
    <x v="1"/>
  </r>
  <r>
    <s v="R002"/>
    <s v="Q018"/>
    <s v="Strongly Agree"/>
    <s v="Clarity"/>
    <n v="5"/>
    <n v="100"/>
    <n v="1"/>
    <x v="17"/>
    <x v="1"/>
  </r>
  <r>
    <s v="R002"/>
    <s v="Q019"/>
    <s v="Strongly Agree"/>
    <s v="Clarity"/>
    <n v="5"/>
    <n v="100"/>
    <n v="1"/>
    <x v="18"/>
    <x v="1"/>
  </r>
  <r>
    <s v="R002"/>
    <s v="Q020"/>
    <s v="Strongly Agree"/>
    <s v="Clarity"/>
    <n v="5"/>
    <n v="100"/>
    <n v="1"/>
    <x v="19"/>
    <x v="1"/>
  </r>
  <r>
    <s v="R002"/>
    <s v="Q021"/>
    <s v="Strongly Agree"/>
    <s v="Transparency"/>
    <n v="5"/>
    <n v="100"/>
    <n v="1"/>
    <x v="20"/>
    <x v="1"/>
  </r>
  <r>
    <s v="R002"/>
    <s v="Q022"/>
    <s v="Strongly Agree"/>
    <s v="Transparency"/>
    <n v="5"/>
    <n v="100"/>
    <n v="1"/>
    <x v="21"/>
    <x v="1"/>
  </r>
  <r>
    <s v="R002"/>
    <s v="Q023"/>
    <s v="Strongly Agree"/>
    <s v="Transparency"/>
    <n v="5"/>
    <n v="100"/>
    <n v="1"/>
    <x v="22"/>
    <x v="1"/>
  </r>
  <r>
    <s v="R002"/>
    <s v="Q024"/>
    <s v="Strongly Agree"/>
    <s v="Transparency"/>
    <n v="5"/>
    <n v="100"/>
    <n v="1"/>
    <x v="23"/>
    <x v="1"/>
  </r>
  <r>
    <s v="R002"/>
    <s v="Q025"/>
    <s v="Neutral"/>
    <s v="Commitment"/>
    <n v="3"/>
    <n v="60"/>
    <n v="0"/>
    <x v="24"/>
    <x v="1"/>
  </r>
  <r>
    <s v="R002"/>
    <s v="Q026"/>
    <s v="Neutral"/>
    <s v="Commitment"/>
    <n v="3"/>
    <n v="60"/>
    <n v="0"/>
    <x v="25"/>
    <x v="1"/>
  </r>
  <r>
    <s v="R002"/>
    <s v="Q027"/>
    <s v="Neutral"/>
    <s v="Commitment"/>
    <n v="3"/>
    <n v="60"/>
    <n v="0"/>
    <x v="26"/>
    <x v="1"/>
  </r>
  <r>
    <s v="R002"/>
    <s v="Q028"/>
    <s v="Neutral"/>
    <s v="Commitment"/>
    <n v="3"/>
    <n v="60"/>
    <n v="0"/>
    <x v="27"/>
    <x v="1"/>
  </r>
  <r>
    <s v="R002"/>
    <s v="Q029"/>
    <s v="Neutral"/>
    <s v="Call someone to account"/>
    <n v="3"/>
    <n v="60"/>
    <n v="0"/>
    <x v="28"/>
    <x v="1"/>
  </r>
  <r>
    <s v="R002"/>
    <s v="Q030"/>
    <s v="Neutral"/>
    <s v="Call someone to account"/>
    <n v="3"/>
    <n v="60"/>
    <n v="0"/>
    <x v="29"/>
    <x v="1"/>
  </r>
  <r>
    <s v="R002"/>
    <s v="Q031"/>
    <s v="Neutral"/>
    <s v="Call someone to account"/>
    <n v="3"/>
    <n v="60"/>
    <n v="0"/>
    <x v="30"/>
    <x v="1"/>
  </r>
  <r>
    <s v="R002"/>
    <s v="Q032"/>
    <s v="Neutral"/>
    <s v="Call someone to account"/>
    <n v="3"/>
    <n v="60"/>
    <n v="0"/>
    <x v="31"/>
    <x v="1"/>
  </r>
  <r>
    <s v="R003"/>
    <s v="Q001"/>
    <s v="Neutral"/>
    <s v="Role Modelling"/>
    <n v="3"/>
    <n v="60"/>
    <n v="0"/>
    <x v="0"/>
    <x v="0"/>
  </r>
  <r>
    <s v="R003"/>
    <s v="Q002"/>
    <s v="Neutral"/>
    <s v="Role Modelling"/>
    <n v="3"/>
    <n v="60"/>
    <n v="0"/>
    <x v="1"/>
    <x v="0"/>
  </r>
  <r>
    <s v="R003"/>
    <s v="Q003"/>
    <s v="Neutral"/>
    <s v="Role Modelling"/>
    <n v="3"/>
    <n v="60"/>
    <n v="0"/>
    <x v="2"/>
    <x v="0"/>
  </r>
  <r>
    <s v="R003"/>
    <s v="Q004"/>
    <s v="Neutral"/>
    <s v="Role Modelling"/>
    <n v="3"/>
    <n v="60"/>
    <n v="0"/>
    <x v="3"/>
    <x v="0"/>
  </r>
  <r>
    <s v="R003"/>
    <s v="Q005"/>
    <s v="Neutral"/>
    <s v="Discussability"/>
    <n v="3"/>
    <n v="60"/>
    <n v="0"/>
    <x v="4"/>
    <x v="0"/>
  </r>
  <r>
    <s v="R003"/>
    <s v="Q006"/>
    <s v="Neutral"/>
    <s v="Discussability"/>
    <n v="3"/>
    <n v="60"/>
    <n v="0"/>
    <x v="5"/>
    <x v="0"/>
  </r>
  <r>
    <s v="R003"/>
    <s v="Q007"/>
    <s v="Neutral"/>
    <s v="Discussability"/>
    <n v="3"/>
    <n v="60"/>
    <n v="0"/>
    <x v="6"/>
    <x v="0"/>
  </r>
  <r>
    <s v="R003"/>
    <s v="Q008"/>
    <s v="Neutral"/>
    <s v="Discussability"/>
    <n v="3"/>
    <n v="60"/>
    <n v="0"/>
    <x v="7"/>
    <x v="0"/>
  </r>
  <r>
    <s v="R003"/>
    <s v="Q009"/>
    <s v="Neutral"/>
    <s v="Achievability"/>
    <n v="3"/>
    <n v="60"/>
    <n v="0"/>
    <x v="8"/>
    <x v="0"/>
  </r>
  <r>
    <s v="R003"/>
    <s v="Q010"/>
    <s v="Neutral"/>
    <s v="Achievability"/>
    <n v="3"/>
    <n v="60"/>
    <n v="0"/>
    <x v="9"/>
    <x v="0"/>
  </r>
  <r>
    <s v="R003"/>
    <s v="Q011"/>
    <s v="Neutral"/>
    <s v="Achievability"/>
    <n v="3"/>
    <n v="60"/>
    <n v="0"/>
    <x v="10"/>
    <x v="0"/>
  </r>
  <r>
    <s v="R003"/>
    <s v="Q012"/>
    <s v="Neutral"/>
    <s v="Achievability"/>
    <n v="3"/>
    <n v="60"/>
    <n v="0"/>
    <x v="11"/>
    <x v="0"/>
  </r>
  <r>
    <s v="R003"/>
    <s v="Q013"/>
    <s v="Neutral"/>
    <s v="Enforcement"/>
    <n v="3"/>
    <n v="60"/>
    <n v="0"/>
    <x v="12"/>
    <x v="0"/>
  </r>
  <r>
    <s v="R003"/>
    <s v="Q014"/>
    <s v="Neutral"/>
    <s v="Enforcement"/>
    <n v="3"/>
    <n v="60"/>
    <n v="0"/>
    <x v="13"/>
    <x v="0"/>
  </r>
  <r>
    <s v="R003"/>
    <s v="Q015"/>
    <s v="Neutral"/>
    <s v="Enforcement"/>
    <n v="3"/>
    <n v="60"/>
    <n v="0"/>
    <x v="14"/>
    <x v="0"/>
  </r>
  <r>
    <s v="R003"/>
    <s v="Q016"/>
    <s v="Neutral"/>
    <s v="Enforcement"/>
    <n v="3"/>
    <n v="60"/>
    <n v="0"/>
    <x v="15"/>
    <x v="0"/>
  </r>
  <r>
    <s v="R003"/>
    <s v="Q017"/>
    <s v="Neutral"/>
    <s v="Clarity"/>
    <n v="3"/>
    <n v="60"/>
    <n v="0"/>
    <x v="16"/>
    <x v="0"/>
  </r>
  <r>
    <s v="R003"/>
    <s v="Q018"/>
    <s v="Neutral"/>
    <s v="Clarity"/>
    <n v="3"/>
    <n v="60"/>
    <n v="0"/>
    <x v="17"/>
    <x v="0"/>
  </r>
  <r>
    <s v="R003"/>
    <s v="Q019"/>
    <s v="Neutral"/>
    <s v="Clarity"/>
    <n v="3"/>
    <n v="60"/>
    <n v="0"/>
    <x v="18"/>
    <x v="0"/>
  </r>
  <r>
    <s v="R003"/>
    <s v="Q020"/>
    <s v="Neutral"/>
    <s v="Clarity"/>
    <n v="3"/>
    <n v="60"/>
    <n v="0"/>
    <x v="19"/>
    <x v="0"/>
  </r>
  <r>
    <s v="R003"/>
    <s v="Q021"/>
    <s v="Neutral"/>
    <s v="Transparency"/>
    <n v="3"/>
    <n v="60"/>
    <n v="0"/>
    <x v="20"/>
    <x v="0"/>
  </r>
  <r>
    <s v="R003"/>
    <s v="Q022"/>
    <s v="Neutral"/>
    <s v="Transparency"/>
    <n v="3"/>
    <n v="60"/>
    <n v="0"/>
    <x v="21"/>
    <x v="0"/>
  </r>
  <r>
    <s v="R003"/>
    <s v="Q023"/>
    <s v="Neutral"/>
    <s v="Transparency"/>
    <n v="3"/>
    <n v="60"/>
    <n v="0"/>
    <x v="22"/>
    <x v="0"/>
  </r>
  <r>
    <s v="R003"/>
    <s v="Q024"/>
    <s v="Neutral"/>
    <s v="Transparency"/>
    <n v="3"/>
    <n v="60"/>
    <n v="0"/>
    <x v="23"/>
    <x v="0"/>
  </r>
  <r>
    <s v="R003"/>
    <s v="Q025"/>
    <s v="Neutral"/>
    <s v="Commitment"/>
    <n v="3"/>
    <n v="60"/>
    <n v="0"/>
    <x v="24"/>
    <x v="0"/>
  </r>
  <r>
    <s v="R003"/>
    <s v="Q026"/>
    <s v="Neutral"/>
    <s v="Commitment"/>
    <n v="3"/>
    <n v="60"/>
    <n v="0"/>
    <x v="25"/>
    <x v="0"/>
  </r>
  <r>
    <s v="R003"/>
    <s v="Q027"/>
    <s v="Neutral"/>
    <s v="Commitment"/>
    <n v="3"/>
    <n v="60"/>
    <n v="0"/>
    <x v="26"/>
    <x v="0"/>
  </r>
  <r>
    <s v="R003"/>
    <s v="Q028"/>
    <s v="Neutral"/>
    <s v="Commitment"/>
    <n v="3"/>
    <n v="60"/>
    <n v="0"/>
    <x v="27"/>
    <x v="0"/>
  </r>
  <r>
    <s v="R003"/>
    <s v="Q029"/>
    <s v="Neutral"/>
    <s v="Call someone to account"/>
    <n v="3"/>
    <n v="60"/>
    <n v="0"/>
    <x v="28"/>
    <x v="0"/>
  </r>
  <r>
    <s v="R003"/>
    <s v="Q030"/>
    <s v="Neutral"/>
    <s v="Call someone to account"/>
    <n v="3"/>
    <n v="60"/>
    <n v="0"/>
    <x v="29"/>
    <x v="0"/>
  </r>
  <r>
    <s v="R003"/>
    <s v="Q031"/>
    <s v="Neutral"/>
    <s v="Call someone to account"/>
    <n v="3"/>
    <n v="60"/>
    <n v="0"/>
    <x v="30"/>
    <x v="0"/>
  </r>
  <r>
    <s v="R003"/>
    <s v="Q032"/>
    <s v="Neutral"/>
    <s v="Call someone to account"/>
    <n v="3"/>
    <n v="60"/>
    <n v="0"/>
    <x v="31"/>
    <x v="0"/>
  </r>
  <r>
    <s v="R004"/>
    <s v="Q001"/>
    <s v="Neutral"/>
    <s v="Role Modelling"/>
    <n v="3"/>
    <n v="60"/>
    <n v="0"/>
    <x v="0"/>
    <x v="2"/>
  </r>
  <r>
    <s v="R004"/>
    <s v="Q002"/>
    <s v="Neutral"/>
    <s v="Role Modelling"/>
    <n v="3"/>
    <n v="60"/>
    <n v="0"/>
    <x v="1"/>
    <x v="2"/>
  </r>
  <r>
    <s v="R004"/>
    <s v="Q003"/>
    <s v="Neutral"/>
    <s v="Role Modelling"/>
    <n v="3"/>
    <n v="60"/>
    <n v="0"/>
    <x v="2"/>
    <x v="2"/>
  </r>
  <r>
    <s v="R004"/>
    <s v="Q004"/>
    <s v="Neutral"/>
    <s v="Role Modelling"/>
    <n v="3"/>
    <n v="60"/>
    <n v="0"/>
    <x v="3"/>
    <x v="2"/>
  </r>
  <r>
    <s v="R004"/>
    <s v="Q005"/>
    <s v="Neutral"/>
    <s v="Discussability"/>
    <n v="3"/>
    <n v="60"/>
    <n v="0"/>
    <x v="4"/>
    <x v="2"/>
  </r>
  <r>
    <s v="R004"/>
    <s v="Q006"/>
    <s v="Neutral"/>
    <s v="Discussability"/>
    <n v="3"/>
    <n v="60"/>
    <n v="0"/>
    <x v="5"/>
    <x v="2"/>
  </r>
  <r>
    <s v="R004"/>
    <s v="Q007"/>
    <s v="Neutral"/>
    <s v="Discussability"/>
    <n v="3"/>
    <n v="60"/>
    <n v="0"/>
    <x v="6"/>
    <x v="2"/>
  </r>
  <r>
    <s v="R004"/>
    <s v="Q008"/>
    <s v="Neutral"/>
    <s v="Discussability"/>
    <n v="3"/>
    <n v="60"/>
    <n v="0"/>
    <x v="7"/>
    <x v="2"/>
  </r>
  <r>
    <s v="R004"/>
    <s v="Q009"/>
    <s v="Neutral"/>
    <s v="Achievability"/>
    <n v="3"/>
    <n v="60"/>
    <n v="0"/>
    <x v="8"/>
    <x v="2"/>
  </r>
  <r>
    <s v="R004"/>
    <s v="Q010"/>
    <s v="Neutral"/>
    <s v="Achievability"/>
    <n v="3"/>
    <n v="60"/>
    <n v="0"/>
    <x v="9"/>
    <x v="2"/>
  </r>
  <r>
    <s v="R004"/>
    <s v="Q011"/>
    <s v="Neutral"/>
    <s v="Achievability"/>
    <n v="3"/>
    <n v="60"/>
    <n v="0"/>
    <x v="10"/>
    <x v="2"/>
  </r>
  <r>
    <s v="R004"/>
    <s v="Q012"/>
    <s v="Neutral"/>
    <s v="Achievability"/>
    <n v="3"/>
    <n v="60"/>
    <n v="0"/>
    <x v="11"/>
    <x v="2"/>
  </r>
  <r>
    <s v="R004"/>
    <s v="Q013"/>
    <s v="Neutral"/>
    <s v="Enforcement"/>
    <n v="3"/>
    <n v="60"/>
    <n v="0"/>
    <x v="12"/>
    <x v="2"/>
  </r>
  <r>
    <s v="R004"/>
    <s v="Q014"/>
    <s v="Neutral"/>
    <s v="Enforcement"/>
    <n v="3"/>
    <n v="60"/>
    <n v="0"/>
    <x v="13"/>
    <x v="2"/>
  </r>
  <r>
    <s v="R004"/>
    <s v="Q015"/>
    <s v="Neutral"/>
    <s v="Enforcement"/>
    <n v="3"/>
    <n v="60"/>
    <n v="0"/>
    <x v="14"/>
    <x v="2"/>
  </r>
  <r>
    <s v="R004"/>
    <s v="Q016"/>
    <s v="Neutral"/>
    <s v="Enforcement"/>
    <n v="3"/>
    <n v="60"/>
    <n v="0"/>
    <x v="15"/>
    <x v="2"/>
  </r>
  <r>
    <s v="R004"/>
    <s v="Q017"/>
    <s v="Neutral"/>
    <s v="Clarity"/>
    <n v="3"/>
    <n v="60"/>
    <n v="0"/>
    <x v="16"/>
    <x v="2"/>
  </r>
  <r>
    <s v="R004"/>
    <s v="Q018"/>
    <s v="Neutral"/>
    <s v="Clarity"/>
    <n v="3"/>
    <n v="60"/>
    <n v="0"/>
    <x v="17"/>
    <x v="2"/>
  </r>
  <r>
    <s v="R004"/>
    <s v="Q019"/>
    <s v="Neutral"/>
    <s v="Clarity"/>
    <n v="3"/>
    <n v="60"/>
    <n v="0"/>
    <x v="18"/>
    <x v="2"/>
  </r>
  <r>
    <s v="R004"/>
    <s v="Q020"/>
    <s v="Neutral"/>
    <s v="Clarity"/>
    <n v="3"/>
    <n v="60"/>
    <n v="0"/>
    <x v="19"/>
    <x v="2"/>
  </r>
  <r>
    <s v="R004"/>
    <s v="Q021"/>
    <s v="Neutral"/>
    <s v="Transparency"/>
    <n v="3"/>
    <n v="60"/>
    <n v="0"/>
    <x v="20"/>
    <x v="2"/>
  </r>
  <r>
    <s v="R004"/>
    <s v="Q022"/>
    <s v="Neutral"/>
    <s v="Transparency"/>
    <n v="3"/>
    <n v="60"/>
    <n v="0"/>
    <x v="21"/>
    <x v="2"/>
  </r>
  <r>
    <s v="R004"/>
    <s v="Q023"/>
    <s v="Neutral"/>
    <s v="Transparency"/>
    <n v="3"/>
    <n v="60"/>
    <n v="0"/>
    <x v="22"/>
    <x v="2"/>
  </r>
  <r>
    <s v="R004"/>
    <s v="Q024"/>
    <s v="Neutral"/>
    <s v="Transparency"/>
    <n v="3"/>
    <n v="60"/>
    <n v="0"/>
    <x v="23"/>
    <x v="2"/>
  </r>
  <r>
    <s v="R004"/>
    <s v="Q025"/>
    <s v="Neutral"/>
    <s v="Commitment"/>
    <n v="3"/>
    <n v="60"/>
    <n v="0"/>
    <x v="24"/>
    <x v="2"/>
  </r>
  <r>
    <s v="R004"/>
    <s v="Q026"/>
    <s v="Neutral"/>
    <s v="Commitment"/>
    <n v="3"/>
    <n v="60"/>
    <n v="0"/>
    <x v="25"/>
    <x v="2"/>
  </r>
  <r>
    <s v="R004"/>
    <s v="Q027"/>
    <s v="Neutral"/>
    <s v="Commitment"/>
    <n v="3"/>
    <n v="60"/>
    <n v="0"/>
    <x v="26"/>
    <x v="2"/>
  </r>
  <r>
    <s v="R004"/>
    <s v="Q028"/>
    <s v="Neutral"/>
    <s v="Commitment"/>
    <n v="3"/>
    <n v="60"/>
    <n v="0"/>
    <x v="27"/>
    <x v="2"/>
  </r>
  <r>
    <s v="R004"/>
    <s v="Q029"/>
    <s v="Neutral"/>
    <s v="Call someone to account"/>
    <n v="3"/>
    <n v="60"/>
    <n v="0"/>
    <x v="28"/>
    <x v="2"/>
  </r>
  <r>
    <s v="R004"/>
    <s v="Q030"/>
    <s v="Neutral"/>
    <s v="Call someone to account"/>
    <n v="3"/>
    <n v="60"/>
    <n v="0"/>
    <x v="29"/>
    <x v="2"/>
  </r>
  <r>
    <s v="R004"/>
    <s v="Q031"/>
    <s v="Neutral"/>
    <s v="Call someone to account"/>
    <n v="3"/>
    <n v="60"/>
    <n v="0"/>
    <x v="30"/>
    <x v="2"/>
  </r>
  <r>
    <s v="R004"/>
    <s v="Q032"/>
    <s v="Neutral"/>
    <s v="Call someone to account"/>
    <n v="3"/>
    <n v="60"/>
    <n v="0"/>
    <x v="31"/>
    <x v="2"/>
  </r>
  <r>
    <s v="R004"/>
    <s v="Q001"/>
    <s v="Neutral"/>
    <s v="Role Modelling"/>
    <n v="3"/>
    <n v="60"/>
    <n v="0"/>
    <x v="0"/>
    <x v="2"/>
  </r>
  <r>
    <s v="R004"/>
    <s v="Q002"/>
    <s v="Neutral"/>
    <s v="Role Modelling"/>
    <n v="3"/>
    <n v="60"/>
    <n v="0"/>
    <x v="1"/>
    <x v="2"/>
  </r>
  <r>
    <s v="R004"/>
    <s v="Q003"/>
    <s v="Neutral"/>
    <s v="Role Modelling"/>
    <n v="3"/>
    <n v="60"/>
    <n v="0"/>
    <x v="2"/>
    <x v="2"/>
  </r>
  <r>
    <s v="R004"/>
    <s v="Q004"/>
    <s v="Neutral"/>
    <s v="Role Modelling"/>
    <n v="3"/>
    <n v="60"/>
    <n v="0"/>
    <x v="3"/>
    <x v="2"/>
  </r>
  <r>
    <s v="R004"/>
    <s v="Q005"/>
    <s v="Neutral"/>
    <s v="Discussability"/>
    <n v="3"/>
    <n v="60"/>
    <n v="0"/>
    <x v="4"/>
    <x v="2"/>
  </r>
  <r>
    <s v="R004"/>
    <s v="Q006"/>
    <s v="Neutral"/>
    <s v="Discussability"/>
    <n v="3"/>
    <n v="60"/>
    <n v="0"/>
    <x v="5"/>
    <x v="2"/>
  </r>
  <r>
    <s v="R004"/>
    <s v="Q007"/>
    <s v="Neutral"/>
    <s v="Discussability"/>
    <n v="3"/>
    <n v="60"/>
    <n v="0"/>
    <x v="6"/>
    <x v="2"/>
  </r>
  <r>
    <s v="R004"/>
    <s v="Q008"/>
    <s v="Neutral"/>
    <s v="Discussability"/>
    <n v="3"/>
    <n v="60"/>
    <n v="0"/>
    <x v="7"/>
    <x v="2"/>
  </r>
  <r>
    <s v="R004"/>
    <s v="Q009"/>
    <s v="Neutral"/>
    <s v="Achievability"/>
    <n v="3"/>
    <n v="60"/>
    <n v="0"/>
    <x v="8"/>
    <x v="2"/>
  </r>
  <r>
    <s v="R004"/>
    <s v="Q010"/>
    <s v="Neutral"/>
    <s v="Achievability"/>
    <n v="3"/>
    <n v="60"/>
    <n v="0"/>
    <x v="9"/>
    <x v="2"/>
  </r>
  <r>
    <s v="R004"/>
    <s v="Q011"/>
    <s v="Neutral"/>
    <s v="Achievability"/>
    <n v="3"/>
    <n v="60"/>
    <n v="0"/>
    <x v="10"/>
    <x v="2"/>
  </r>
  <r>
    <s v="R004"/>
    <s v="Q012"/>
    <s v="Neutral"/>
    <s v="Achievability"/>
    <n v="3"/>
    <n v="60"/>
    <n v="0"/>
    <x v="11"/>
    <x v="2"/>
  </r>
  <r>
    <s v="R004"/>
    <s v="Q013"/>
    <s v="Neutral"/>
    <s v="Enforcement"/>
    <n v="3"/>
    <n v="60"/>
    <n v="0"/>
    <x v="12"/>
    <x v="2"/>
  </r>
  <r>
    <s v="R004"/>
    <s v="Q014"/>
    <s v="Neutral"/>
    <s v="Enforcement"/>
    <n v="3"/>
    <n v="60"/>
    <n v="0"/>
    <x v="13"/>
    <x v="2"/>
  </r>
  <r>
    <s v="R004"/>
    <s v="Q015"/>
    <s v="Neutral"/>
    <s v="Enforcement"/>
    <n v="3"/>
    <n v="60"/>
    <n v="0"/>
    <x v="14"/>
    <x v="2"/>
  </r>
  <r>
    <s v="R004"/>
    <s v="Q016"/>
    <s v="Neutral"/>
    <s v="Enforcement"/>
    <n v="3"/>
    <n v="60"/>
    <n v="0"/>
    <x v="15"/>
    <x v="2"/>
  </r>
  <r>
    <s v="R004"/>
    <s v="Q017"/>
    <s v="Neutral"/>
    <s v="Clarity"/>
    <n v="3"/>
    <n v="60"/>
    <n v="0"/>
    <x v="16"/>
    <x v="2"/>
  </r>
  <r>
    <s v="R004"/>
    <s v="Q018"/>
    <s v="Neutral"/>
    <s v="Clarity"/>
    <n v="3"/>
    <n v="60"/>
    <n v="0"/>
    <x v="17"/>
    <x v="2"/>
  </r>
  <r>
    <s v="R004"/>
    <s v="Q019"/>
    <s v="Neutral"/>
    <s v="Clarity"/>
    <n v="3"/>
    <n v="60"/>
    <n v="0"/>
    <x v="18"/>
    <x v="2"/>
  </r>
  <r>
    <s v="R004"/>
    <s v="Q020"/>
    <s v="Neutral"/>
    <s v="Clarity"/>
    <n v="3"/>
    <n v="60"/>
    <n v="0"/>
    <x v="19"/>
    <x v="2"/>
  </r>
  <r>
    <s v="R004"/>
    <s v="Q021"/>
    <s v="Neutral"/>
    <s v="Transparency"/>
    <n v="3"/>
    <n v="60"/>
    <n v="0"/>
    <x v="20"/>
    <x v="2"/>
  </r>
  <r>
    <s v="R004"/>
    <s v="Q022"/>
    <s v="Neutral"/>
    <s v="Transparency"/>
    <n v="3"/>
    <n v="60"/>
    <n v="0"/>
    <x v="21"/>
    <x v="2"/>
  </r>
  <r>
    <s v="R004"/>
    <s v="Q023"/>
    <s v="Neutral"/>
    <s v="Transparency"/>
    <n v="3"/>
    <n v="60"/>
    <n v="0"/>
    <x v="22"/>
    <x v="2"/>
  </r>
  <r>
    <s v="R004"/>
    <s v="Q024"/>
    <s v="Neutral"/>
    <s v="Transparency"/>
    <n v="3"/>
    <n v="60"/>
    <n v="0"/>
    <x v="23"/>
    <x v="2"/>
  </r>
  <r>
    <s v="R004"/>
    <s v="Q025"/>
    <s v="Neutral"/>
    <s v="Commitment"/>
    <n v="3"/>
    <n v="60"/>
    <n v="0"/>
    <x v="24"/>
    <x v="2"/>
  </r>
  <r>
    <s v="R004"/>
    <s v="Q026"/>
    <s v="Neutral"/>
    <s v="Commitment"/>
    <n v="3"/>
    <n v="60"/>
    <n v="0"/>
    <x v="25"/>
    <x v="2"/>
  </r>
  <r>
    <s v="R004"/>
    <s v="Q027"/>
    <s v="Neutral"/>
    <s v="Commitment"/>
    <n v="3"/>
    <n v="60"/>
    <n v="0"/>
    <x v="26"/>
    <x v="2"/>
  </r>
  <r>
    <s v="R004"/>
    <s v="Q028"/>
    <s v="Neutral"/>
    <s v="Commitment"/>
    <n v="3"/>
    <n v="60"/>
    <n v="0"/>
    <x v="27"/>
    <x v="2"/>
  </r>
  <r>
    <s v="R004"/>
    <s v="Q029"/>
    <s v="Neutral"/>
    <s v="Call someone to account"/>
    <n v="3"/>
    <n v="60"/>
    <n v="0"/>
    <x v="28"/>
    <x v="2"/>
  </r>
  <r>
    <s v="R004"/>
    <s v="Q030"/>
    <s v="Neutral"/>
    <s v="Call someone to account"/>
    <n v="3"/>
    <n v="60"/>
    <n v="0"/>
    <x v="29"/>
    <x v="2"/>
  </r>
  <r>
    <s v="R004"/>
    <s v="Q031"/>
    <s v="Neutral"/>
    <s v="Call someone to account"/>
    <n v="3"/>
    <n v="60"/>
    <n v="0"/>
    <x v="30"/>
    <x v="2"/>
  </r>
  <r>
    <s v="R004"/>
    <s v="Q032"/>
    <s v="Neutral"/>
    <s v="Call someone to account"/>
    <n v="3"/>
    <n v="60"/>
    <n v="0"/>
    <x v="31"/>
    <x v="2"/>
  </r>
  <r>
    <s v="R005"/>
    <s v="Q001"/>
    <s v="Neutral"/>
    <s v="Role Modelling"/>
    <n v="3"/>
    <n v="60"/>
    <n v="0"/>
    <x v="0"/>
    <x v="2"/>
  </r>
  <r>
    <s v="R005"/>
    <s v="Q002"/>
    <s v="Neutral"/>
    <s v="Role Modelling"/>
    <n v="3"/>
    <n v="60"/>
    <n v="0"/>
    <x v="1"/>
    <x v="2"/>
  </r>
  <r>
    <s v="R005"/>
    <s v="Q003"/>
    <s v="Neutral"/>
    <s v="Role Modelling"/>
    <n v="3"/>
    <n v="60"/>
    <n v="0"/>
    <x v="2"/>
    <x v="2"/>
  </r>
  <r>
    <s v="R005"/>
    <s v="Q004"/>
    <s v="Neutral"/>
    <s v="Role Modelling"/>
    <n v="3"/>
    <n v="60"/>
    <n v="0"/>
    <x v="3"/>
    <x v="2"/>
  </r>
  <r>
    <s v="R005"/>
    <s v="Q005"/>
    <s v="Neutral"/>
    <s v="Discussability"/>
    <n v="3"/>
    <n v="60"/>
    <n v="0"/>
    <x v="4"/>
    <x v="2"/>
  </r>
  <r>
    <s v="R005"/>
    <s v="Q006"/>
    <s v="Neutral"/>
    <s v="Discussability"/>
    <n v="3"/>
    <n v="60"/>
    <n v="0"/>
    <x v="5"/>
    <x v="2"/>
  </r>
  <r>
    <s v="R005"/>
    <s v="Q007"/>
    <s v="Neutral"/>
    <s v="Discussability"/>
    <n v="3"/>
    <n v="60"/>
    <n v="0"/>
    <x v="6"/>
    <x v="2"/>
  </r>
  <r>
    <s v="R005"/>
    <s v="Q008"/>
    <s v="Neutral"/>
    <s v="Discussability"/>
    <n v="3"/>
    <n v="60"/>
    <n v="0"/>
    <x v="7"/>
    <x v="2"/>
  </r>
  <r>
    <s v="R005"/>
    <s v="Q009"/>
    <s v="Neutral"/>
    <s v="Achievability"/>
    <n v="3"/>
    <n v="60"/>
    <n v="0"/>
    <x v="8"/>
    <x v="2"/>
  </r>
  <r>
    <s v="R005"/>
    <s v="Q010"/>
    <s v="Neutral"/>
    <s v="Achievability"/>
    <n v="3"/>
    <n v="60"/>
    <n v="0"/>
    <x v="9"/>
    <x v="2"/>
  </r>
  <r>
    <s v="R005"/>
    <s v="Q011"/>
    <s v="Neutral"/>
    <s v="Achievability"/>
    <n v="3"/>
    <n v="60"/>
    <n v="0"/>
    <x v="10"/>
    <x v="2"/>
  </r>
  <r>
    <s v="R005"/>
    <s v="Q012"/>
    <s v="Neutral"/>
    <s v="Achievability"/>
    <n v="3"/>
    <n v="60"/>
    <n v="0"/>
    <x v="11"/>
    <x v="2"/>
  </r>
  <r>
    <s v="R005"/>
    <s v="Q013"/>
    <s v="Neutral"/>
    <s v="Enforcement"/>
    <n v="3"/>
    <n v="60"/>
    <n v="0"/>
    <x v="12"/>
    <x v="2"/>
  </r>
  <r>
    <s v="R005"/>
    <s v="Q014"/>
    <s v="Neutral"/>
    <s v="Enforcement"/>
    <n v="3"/>
    <n v="60"/>
    <n v="0"/>
    <x v="13"/>
    <x v="2"/>
  </r>
  <r>
    <s v="R005"/>
    <s v="Q015"/>
    <s v="Neutral"/>
    <s v="Enforcement"/>
    <n v="3"/>
    <n v="60"/>
    <n v="0"/>
    <x v="14"/>
    <x v="2"/>
  </r>
  <r>
    <s v="R005"/>
    <s v="Q016"/>
    <s v="Neutral"/>
    <s v="Enforcement"/>
    <n v="3"/>
    <n v="60"/>
    <n v="0"/>
    <x v="15"/>
    <x v="2"/>
  </r>
  <r>
    <s v="R005"/>
    <s v="Q017"/>
    <s v="Neutral"/>
    <s v="Clarity"/>
    <n v="3"/>
    <n v="60"/>
    <n v="0"/>
    <x v="16"/>
    <x v="2"/>
  </r>
  <r>
    <s v="R005"/>
    <s v="Q018"/>
    <s v="Neutral"/>
    <s v="Clarity"/>
    <n v="3"/>
    <n v="60"/>
    <n v="0"/>
    <x v="17"/>
    <x v="2"/>
  </r>
  <r>
    <s v="R005"/>
    <s v="Q019"/>
    <s v="Neutral"/>
    <s v="Clarity"/>
    <n v="3"/>
    <n v="60"/>
    <n v="0"/>
    <x v="18"/>
    <x v="2"/>
  </r>
  <r>
    <s v="R005"/>
    <s v="Q020"/>
    <s v="Agree"/>
    <s v="Clarity"/>
    <n v="4"/>
    <n v="80"/>
    <n v="1"/>
    <x v="19"/>
    <x v="2"/>
  </r>
  <r>
    <s v="R005"/>
    <s v="Q021"/>
    <s v="Agree"/>
    <s v="Transparency"/>
    <n v="4"/>
    <n v="80"/>
    <n v="1"/>
    <x v="20"/>
    <x v="2"/>
  </r>
  <r>
    <s v="R005"/>
    <s v="Q022"/>
    <s v="Agree"/>
    <s v="Transparency"/>
    <n v="4"/>
    <n v="80"/>
    <n v="1"/>
    <x v="21"/>
    <x v="2"/>
  </r>
  <r>
    <s v="R005"/>
    <s v="Q023"/>
    <s v="Agree"/>
    <s v="Transparency"/>
    <n v="4"/>
    <n v="80"/>
    <n v="1"/>
    <x v="22"/>
    <x v="2"/>
  </r>
  <r>
    <s v="R005"/>
    <s v="Q024"/>
    <s v="Agree"/>
    <s v="Transparency"/>
    <n v="4"/>
    <n v="80"/>
    <n v="1"/>
    <x v="23"/>
    <x v="2"/>
  </r>
  <r>
    <s v="R005"/>
    <s v="Q025"/>
    <s v="Agree"/>
    <s v="Commitment"/>
    <n v="4"/>
    <n v="80"/>
    <n v="1"/>
    <x v="24"/>
    <x v="2"/>
  </r>
  <r>
    <s v="R005"/>
    <s v="Q026"/>
    <s v="Agree"/>
    <s v="Commitment"/>
    <n v="4"/>
    <n v="80"/>
    <n v="1"/>
    <x v="25"/>
    <x v="2"/>
  </r>
  <r>
    <s v="R005"/>
    <s v="Q027"/>
    <s v="Agree"/>
    <s v="Commitment"/>
    <n v="4"/>
    <n v="80"/>
    <n v="1"/>
    <x v="26"/>
    <x v="2"/>
  </r>
  <r>
    <s v="R005"/>
    <s v="Q028"/>
    <s v="Agree"/>
    <s v="Commitment"/>
    <n v="4"/>
    <n v="80"/>
    <n v="1"/>
    <x v="27"/>
    <x v="2"/>
  </r>
  <r>
    <s v="R005"/>
    <s v="Q029"/>
    <s v="Agree"/>
    <s v="Call someone to account"/>
    <n v="4"/>
    <n v="80"/>
    <n v="1"/>
    <x v="28"/>
    <x v="2"/>
  </r>
  <r>
    <s v="R005"/>
    <s v="Q030"/>
    <s v="Agree"/>
    <s v="Call someone to account"/>
    <n v="4"/>
    <n v="80"/>
    <n v="1"/>
    <x v="29"/>
    <x v="2"/>
  </r>
  <r>
    <s v="R005"/>
    <s v="Q031"/>
    <s v="Agree"/>
    <s v="Call someone to account"/>
    <n v="4"/>
    <n v="80"/>
    <n v="1"/>
    <x v="30"/>
    <x v="2"/>
  </r>
  <r>
    <s v="R005"/>
    <s v="Q032"/>
    <s v="Agree"/>
    <s v="Call someone to account"/>
    <n v="4"/>
    <n v="80"/>
    <n v="1"/>
    <x v="31"/>
    <x v="2"/>
  </r>
  <r>
    <s v="R006"/>
    <s v="Q001"/>
    <s v="Agree"/>
    <s v="Role Modelling"/>
    <n v="4"/>
    <n v="80"/>
    <n v="1"/>
    <x v="0"/>
    <x v="3"/>
  </r>
  <r>
    <s v="R006"/>
    <s v="Q002"/>
    <s v="Agree"/>
    <s v="Role Modelling"/>
    <n v="4"/>
    <n v="80"/>
    <n v="1"/>
    <x v="1"/>
    <x v="3"/>
  </r>
  <r>
    <s v="R006"/>
    <s v="Q003"/>
    <s v="Agree"/>
    <s v="Role Modelling"/>
    <n v="4"/>
    <n v="80"/>
    <n v="1"/>
    <x v="2"/>
    <x v="3"/>
  </r>
  <r>
    <s v="R006"/>
    <s v="Q004"/>
    <s v="Agree"/>
    <s v="Role Modelling"/>
    <n v="4"/>
    <n v="80"/>
    <n v="1"/>
    <x v="3"/>
    <x v="3"/>
  </r>
  <r>
    <s v="R006"/>
    <s v="Q005"/>
    <s v="Agree"/>
    <s v="Discussability"/>
    <n v="4"/>
    <n v="80"/>
    <n v="1"/>
    <x v="4"/>
    <x v="3"/>
  </r>
  <r>
    <s v="R006"/>
    <s v="Q006"/>
    <s v="Agree"/>
    <s v="Discussability"/>
    <n v="4"/>
    <n v="80"/>
    <n v="1"/>
    <x v="5"/>
    <x v="3"/>
  </r>
  <r>
    <s v="R006"/>
    <s v="Q007"/>
    <s v="Agree"/>
    <s v="Discussability"/>
    <n v="4"/>
    <n v="80"/>
    <n v="1"/>
    <x v="6"/>
    <x v="3"/>
  </r>
  <r>
    <s v="R006"/>
    <s v="Q008"/>
    <s v="Agree"/>
    <s v="Discussability"/>
    <n v="4"/>
    <n v="80"/>
    <n v="1"/>
    <x v="7"/>
    <x v="3"/>
  </r>
  <r>
    <s v="R006"/>
    <s v="Q009"/>
    <s v="Agree"/>
    <s v="Achievability"/>
    <n v="4"/>
    <n v="80"/>
    <n v="1"/>
    <x v="8"/>
    <x v="3"/>
  </r>
  <r>
    <s v="R006"/>
    <s v="Q010"/>
    <s v="Neutral"/>
    <s v="Achievability"/>
    <n v="3"/>
    <n v="60"/>
    <n v="0"/>
    <x v="9"/>
    <x v="3"/>
  </r>
  <r>
    <s v="R006"/>
    <s v="Q011"/>
    <s v="Neutral"/>
    <s v="Achievability"/>
    <n v="3"/>
    <n v="60"/>
    <n v="0"/>
    <x v="10"/>
    <x v="3"/>
  </r>
  <r>
    <s v="R006"/>
    <s v="Q012"/>
    <s v="Neutral"/>
    <s v="Achievability"/>
    <n v="3"/>
    <n v="60"/>
    <n v="0"/>
    <x v="11"/>
    <x v="3"/>
  </r>
  <r>
    <s v="R006"/>
    <s v="Q013"/>
    <s v="Neutral"/>
    <s v="Enforcement"/>
    <n v="3"/>
    <n v="60"/>
    <n v="0"/>
    <x v="12"/>
    <x v="3"/>
  </r>
  <r>
    <s v="R006"/>
    <s v="Q014"/>
    <s v="Neutral"/>
    <s v="Enforcement"/>
    <n v="3"/>
    <n v="60"/>
    <n v="0"/>
    <x v="13"/>
    <x v="3"/>
  </r>
  <r>
    <s v="R006"/>
    <s v="Q015"/>
    <s v="Neutral"/>
    <s v="Enforcement"/>
    <n v="3"/>
    <n v="60"/>
    <n v="0"/>
    <x v="14"/>
    <x v="3"/>
  </r>
  <r>
    <s v="R006"/>
    <s v="Q016"/>
    <s v="Neutral"/>
    <s v="Enforcement"/>
    <n v="3"/>
    <n v="60"/>
    <n v="0"/>
    <x v="15"/>
    <x v="3"/>
  </r>
  <r>
    <s v="R006"/>
    <s v="Q017"/>
    <s v="Neutral"/>
    <s v="Clarity"/>
    <n v="3"/>
    <n v="60"/>
    <n v="0"/>
    <x v="16"/>
    <x v="3"/>
  </r>
  <r>
    <s v="R006"/>
    <s v="Q018"/>
    <s v="Neutral"/>
    <s v="Clarity"/>
    <n v="3"/>
    <n v="60"/>
    <n v="0"/>
    <x v="17"/>
    <x v="3"/>
  </r>
  <r>
    <s v="R006"/>
    <s v="Q019"/>
    <s v="Neutral"/>
    <s v="Clarity"/>
    <n v="3"/>
    <n v="60"/>
    <n v="0"/>
    <x v="18"/>
    <x v="3"/>
  </r>
  <r>
    <s v="R006"/>
    <s v="Q020"/>
    <s v="Neutral"/>
    <s v="Clarity"/>
    <n v="3"/>
    <n v="60"/>
    <n v="0"/>
    <x v="19"/>
    <x v="3"/>
  </r>
  <r>
    <s v="R006"/>
    <s v="Q021"/>
    <s v="Neutral"/>
    <s v="Transparency"/>
    <n v="3"/>
    <n v="60"/>
    <n v="0"/>
    <x v="20"/>
    <x v="3"/>
  </r>
  <r>
    <s v="R006"/>
    <s v="Q022"/>
    <s v="Neutral"/>
    <s v="Transparency"/>
    <n v="3"/>
    <n v="60"/>
    <n v="0"/>
    <x v="21"/>
    <x v="3"/>
  </r>
  <r>
    <s v="R006"/>
    <s v="Q023"/>
    <s v="Neutral"/>
    <s v="Transparency"/>
    <n v="3"/>
    <n v="60"/>
    <n v="0"/>
    <x v="22"/>
    <x v="3"/>
  </r>
  <r>
    <s v="R006"/>
    <s v="Q024"/>
    <s v="Neutral"/>
    <s v="Transparency"/>
    <n v="3"/>
    <n v="60"/>
    <n v="0"/>
    <x v="23"/>
    <x v="3"/>
  </r>
  <r>
    <s v="R006"/>
    <s v="Q025"/>
    <s v="Neutral"/>
    <s v="Commitment"/>
    <n v="3"/>
    <n v="60"/>
    <n v="0"/>
    <x v="24"/>
    <x v="3"/>
  </r>
  <r>
    <s v="R006"/>
    <s v="Q026"/>
    <s v="Neutral"/>
    <s v="Commitment"/>
    <n v="3"/>
    <n v="60"/>
    <n v="0"/>
    <x v="25"/>
    <x v="3"/>
  </r>
  <r>
    <s v="R006"/>
    <s v="Q027"/>
    <s v="Neutral"/>
    <s v="Commitment"/>
    <n v="3"/>
    <n v="60"/>
    <n v="0"/>
    <x v="26"/>
    <x v="3"/>
  </r>
  <r>
    <s v="R006"/>
    <s v="Q028"/>
    <s v="Neutral"/>
    <s v="Commitment"/>
    <n v="3"/>
    <n v="60"/>
    <n v="0"/>
    <x v="27"/>
    <x v="3"/>
  </r>
  <r>
    <s v="R006"/>
    <s v="Q029"/>
    <s v="Neutral"/>
    <s v="Call someone to account"/>
    <n v="3"/>
    <n v="60"/>
    <n v="0"/>
    <x v="28"/>
    <x v="3"/>
  </r>
  <r>
    <s v="R006"/>
    <s v="Q030"/>
    <s v="Neutral"/>
    <s v="Call someone to account"/>
    <n v="3"/>
    <n v="60"/>
    <n v="0"/>
    <x v="29"/>
    <x v="3"/>
  </r>
  <r>
    <s v="R006"/>
    <s v="Q031"/>
    <s v="Neutral"/>
    <s v="Call someone to account"/>
    <n v="3"/>
    <n v="60"/>
    <n v="0"/>
    <x v="30"/>
    <x v="3"/>
  </r>
  <r>
    <s v="R006"/>
    <s v="Q032"/>
    <s v="Neutral"/>
    <s v="Call someone to account"/>
    <n v="3"/>
    <n v="60"/>
    <n v="0"/>
    <x v="31"/>
    <x v="3"/>
  </r>
  <r>
    <s v="R007"/>
    <s v="Q001"/>
    <s v="Neutral"/>
    <s v="Role Modelling"/>
    <n v="3"/>
    <n v="60"/>
    <n v="0"/>
    <x v="0"/>
    <x v="1"/>
  </r>
  <r>
    <s v="R007"/>
    <s v="Q002"/>
    <s v="Neutral"/>
    <s v="Role Modelling"/>
    <n v="3"/>
    <n v="60"/>
    <n v="0"/>
    <x v="1"/>
    <x v="1"/>
  </r>
  <r>
    <s v="R007"/>
    <s v="Q003"/>
    <s v="Neutral"/>
    <s v="Role Modelling"/>
    <n v="3"/>
    <n v="60"/>
    <n v="0"/>
    <x v="2"/>
    <x v="1"/>
  </r>
  <r>
    <s v="R007"/>
    <s v="Q004"/>
    <s v="Neutral"/>
    <s v="Role Modelling"/>
    <n v="3"/>
    <n v="60"/>
    <n v="0"/>
    <x v="3"/>
    <x v="1"/>
  </r>
  <r>
    <s v="R007"/>
    <s v="Q005"/>
    <s v="Neutral"/>
    <s v="Discussability"/>
    <n v="3"/>
    <n v="60"/>
    <n v="0"/>
    <x v="4"/>
    <x v="1"/>
  </r>
  <r>
    <s v="R007"/>
    <s v="Q006"/>
    <s v="Neutral"/>
    <s v="Discussability"/>
    <n v="3"/>
    <n v="60"/>
    <n v="0"/>
    <x v="5"/>
    <x v="1"/>
  </r>
  <r>
    <s v="R007"/>
    <s v="Q007"/>
    <s v="Neutral"/>
    <s v="Discussability"/>
    <n v="3"/>
    <n v="60"/>
    <n v="0"/>
    <x v="6"/>
    <x v="1"/>
  </r>
  <r>
    <s v="R007"/>
    <s v="Q008"/>
    <s v="Neutral"/>
    <s v="Discussability"/>
    <n v="3"/>
    <n v="60"/>
    <n v="0"/>
    <x v="7"/>
    <x v="1"/>
  </r>
  <r>
    <s v="R007"/>
    <s v="Q009"/>
    <s v="Neutral"/>
    <s v="Achievability"/>
    <n v="3"/>
    <n v="60"/>
    <n v="0"/>
    <x v="8"/>
    <x v="1"/>
  </r>
  <r>
    <s v="R007"/>
    <s v="Q010"/>
    <s v="Neutral"/>
    <s v="Achievability"/>
    <n v="3"/>
    <n v="60"/>
    <n v="0"/>
    <x v="9"/>
    <x v="1"/>
  </r>
  <r>
    <s v="R007"/>
    <s v="Q011"/>
    <s v="Agree"/>
    <s v="Achievability"/>
    <n v="4"/>
    <n v="80"/>
    <n v="1"/>
    <x v="10"/>
    <x v="1"/>
  </r>
  <r>
    <s v="R007"/>
    <s v="Q012"/>
    <s v="Disagree"/>
    <s v="Achievability"/>
    <n v="2"/>
    <n v="40"/>
    <n v="0"/>
    <x v="11"/>
    <x v="1"/>
  </r>
  <r>
    <s v="R007"/>
    <s v="Q013"/>
    <s v="Neutral"/>
    <s v="Enforcement"/>
    <n v="3"/>
    <n v="60"/>
    <n v="0"/>
    <x v="12"/>
    <x v="1"/>
  </r>
  <r>
    <s v="R007"/>
    <s v="Q014"/>
    <s v="Strongly Agree"/>
    <s v="Enforcement"/>
    <n v="5"/>
    <n v="100"/>
    <n v="1"/>
    <x v="13"/>
    <x v="1"/>
  </r>
  <r>
    <s v="R007"/>
    <s v="Q015"/>
    <s v="Agree"/>
    <s v="Enforcement"/>
    <n v="4"/>
    <n v="80"/>
    <n v="1"/>
    <x v="14"/>
    <x v="1"/>
  </r>
  <r>
    <s v="R007"/>
    <s v="Q016"/>
    <s v="Disagree"/>
    <s v="Enforcement"/>
    <n v="2"/>
    <n v="40"/>
    <n v="0"/>
    <x v="15"/>
    <x v="1"/>
  </r>
  <r>
    <s v="R007"/>
    <s v="Q017"/>
    <s v="Neutral"/>
    <s v="Clarity"/>
    <n v="3"/>
    <n v="60"/>
    <n v="0"/>
    <x v="16"/>
    <x v="1"/>
  </r>
  <r>
    <s v="R007"/>
    <s v="Q018"/>
    <s v="Strongly Agree"/>
    <s v="Clarity"/>
    <n v="5"/>
    <n v="100"/>
    <n v="1"/>
    <x v="17"/>
    <x v="1"/>
  </r>
  <r>
    <s v="R007"/>
    <s v="Q019"/>
    <s v="Strongly Agree"/>
    <s v="Clarity"/>
    <n v="5"/>
    <n v="100"/>
    <n v="1"/>
    <x v="18"/>
    <x v="1"/>
  </r>
  <r>
    <s v="R007"/>
    <s v="Q020"/>
    <s v="Agree"/>
    <s v="Clarity"/>
    <n v="4"/>
    <n v="80"/>
    <n v="1"/>
    <x v="19"/>
    <x v="1"/>
  </r>
  <r>
    <s v="R007"/>
    <s v="Q021"/>
    <s v="Agree"/>
    <s v="Transparency"/>
    <n v="4"/>
    <n v="80"/>
    <n v="1"/>
    <x v="20"/>
    <x v="1"/>
  </r>
  <r>
    <s v="R007"/>
    <s v="Q022"/>
    <s v="Disagree"/>
    <s v="Transparency"/>
    <n v="2"/>
    <n v="40"/>
    <n v="0"/>
    <x v="21"/>
    <x v="1"/>
  </r>
  <r>
    <s v="R007"/>
    <s v="Q023"/>
    <s v="Neutral"/>
    <s v="Transparency"/>
    <n v="3"/>
    <n v="60"/>
    <n v="0"/>
    <x v="22"/>
    <x v="1"/>
  </r>
  <r>
    <s v="R007"/>
    <s v="Q024"/>
    <s v="Disagree"/>
    <s v="Transparency"/>
    <n v="2"/>
    <n v="40"/>
    <n v="0"/>
    <x v="23"/>
    <x v="1"/>
  </r>
  <r>
    <s v="R007"/>
    <s v="Q025"/>
    <s v="Agree"/>
    <s v="Commitment"/>
    <n v="4"/>
    <n v="80"/>
    <n v="1"/>
    <x v="24"/>
    <x v="1"/>
  </r>
  <r>
    <s v="R007"/>
    <s v="Q026"/>
    <s v="Disagree"/>
    <s v="Commitment"/>
    <n v="2"/>
    <n v="40"/>
    <n v="0"/>
    <x v="25"/>
    <x v="1"/>
  </r>
  <r>
    <s v="R007"/>
    <s v="Q027"/>
    <s v="Neutral"/>
    <s v="Commitment"/>
    <n v="3"/>
    <n v="60"/>
    <n v="0"/>
    <x v="26"/>
    <x v="1"/>
  </r>
  <r>
    <s v="R007"/>
    <s v="Q028"/>
    <s v="Strongly Agree"/>
    <s v="Commitment"/>
    <n v="5"/>
    <n v="100"/>
    <n v="1"/>
    <x v="27"/>
    <x v="1"/>
  </r>
  <r>
    <s v="R007"/>
    <s v="Q029"/>
    <s v="Disagree"/>
    <s v="Call someone to account"/>
    <n v="2"/>
    <n v="40"/>
    <n v="0"/>
    <x v="28"/>
    <x v="1"/>
  </r>
  <r>
    <s v="R007"/>
    <s v="Q030"/>
    <s v="Strongly Disagree"/>
    <s v="Call someone to account"/>
    <n v="1"/>
    <n v="20"/>
    <n v="0"/>
    <x v="29"/>
    <x v="1"/>
  </r>
  <r>
    <s v="R007"/>
    <s v="Q031"/>
    <s v="Disagree"/>
    <s v="Call someone to account"/>
    <n v="2"/>
    <n v="40"/>
    <n v="0"/>
    <x v="30"/>
    <x v="1"/>
  </r>
  <r>
    <s v="R007"/>
    <s v="Q032"/>
    <s v="Neutral"/>
    <s v="Call someone to account"/>
    <n v="3"/>
    <n v="60"/>
    <n v="0"/>
    <x v="31"/>
    <x v="1"/>
  </r>
  <r>
    <s v="R008"/>
    <s v="Q001"/>
    <s v="Neutral"/>
    <s v="Role Modelling"/>
    <n v="3"/>
    <n v="60"/>
    <n v="0"/>
    <x v="0"/>
    <x v="0"/>
  </r>
  <r>
    <s v="R008"/>
    <s v="Q002"/>
    <s v="Agree"/>
    <s v="Role Modelling"/>
    <n v="4"/>
    <n v="80"/>
    <n v="1"/>
    <x v="1"/>
    <x v="0"/>
  </r>
  <r>
    <s v="R008"/>
    <s v="Q003"/>
    <s v="Agree"/>
    <s v="Role Modelling"/>
    <n v="4"/>
    <n v="80"/>
    <n v="1"/>
    <x v="2"/>
    <x v="0"/>
  </r>
  <r>
    <s v="R008"/>
    <s v="Q004"/>
    <s v="Neutral"/>
    <s v="Role Modelling"/>
    <n v="3"/>
    <n v="60"/>
    <n v="0"/>
    <x v="3"/>
    <x v="0"/>
  </r>
  <r>
    <s v="R008"/>
    <s v="Q005"/>
    <s v="Neutral"/>
    <s v="Discussability"/>
    <n v="3"/>
    <n v="60"/>
    <n v="0"/>
    <x v="4"/>
    <x v="0"/>
  </r>
  <r>
    <s v="R008"/>
    <s v="Q006"/>
    <s v="Neutral"/>
    <s v="Discussability"/>
    <n v="3"/>
    <n v="60"/>
    <n v="0"/>
    <x v="5"/>
    <x v="0"/>
  </r>
  <r>
    <s v="R008"/>
    <s v="Q007"/>
    <s v="Agree"/>
    <s v="Discussability"/>
    <n v="4"/>
    <n v="80"/>
    <n v="1"/>
    <x v="6"/>
    <x v="0"/>
  </r>
  <r>
    <s v="R008"/>
    <s v="Q008"/>
    <s v="Strongly Agree"/>
    <s v="Discussability"/>
    <n v="5"/>
    <n v="100"/>
    <n v="1"/>
    <x v="7"/>
    <x v="0"/>
  </r>
  <r>
    <s v="R008"/>
    <s v="Q009"/>
    <s v="Strongly Agree"/>
    <s v="Achievability"/>
    <n v="5"/>
    <n v="100"/>
    <n v="1"/>
    <x v="8"/>
    <x v="0"/>
  </r>
  <r>
    <s v="R008"/>
    <s v="Q010"/>
    <s v="Agree"/>
    <s v="Achievability"/>
    <n v="4"/>
    <n v="80"/>
    <n v="1"/>
    <x v="9"/>
    <x v="0"/>
  </r>
  <r>
    <s v="R008"/>
    <s v="Q011"/>
    <s v="Disagree"/>
    <s v="Achievability"/>
    <n v="2"/>
    <n v="40"/>
    <n v="0"/>
    <x v="10"/>
    <x v="0"/>
  </r>
  <r>
    <s v="R008"/>
    <s v="Q012"/>
    <s v="Neutral"/>
    <s v="Achievability"/>
    <n v="3"/>
    <n v="60"/>
    <n v="0"/>
    <x v="11"/>
    <x v="0"/>
  </r>
  <r>
    <s v="R008"/>
    <s v="Q013"/>
    <s v="Disagree"/>
    <s v="Enforcement"/>
    <n v="2"/>
    <n v="40"/>
    <n v="0"/>
    <x v="12"/>
    <x v="0"/>
  </r>
  <r>
    <s v="R008"/>
    <s v="Q014"/>
    <s v="Agree"/>
    <s v="Enforcement"/>
    <n v="4"/>
    <n v="80"/>
    <n v="1"/>
    <x v="13"/>
    <x v="0"/>
  </r>
  <r>
    <s v="R008"/>
    <s v="Q015"/>
    <s v="Disagree"/>
    <s v="Enforcement"/>
    <n v="2"/>
    <n v="40"/>
    <n v="0"/>
    <x v="14"/>
    <x v="0"/>
  </r>
  <r>
    <s v="R008"/>
    <s v="Q016"/>
    <s v="Strongly Disagree"/>
    <s v="Enforcement"/>
    <n v="1"/>
    <n v="20"/>
    <n v="0"/>
    <x v="15"/>
    <x v="0"/>
  </r>
  <r>
    <s v="R008"/>
    <s v="Q017"/>
    <s v="Disagree"/>
    <s v="Clarity"/>
    <n v="2"/>
    <n v="40"/>
    <n v="0"/>
    <x v="16"/>
    <x v="0"/>
  </r>
  <r>
    <s v="R008"/>
    <s v="Q018"/>
    <s v="Neutral"/>
    <s v="Clarity"/>
    <n v="3"/>
    <n v="60"/>
    <n v="0"/>
    <x v="17"/>
    <x v="0"/>
  </r>
  <r>
    <s v="R008"/>
    <s v="Q019"/>
    <s v="Neutral"/>
    <s v="Clarity"/>
    <n v="3"/>
    <n v="60"/>
    <n v="0"/>
    <x v="18"/>
    <x v="0"/>
  </r>
  <r>
    <s v="R008"/>
    <s v="Q020"/>
    <s v="Agree"/>
    <s v="Clarity"/>
    <n v="4"/>
    <n v="80"/>
    <n v="1"/>
    <x v="19"/>
    <x v="0"/>
  </r>
  <r>
    <s v="R008"/>
    <s v="Q021"/>
    <s v="Agree"/>
    <s v="Transparency"/>
    <n v="4"/>
    <n v="80"/>
    <n v="1"/>
    <x v="20"/>
    <x v="0"/>
  </r>
  <r>
    <s v="R008"/>
    <s v="Q022"/>
    <s v="Neutral"/>
    <s v="Transparency"/>
    <n v="3"/>
    <n v="60"/>
    <n v="0"/>
    <x v="21"/>
    <x v="0"/>
  </r>
  <r>
    <s v="R008"/>
    <s v="Q023"/>
    <s v="Neutral"/>
    <s v="Transparency"/>
    <n v="3"/>
    <n v="60"/>
    <n v="0"/>
    <x v="22"/>
    <x v="0"/>
  </r>
  <r>
    <s v="R008"/>
    <s v="Q024"/>
    <s v="Neutral"/>
    <s v="Transparency"/>
    <n v="3"/>
    <n v="60"/>
    <n v="0"/>
    <x v="23"/>
    <x v="0"/>
  </r>
  <r>
    <s v="R008"/>
    <s v="Q025"/>
    <s v="Agree"/>
    <s v="Commitment"/>
    <n v="4"/>
    <n v="80"/>
    <n v="1"/>
    <x v="24"/>
    <x v="0"/>
  </r>
  <r>
    <s v="R008"/>
    <s v="Q026"/>
    <s v="Strongly Agree"/>
    <s v="Commitment"/>
    <n v="5"/>
    <n v="100"/>
    <n v="1"/>
    <x v="25"/>
    <x v="0"/>
  </r>
  <r>
    <s v="R008"/>
    <s v="Q027"/>
    <s v="Disagree"/>
    <s v="Commitment"/>
    <n v="2"/>
    <n v="40"/>
    <n v="0"/>
    <x v="26"/>
    <x v="0"/>
  </r>
  <r>
    <s v="R008"/>
    <s v="Q028"/>
    <s v="Strongly Disagree"/>
    <s v="Commitment"/>
    <n v="1"/>
    <n v="20"/>
    <n v="0"/>
    <x v="27"/>
    <x v="0"/>
  </r>
  <r>
    <s v="R008"/>
    <s v="Q029"/>
    <s v="Disagree"/>
    <s v="Call someone to account"/>
    <n v="2"/>
    <n v="40"/>
    <n v="0"/>
    <x v="28"/>
    <x v="0"/>
  </r>
  <r>
    <s v="R008"/>
    <s v="Q030"/>
    <s v="Neutral"/>
    <s v="Call someone to account"/>
    <n v="3"/>
    <n v="60"/>
    <n v="0"/>
    <x v="29"/>
    <x v="0"/>
  </r>
  <r>
    <s v="R008"/>
    <s v="Q031"/>
    <s v="Neutral"/>
    <s v="Call someone to account"/>
    <n v="3"/>
    <n v="60"/>
    <n v="0"/>
    <x v="30"/>
    <x v="0"/>
  </r>
  <r>
    <s v="R008"/>
    <s v="Q032"/>
    <s v="Agree"/>
    <s v="Call someone to account"/>
    <n v="4"/>
    <n v="80"/>
    <n v="1"/>
    <x v="31"/>
    <x v="0"/>
  </r>
  <r>
    <s v="R009"/>
    <s v="Q001"/>
    <s v="Agree"/>
    <s v="Role Modelling"/>
    <n v="4"/>
    <n v="80"/>
    <n v="1"/>
    <x v="0"/>
    <x v="3"/>
  </r>
  <r>
    <s v="R009"/>
    <s v="Q002"/>
    <s v="Neutral"/>
    <s v="Role Modelling"/>
    <n v="3"/>
    <n v="60"/>
    <n v="0"/>
    <x v="1"/>
    <x v="3"/>
  </r>
  <r>
    <s v="R009"/>
    <s v="Q003"/>
    <s v="Neutral"/>
    <s v="Role Modelling"/>
    <n v="3"/>
    <n v="60"/>
    <n v="0"/>
    <x v="2"/>
    <x v="3"/>
  </r>
  <r>
    <s v="R009"/>
    <s v="Q004"/>
    <s v="Neutral"/>
    <s v="Role Modelling"/>
    <n v="3"/>
    <n v="60"/>
    <n v="0"/>
    <x v="3"/>
    <x v="3"/>
  </r>
  <r>
    <s v="R009"/>
    <s v="Q005"/>
    <s v="Agree"/>
    <s v="Discussability"/>
    <n v="4"/>
    <n v="80"/>
    <n v="1"/>
    <x v="4"/>
    <x v="3"/>
  </r>
  <r>
    <s v="R009"/>
    <s v="Q006"/>
    <s v="Strongly Agree"/>
    <s v="Discussability"/>
    <n v="5"/>
    <n v="100"/>
    <n v="1"/>
    <x v="5"/>
    <x v="3"/>
  </r>
  <r>
    <s v="R009"/>
    <s v="Q007"/>
    <s v="Strongly Agree"/>
    <s v="Discussability"/>
    <n v="5"/>
    <n v="100"/>
    <n v="1"/>
    <x v="6"/>
    <x v="3"/>
  </r>
  <r>
    <s v="R009"/>
    <s v="Q008"/>
    <s v="Agree"/>
    <s v="Discussability"/>
    <n v="4"/>
    <n v="80"/>
    <n v="1"/>
    <x v="7"/>
    <x v="3"/>
  </r>
  <r>
    <s v="R009"/>
    <s v="Q009"/>
    <s v="Disagree"/>
    <s v="Achievability"/>
    <n v="2"/>
    <n v="40"/>
    <n v="0"/>
    <x v="8"/>
    <x v="3"/>
  </r>
  <r>
    <s v="R009"/>
    <s v="Q010"/>
    <s v="Neutral"/>
    <s v="Achievability"/>
    <n v="3"/>
    <n v="60"/>
    <n v="0"/>
    <x v="9"/>
    <x v="3"/>
  </r>
  <r>
    <s v="R009"/>
    <s v="Q011"/>
    <s v="Disagree"/>
    <s v="Achievability"/>
    <n v="2"/>
    <n v="40"/>
    <n v="0"/>
    <x v="10"/>
    <x v="3"/>
  </r>
  <r>
    <s v="R009"/>
    <s v="Q012"/>
    <s v="Agree"/>
    <s v="Achievability"/>
    <n v="4"/>
    <n v="80"/>
    <n v="1"/>
    <x v="11"/>
    <x v="3"/>
  </r>
  <r>
    <s v="R009"/>
    <s v="Q013"/>
    <s v="Disagree"/>
    <s v="Enforcement"/>
    <n v="2"/>
    <n v="40"/>
    <n v="0"/>
    <x v="12"/>
    <x v="3"/>
  </r>
  <r>
    <s v="R009"/>
    <s v="Q014"/>
    <s v="Neutral"/>
    <s v="Enforcement"/>
    <n v="3"/>
    <n v="60"/>
    <n v="0"/>
    <x v="13"/>
    <x v="3"/>
  </r>
  <r>
    <s v="R009"/>
    <s v="Q015"/>
    <s v="Strongly Agree"/>
    <s v="Enforcement"/>
    <n v="5"/>
    <n v="100"/>
    <n v="1"/>
    <x v="14"/>
    <x v="3"/>
  </r>
  <r>
    <s v="R009"/>
    <s v="Q016"/>
    <s v="Strongly Agree"/>
    <s v="Enforcement"/>
    <n v="5"/>
    <n v="100"/>
    <n v="1"/>
    <x v="15"/>
    <x v="3"/>
  </r>
  <r>
    <s v="R009"/>
    <s v="Q017"/>
    <s v="Disagree"/>
    <s v="Clarity"/>
    <n v="2"/>
    <n v="40"/>
    <n v="0"/>
    <x v="16"/>
    <x v="3"/>
  </r>
  <r>
    <s v="R009"/>
    <s v="Q018"/>
    <s v="Strongly Disagree"/>
    <s v="Clarity"/>
    <n v="1"/>
    <n v="20"/>
    <n v="0"/>
    <x v="17"/>
    <x v="3"/>
  </r>
  <r>
    <s v="R009"/>
    <s v="Q019"/>
    <s v="Disagree"/>
    <s v="Clarity"/>
    <n v="2"/>
    <n v="40"/>
    <n v="0"/>
    <x v="18"/>
    <x v="3"/>
  </r>
  <r>
    <s v="R009"/>
    <s v="Q020"/>
    <s v="Neutral"/>
    <s v="Clarity"/>
    <n v="3"/>
    <n v="60"/>
    <n v="0"/>
    <x v="19"/>
    <x v="3"/>
  </r>
  <r>
    <s v="R009"/>
    <s v="Q021"/>
    <s v="Neutral"/>
    <s v="Transparency"/>
    <n v="3"/>
    <n v="60"/>
    <n v="0"/>
    <x v="20"/>
    <x v="3"/>
  </r>
  <r>
    <s v="R009"/>
    <s v="Q022"/>
    <s v="Agree"/>
    <s v="Transparency"/>
    <n v="4"/>
    <n v="80"/>
    <n v="1"/>
    <x v="21"/>
    <x v="3"/>
  </r>
  <r>
    <s v="R009"/>
    <s v="Q023"/>
    <s v="Agree"/>
    <s v="Transparency"/>
    <n v="4"/>
    <n v="80"/>
    <n v="1"/>
    <x v="22"/>
    <x v="3"/>
  </r>
  <r>
    <s v="R009"/>
    <s v="Q024"/>
    <s v="Neutral"/>
    <s v="Transparency"/>
    <n v="3"/>
    <n v="60"/>
    <n v="0"/>
    <x v="23"/>
    <x v="3"/>
  </r>
  <r>
    <s v="R009"/>
    <s v="Q025"/>
    <s v="Neutral"/>
    <s v="Commitment"/>
    <n v="3"/>
    <n v="60"/>
    <n v="0"/>
    <x v="24"/>
    <x v="3"/>
  </r>
  <r>
    <s v="R009"/>
    <s v="Q026"/>
    <s v="Neutral"/>
    <s v="Commitment"/>
    <n v="3"/>
    <n v="60"/>
    <n v="0"/>
    <x v="25"/>
    <x v="3"/>
  </r>
  <r>
    <s v="R009"/>
    <s v="Q027"/>
    <s v="Agree"/>
    <s v="Commitment"/>
    <n v="4"/>
    <n v="80"/>
    <n v="1"/>
    <x v="26"/>
    <x v="3"/>
  </r>
  <r>
    <s v="R009"/>
    <s v="Q028"/>
    <s v="Strongly Agree"/>
    <s v="Commitment"/>
    <n v="5"/>
    <n v="100"/>
    <n v="1"/>
    <x v="27"/>
    <x v="3"/>
  </r>
  <r>
    <s v="R009"/>
    <s v="Q029"/>
    <s v="Disagree"/>
    <s v="Call someone to account"/>
    <n v="2"/>
    <n v="40"/>
    <n v="0"/>
    <x v="28"/>
    <x v="3"/>
  </r>
  <r>
    <s v="R009"/>
    <s v="Q030"/>
    <s v="Strongly Disagree"/>
    <s v="Call someone to account"/>
    <n v="1"/>
    <n v="20"/>
    <n v="0"/>
    <x v="29"/>
    <x v="3"/>
  </r>
  <r>
    <s v="R009"/>
    <s v="Q031"/>
    <s v="Disagree"/>
    <s v="Call someone to account"/>
    <n v="2"/>
    <n v="40"/>
    <n v="0"/>
    <x v="30"/>
    <x v="3"/>
  </r>
  <r>
    <s v="R009"/>
    <s v="Q032"/>
    <s v="Neutral"/>
    <s v="Call someone to account"/>
    <n v="3"/>
    <n v="60"/>
    <n v="0"/>
    <x v="31"/>
    <x v="3"/>
  </r>
  <r>
    <s v="R010"/>
    <s v="Q001"/>
    <s v="Neutral"/>
    <s v="Role Modelling"/>
    <n v="3"/>
    <n v="60"/>
    <n v="0"/>
    <x v="0"/>
    <x v="4"/>
  </r>
  <r>
    <s v="R010"/>
    <s v="Q002"/>
    <s v="Agree"/>
    <s v="Role Modelling"/>
    <n v="4"/>
    <n v="80"/>
    <n v="1"/>
    <x v="1"/>
    <x v="4"/>
  </r>
  <r>
    <s v="R010"/>
    <s v="Q003"/>
    <s v="Agree"/>
    <s v="Role Modelling"/>
    <n v="4"/>
    <n v="80"/>
    <n v="1"/>
    <x v="2"/>
    <x v="4"/>
  </r>
  <r>
    <s v="R010"/>
    <s v="Q004"/>
    <s v="Neutral"/>
    <s v="Role Modelling"/>
    <n v="3"/>
    <n v="60"/>
    <n v="0"/>
    <x v="3"/>
    <x v="4"/>
  </r>
  <r>
    <s v="R010"/>
    <s v="Q005"/>
    <s v="Neutral"/>
    <s v="Discussability"/>
    <n v="3"/>
    <n v="60"/>
    <n v="0"/>
    <x v="4"/>
    <x v="4"/>
  </r>
  <r>
    <s v="R010"/>
    <s v="Q006"/>
    <s v="Neutral"/>
    <s v="Discussability"/>
    <n v="3"/>
    <n v="60"/>
    <n v="0"/>
    <x v="5"/>
    <x v="4"/>
  </r>
  <r>
    <s v="R010"/>
    <s v="Q007"/>
    <s v="Agree"/>
    <s v="Discussability"/>
    <n v="4"/>
    <n v="80"/>
    <n v="1"/>
    <x v="6"/>
    <x v="4"/>
  </r>
  <r>
    <s v="R010"/>
    <s v="Q008"/>
    <s v="Strongly Agree"/>
    <s v="Discussability"/>
    <n v="5"/>
    <n v="100"/>
    <n v="1"/>
    <x v="7"/>
    <x v="4"/>
  </r>
  <r>
    <s v="R010"/>
    <s v="Q009"/>
    <s v="Strongly Agree"/>
    <s v="Achievability"/>
    <n v="5"/>
    <n v="100"/>
    <n v="1"/>
    <x v="8"/>
    <x v="4"/>
  </r>
  <r>
    <s v="R010"/>
    <s v="Q010"/>
    <s v="Agree"/>
    <s v="Achievability"/>
    <n v="4"/>
    <n v="80"/>
    <n v="1"/>
    <x v="9"/>
    <x v="4"/>
  </r>
  <r>
    <s v="R010"/>
    <s v="Q011"/>
    <s v="Disagree"/>
    <s v="Achievability"/>
    <n v="2"/>
    <n v="40"/>
    <n v="0"/>
    <x v="10"/>
    <x v="4"/>
  </r>
  <r>
    <s v="R010"/>
    <s v="Q012"/>
    <s v="Agree"/>
    <s v="Achievability"/>
    <n v="4"/>
    <n v="80"/>
    <n v="1"/>
    <x v="11"/>
    <x v="4"/>
  </r>
  <r>
    <s v="R010"/>
    <s v="Q013"/>
    <s v="Disagree"/>
    <s v="Enforcement"/>
    <n v="2"/>
    <n v="40"/>
    <n v="0"/>
    <x v="12"/>
    <x v="4"/>
  </r>
  <r>
    <s v="R010"/>
    <s v="Q014"/>
    <s v="Agree"/>
    <s v="Enforcement"/>
    <n v="4"/>
    <n v="80"/>
    <n v="1"/>
    <x v="13"/>
    <x v="4"/>
  </r>
  <r>
    <s v="R010"/>
    <s v="Q015"/>
    <s v="Disagree"/>
    <s v="Enforcement"/>
    <n v="2"/>
    <n v="40"/>
    <n v="0"/>
    <x v="14"/>
    <x v="4"/>
  </r>
  <r>
    <s v="R010"/>
    <s v="Q016"/>
    <s v="Neutral"/>
    <s v="Enforcement"/>
    <n v="3"/>
    <n v="60"/>
    <n v="0"/>
    <x v="15"/>
    <x v="4"/>
  </r>
  <r>
    <s v="R010"/>
    <s v="Q017"/>
    <s v="Strongly Agree"/>
    <s v="Clarity"/>
    <n v="5"/>
    <n v="100"/>
    <n v="1"/>
    <x v="16"/>
    <x v="4"/>
  </r>
  <r>
    <s v="R010"/>
    <s v="Q018"/>
    <s v="Strongly Agree"/>
    <s v="Clarity"/>
    <n v="5"/>
    <n v="100"/>
    <n v="1"/>
    <x v="17"/>
    <x v="4"/>
  </r>
  <r>
    <s v="R010"/>
    <s v="Q019"/>
    <s v="Agree"/>
    <s v="Clarity"/>
    <n v="4"/>
    <n v="80"/>
    <n v="1"/>
    <x v="18"/>
    <x v="4"/>
  </r>
  <r>
    <s v="R010"/>
    <s v="Q020"/>
    <s v="Disagree"/>
    <s v="Clarity"/>
    <n v="2"/>
    <n v="40"/>
    <n v="0"/>
    <x v="19"/>
    <x v="4"/>
  </r>
  <r>
    <s v="R010"/>
    <s v="Q021"/>
    <s v="Neutral"/>
    <s v="Transparency"/>
    <n v="3"/>
    <n v="60"/>
    <n v="0"/>
    <x v="20"/>
    <x v="4"/>
  </r>
  <r>
    <s v="R010"/>
    <s v="Q022"/>
    <s v="Strongly Agree"/>
    <s v="Transparency"/>
    <n v="5"/>
    <n v="100"/>
    <n v="1"/>
    <x v="21"/>
    <x v="4"/>
  </r>
  <r>
    <s v="R010"/>
    <s v="Q023"/>
    <s v="Agree"/>
    <s v="Transparency"/>
    <n v="4"/>
    <n v="80"/>
    <n v="1"/>
    <x v="22"/>
    <x v="4"/>
  </r>
  <r>
    <s v="R010"/>
    <s v="Q024"/>
    <s v="Disagree"/>
    <s v="Transparency"/>
    <n v="2"/>
    <n v="40"/>
    <n v="0"/>
    <x v="23"/>
    <x v="4"/>
  </r>
  <r>
    <s v="R010"/>
    <s v="Q025"/>
    <s v="Disagree"/>
    <s v="Commitment"/>
    <n v="2"/>
    <n v="40"/>
    <n v="0"/>
    <x v="24"/>
    <x v="4"/>
  </r>
  <r>
    <s v="R010"/>
    <s v="Q026"/>
    <s v="Agree"/>
    <s v="Commitment"/>
    <n v="4"/>
    <n v="80"/>
    <n v="1"/>
    <x v="25"/>
    <x v="4"/>
  </r>
  <r>
    <s v="R010"/>
    <s v="Q027"/>
    <s v="Disagree"/>
    <s v="Commitment"/>
    <n v="2"/>
    <n v="40"/>
    <n v="0"/>
    <x v="26"/>
    <x v="4"/>
  </r>
  <r>
    <s v="R010"/>
    <s v="Q028"/>
    <s v="Neutral"/>
    <s v="Commitment"/>
    <n v="3"/>
    <n v="60"/>
    <n v="0"/>
    <x v="27"/>
    <x v="4"/>
  </r>
  <r>
    <s v="R010"/>
    <s v="Q029"/>
    <s v="Strongly Agree"/>
    <s v="Call someone to account"/>
    <n v="5"/>
    <n v="100"/>
    <n v="1"/>
    <x v="28"/>
    <x v="4"/>
  </r>
  <r>
    <s v="R010"/>
    <s v="Q030"/>
    <s v="Strongly Agree"/>
    <s v="Call someone to account"/>
    <n v="5"/>
    <n v="100"/>
    <n v="1"/>
    <x v="29"/>
    <x v="4"/>
  </r>
  <r>
    <s v="R010"/>
    <s v="Q031"/>
    <s v="Agree"/>
    <s v="Call someone to account"/>
    <n v="4"/>
    <n v="80"/>
    <n v="1"/>
    <x v="30"/>
    <x v="4"/>
  </r>
  <r>
    <s v="R010"/>
    <s v="Q032"/>
    <s v="Disagree"/>
    <s v="Call someone to account"/>
    <n v="2"/>
    <n v="40"/>
    <n v="0"/>
    <x v="31"/>
    <x v="4"/>
  </r>
  <r>
    <s v="R011"/>
    <s v="Q001"/>
    <s v="Neutral"/>
    <s v="Role Modelling"/>
    <n v="3"/>
    <n v="60"/>
    <n v="0"/>
    <x v="0"/>
    <x v="5"/>
  </r>
  <r>
    <s v="R011"/>
    <s v="Q002"/>
    <s v="Strongly Agree"/>
    <s v="Role Modelling"/>
    <n v="5"/>
    <n v="100"/>
    <n v="1"/>
    <x v="1"/>
    <x v="5"/>
  </r>
  <r>
    <s v="R011"/>
    <s v="Q003"/>
    <s v="Agree"/>
    <s v="Role Modelling"/>
    <n v="4"/>
    <n v="80"/>
    <n v="1"/>
    <x v="2"/>
    <x v="5"/>
  </r>
  <r>
    <s v="R011"/>
    <s v="Q004"/>
    <s v="Disagree"/>
    <s v="Role Modelling"/>
    <n v="2"/>
    <n v="40"/>
    <n v="0"/>
    <x v="3"/>
    <x v="5"/>
  </r>
  <r>
    <s v="R011"/>
    <s v="Q005"/>
    <s v="Disagree"/>
    <s v="Discussability"/>
    <n v="2"/>
    <n v="40"/>
    <n v="0"/>
    <x v="4"/>
    <x v="5"/>
  </r>
  <r>
    <s v="R011"/>
    <s v="Q006"/>
    <s v="Disagree"/>
    <s v="Discussability"/>
    <n v="2"/>
    <n v="40"/>
    <n v="0"/>
    <x v="5"/>
    <x v="5"/>
  </r>
  <r>
    <s v="R011"/>
    <s v="Q007"/>
    <s v="Disagree"/>
    <s v="Discussability"/>
    <n v="2"/>
    <n v="40"/>
    <n v="0"/>
    <x v="6"/>
    <x v="5"/>
  </r>
  <r>
    <s v="R011"/>
    <s v="Q008"/>
    <s v="Neutral"/>
    <s v="Discussability"/>
    <n v="3"/>
    <n v="60"/>
    <n v="0"/>
    <x v="7"/>
    <x v="5"/>
  </r>
  <r>
    <s v="R011"/>
    <s v="Q009"/>
    <s v="Strongly Agree"/>
    <s v="Achievability"/>
    <n v="5"/>
    <n v="100"/>
    <n v="1"/>
    <x v="8"/>
    <x v="5"/>
  </r>
  <r>
    <s v="R011"/>
    <s v="Q010"/>
    <s v="Strongly Agree"/>
    <s v="Achievability"/>
    <n v="5"/>
    <n v="100"/>
    <n v="1"/>
    <x v="9"/>
    <x v="5"/>
  </r>
  <r>
    <s v="R011"/>
    <s v="Q011"/>
    <s v="Agree"/>
    <s v="Achievability"/>
    <n v="4"/>
    <n v="80"/>
    <n v="1"/>
    <x v="10"/>
    <x v="5"/>
  </r>
  <r>
    <s v="R011"/>
    <s v="Q012"/>
    <s v="Disagree"/>
    <s v="Achievability"/>
    <n v="2"/>
    <n v="40"/>
    <n v="0"/>
    <x v="11"/>
    <x v="5"/>
  </r>
  <r>
    <s v="R011"/>
    <s v="Q013"/>
    <s v="Neutral"/>
    <s v="Enforcement"/>
    <n v="3"/>
    <n v="60"/>
    <n v="0"/>
    <x v="12"/>
    <x v="5"/>
  </r>
  <r>
    <s v="R011"/>
    <s v="Q014"/>
    <s v="Strongly Agree"/>
    <s v="Enforcement"/>
    <n v="5"/>
    <n v="100"/>
    <n v="1"/>
    <x v="13"/>
    <x v="5"/>
  </r>
  <r>
    <s v="R011"/>
    <s v="Q015"/>
    <s v="Agree"/>
    <s v="Enforcement"/>
    <n v="4"/>
    <n v="80"/>
    <n v="1"/>
    <x v="14"/>
    <x v="5"/>
  </r>
  <r>
    <s v="R011"/>
    <s v="Q016"/>
    <s v="Disagree"/>
    <s v="Enforcement"/>
    <n v="2"/>
    <n v="40"/>
    <n v="0"/>
    <x v="15"/>
    <x v="5"/>
  </r>
  <r>
    <s v="R011"/>
    <s v="Q017"/>
    <s v="Disagree"/>
    <s v="Clarity"/>
    <n v="2"/>
    <n v="40"/>
    <n v="0"/>
    <x v="16"/>
    <x v="5"/>
  </r>
  <r>
    <s v="R011"/>
    <s v="Q018"/>
    <s v="Agree"/>
    <s v="Clarity"/>
    <n v="4"/>
    <n v="80"/>
    <n v="1"/>
    <x v="17"/>
    <x v="5"/>
  </r>
  <r>
    <s v="R011"/>
    <s v="Q019"/>
    <s v="Disagree"/>
    <s v="Clarity"/>
    <n v="2"/>
    <n v="40"/>
    <n v="0"/>
    <x v="18"/>
    <x v="5"/>
  </r>
  <r>
    <s v="R011"/>
    <s v="Q020"/>
    <s v="Neutral"/>
    <s v="Clarity"/>
    <n v="3"/>
    <n v="60"/>
    <n v="0"/>
    <x v="19"/>
    <x v="5"/>
  </r>
  <r>
    <s v="R011"/>
    <s v="Q021"/>
    <s v="Strongly Agree"/>
    <s v="Transparency"/>
    <n v="5"/>
    <n v="100"/>
    <n v="1"/>
    <x v="20"/>
    <x v="5"/>
  </r>
  <r>
    <s v="R011"/>
    <s v="Q022"/>
    <s v="Strongly Agree"/>
    <s v="Transparency"/>
    <n v="5"/>
    <n v="100"/>
    <n v="1"/>
    <x v="21"/>
    <x v="5"/>
  </r>
  <r>
    <s v="R011"/>
    <s v="Q023"/>
    <s v="Agree"/>
    <s v="Transparency"/>
    <n v="4"/>
    <n v="80"/>
    <n v="1"/>
    <x v="22"/>
    <x v="5"/>
  </r>
  <r>
    <s v="R011"/>
    <s v="Q024"/>
    <s v="Disagree"/>
    <s v="Transparency"/>
    <n v="2"/>
    <n v="40"/>
    <n v="0"/>
    <x v="23"/>
    <x v="5"/>
  </r>
  <r>
    <s v="R011"/>
    <s v="Q025"/>
    <s v="Neutral"/>
    <s v="Commitment"/>
    <n v="3"/>
    <n v="60"/>
    <n v="0"/>
    <x v="24"/>
    <x v="5"/>
  </r>
  <r>
    <s v="R011"/>
    <s v="Q026"/>
    <s v="Strongly Agree"/>
    <s v="Commitment"/>
    <n v="5"/>
    <n v="100"/>
    <n v="1"/>
    <x v="25"/>
    <x v="5"/>
  </r>
  <r>
    <s v="R011"/>
    <s v="Q027"/>
    <s v="Agree"/>
    <s v="Commitment"/>
    <n v="4"/>
    <n v="80"/>
    <n v="1"/>
    <x v="26"/>
    <x v="5"/>
  </r>
  <r>
    <s v="R011"/>
    <s v="Q028"/>
    <s v="Disagree"/>
    <s v="Commitment"/>
    <n v="2"/>
    <n v="40"/>
    <n v="0"/>
    <x v="27"/>
    <x v="5"/>
  </r>
  <r>
    <s v="R011"/>
    <s v="Q029"/>
    <s v="Disagree"/>
    <s v="Call someone to account"/>
    <n v="2"/>
    <n v="40"/>
    <n v="0"/>
    <x v="28"/>
    <x v="5"/>
  </r>
  <r>
    <s v="R011"/>
    <s v="Q030"/>
    <s v="Agree"/>
    <s v="Call someone to account"/>
    <n v="4"/>
    <n v="80"/>
    <n v="1"/>
    <x v="29"/>
    <x v="5"/>
  </r>
  <r>
    <s v="R011"/>
    <s v="Q031"/>
    <s v="Disagree"/>
    <s v="Call someone to account"/>
    <n v="2"/>
    <n v="40"/>
    <n v="0"/>
    <x v="30"/>
    <x v="5"/>
  </r>
  <r>
    <s v="R011"/>
    <s v="Q032"/>
    <s v="Neutral"/>
    <s v="Call someone to account"/>
    <n v="3"/>
    <n v="60"/>
    <n v="0"/>
    <x v="31"/>
    <x v="5"/>
  </r>
  <r>
    <s v="R012"/>
    <s v="Q001"/>
    <s v="Strongly Agree"/>
    <s v="Role Modelling"/>
    <n v="5"/>
    <n v="100"/>
    <n v="1"/>
    <x v="0"/>
    <x v="2"/>
  </r>
  <r>
    <s v="R012"/>
    <s v="Q002"/>
    <s v="Strongly Agree"/>
    <s v="Role Modelling"/>
    <n v="5"/>
    <n v="100"/>
    <n v="1"/>
    <x v="1"/>
    <x v="2"/>
  </r>
  <r>
    <s v="R012"/>
    <s v="Q003"/>
    <s v="Agree"/>
    <s v="Role Modelling"/>
    <n v="4"/>
    <n v="80"/>
    <n v="1"/>
    <x v="2"/>
    <x v="2"/>
  </r>
  <r>
    <s v="R012"/>
    <s v="Q004"/>
    <s v="Disagree"/>
    <s v="Role Modelling"/>
    <n v="2"/>
    <n v="40"/>
    <n v="0"/>
    <x v="3"/>
    <x v="2"/>
  </r>
  <r>
    <s v="R012"/>
    <s v="Q005"/>
    <s v="Neutral"/>
    <s v="Discussability"/>
    <n v="3"/>
    <n v="60"/>
    <n v="0"/>
    <x v="4"/>
    <x v="2"/>
  </r>
  <r>
    <s v="R012"/>
    <s v="Q006"/>
    <s v="Strongly Agree"/>
    <s v="Discussability"/>
    <n v="5"/>
    <n v="100"/>
    <n v="1"/>
    <x v="5"/>
    <x v="2"/>
  </r>
  <r>
    <s v="R012"/>
    <s v="Q007"/>
    <s v="Agree"/>
    <s v="Discussability"/>
    <n v="4"/>
    <n v="80"/>
    <n v="1"/>
    <x v="6"/>
    <x v="2"/>
  </r>
  <r>
    <s v="R012"/>
    <s v="Q008"/>
    <s v="Disagree"/>
    <s v="Discussability"/>
    <n v="2"/>
    <n v="40"/>
    <n v="0"/>
    <x v="7"/>
    <x v="2"/>
  </r>
  <r>
    <s v="R012"/>
    <s v="Q009"/>
    <s v="Agree"/>
    <s v="Achievability"/>
    <n v="4"/>
    <n v="80"/>
    <n v="1"/>
    <x v="8"/>
    <x v="2"/>
  </r>
  <r>
    <s v="R012"/>
    <s v="Q010"/>
    <s v="Disagree"/>
    <s v="Achievability"/>
    <n v="2"/>
    <n v="40"/>
    <n v="0"/>
    <x v="9"/>
    <x v="2"/>
  </r>
  <r>
    <s v="R012"/>
    <s v="Q011"/>
    <s v="Neutral"/>
    <s v="Achievability"/>
    <n v="3"/>
    <n v="60"/>
    <n v="0"/>
    <x v="10"/>
    <x v="2"/>
  </r>
  <r>
    <s v="R012"/>
    <s v="Q012"/>
    <s v="Strongly Agree"/>
    <s v="Achievability"/>
    <n v="5"/>
    <n v="100"/>
    <n v="1"/>
    <x v="11"/>
    <x v="2"/>
  </r>
  <r>
    <s v="R012"/>
    <s v="Q013"/>
    <s v="Strongly Agree"/>
    <s v="Enforcement"/>
    <n v="5"/>
    <n v="100"/>
    <n v="1"/>
    <x v="12"/>
    <x v="2"/>
  </r>
  <r>
    <s v="R012"/>
    <s v="Q014"/>
    <s v="Agree"/>
    <s v="Enforcement"/>
    <n v="4"/>
    <n v="80"/>
    <n v="1"/>
    <x v="13"/>
    <x v="2"/>
  </r>
  <r>
    <s v="R012"/>
    <s v="Q015"/>
    <s v="Disagree"/>
    <s v="Enforcement"/>
    <n v="2"/>
    <n v="40"/>
    <n v="0"/>
    <x v="14"/>
    <x v="2"/>
  </r>
  <r>
    <s v="R012"/>
    <s v="Q016"/>
    <s v="Neutral"/>
    <s v="Enforcement"/>
    <n v="3"/>
    <n v="60"/>
    <n v="0"/>
    <x v="15"/>
    <x v="2"/>
  </r>
  <r>
    <s v="R012"/>
    <s v="Q017"/>
    <s v="Strongly Agree"/>
    <s v="Clarity"/>
    <n v="5"/>
    <n v="100"/>
    <n v="1"/>
    <x v="16"/>
    <x v="2"/>
  </r>
  <r>
    <s v="R012"/>
    <s v="Q018"/>
    <s v="Agree"/>
    <s v="Clarity"/>
    <n v="4"/>
    <n v="80"/>
    <n v="1"/>
    <x v="17"/>
    <x v="2"/>
  </r>
  <r>
    <s v="R012"/>
    <s v="Q019"/>
    <s v="Disagree"/>
    <s v="Clarity"/>
    <n v="2"/>
    <n v="40"/>
    <n v="0"/>
    <x v="18"/>
    <x v="2"/>
  </r>
  <r>
    <s v="R012"/>
    <s v="Q020"/>
    <s v="Disagree"/>
    <s v="Clarity"/>
    <n v="2"/>
    <n v="40"/>
    <n v="0"/>
    <x v="19"/>
    <x v="2"/>
  </r>
  <r>
    <s v="R012"/>
    <s v="Q021"/>
    <s v="Agree"/>
    <s v="Transparency"/>
    <n v="4"/>
    <n v="80"/>
    <n v="1"/>
    <x v="20"/>
    <x v="2"/>
  </r>
  <r>
    <s v="R012"/>
    <s v="Q022"/>
    <s v="Disagree"/>
    <s v="Transparency"/>
    <n v="2"/>
    <n v="40"/>
    <n v="0"/>
    <x v="21"/>
    <x v="2"/>
  </r>
  <r>
    <s v="R012"/>
    <s v="Q023"/>
    <s v="Neutral"/>
    <s v="Transparency"/>
    <n v="3"/>
    <n v="60"/>
    <n v="0"/>
    <x v="22"/>
    <x v="2"/>
  </r>
  <r>
    <s v="R012"/>
    <s v="Q024"/>
    <s v="Strongly Agree"/>
    <s v="Transparency"/>
    <n v="5"/>
    <n v="100"/>
    <n v="1"/>
    <x v="23"/>
    <x v="2"/>
  </r>
  <r>
    <s v="R012"/>
    <s v="Q025"/>
    <s v="Strongly Agree"/>
    <s v="Commitment"/>
    <n v="5"/>
    <n v="100"/>
    <n v="1"/>
    <x v="24"/>
    <x v="2"/>
  </r>
  <r>
    <s v="R012"/>
    <s v="Q026"/>
    <s v="Agree"/>
    <s v="Commitment"/>
    <n v="4"/>
    <n v="80"/>
    <n v="1"/>
    <x v="25"/>
    <x v="2"/>
  </r>
  <r>
    <s v="R012"/>
    <s v="Q027"/>
    <s v="Disagree"/>
    <s v="Commitment"/>
    <n v="2"/>
    <n v="40"/>
    <n v="0"/>
    <x v="26"/>
    <x v="2"/>
  </r>
  <r>
    <s v="R012"/>
    <s v="Q028"/>
    <s v="Neutral"/>
    <s v="Commitment"/>
    <n v="3"/>
    <n v="60"/>
    <n v="0"/>
    <x v="27"/>
    <x v="2"/>
  </r>
  <r>
    <s v="R012"/>
    <s v="Q029"/>
    <s v="Strongly Agree"/>
    <s v="Call someone to account"/>
    <n v="5"/>
    <n v="100"/>
    <n v="1"/>
    <x v="28"/>
    <x v="2"/>
  </r>
  <r>
    <s v="R012"/>
    <s v="Q030"/>
    <s v="Agree"/>
    <s v="Call someone to account"/>
    <n v="4"/>
    <n v="80"/>
    <n v="1"/>
    <x v="29"/>
    <x v="2"/>
  </r>
  <r>
    <s v="R012"/>
    <s v="Q031"/>
    <s v="Disagree"/>
    <s v="Call someone to account"/>
    <n v="2"/>
    <n v="40"/>
    <n v="0"/>
    <x v="30"/>
    <x v="2"/>
  </r>
  <r>
    <s v="R012"/>
    <s v="Q032"/>
    <s v="Neutral"/>
    <s v="Call someone to account"/>
    <n v="3"/>
    <n v="60"/>
    <n v="0"/>
    <x v="31"/>
    <x v="2"/>
  </r>
  <r>
    <s v="R013"/>
    <s v="Q001"/>
    <s v="Strongly Agree"/>
    <s v="Role Modelling"/>
    <n v="5"/>
    <n v="100"/>
    <n v="1"/>
    <x v="0"/>
    <x v="1"/>
  </r>
  <r>
    <s v="R013"/>
    <s v="Q002"/>
    <s v="Strongly Agree"/>
    <s v="Role Modelling"/>
    <n v="5"/>
    <n v="100"/>
    <n v="1"/>
    <x v="1"/>
    <x v="1"/>
  </r>
  <r>
    <s v="R013"/>
    <s v="Q003"/>
    <s v="Agree"/>
    <s v="Role Modelling"/>
    <n v="4"/>
    <n v="80"/>
    <n v="1"/>
    <x v="2"/>
    <x v="1"/>
  </r>
  <r>
    <s v="R013"/>
    <s v="Q004"/>
    <s v="Disagree"/>
    <s v="Role Modelling"/>
    <n v="2"/>
    <n v="40"/>
    <n v="0"/>
    <x v="3"/>
    <x v="1"/>
  </r>
  <r>
    <s v="R013"/>
    <s v="Q005"/>
    <s v="Neutral"/>
    <s v="Discussability"/>
    <n v="3"/>
    <n v="60"/>
    <n v="0"/>
    <x v="4"/>
    <x v="1"/>
  </r>
  <r>
    <s v="R013"/>
    <s v="Q006"/>
    <s v="Strongly Agree"/>
    <s v="Discussability"/>
    <n v="5"/>
    <n v="100"/>
    <n v="1"/>
    <x v="5"/>
    <x v="1"/>
  </r>
  <r>
    <s v="R013"/>
    <s v="Q007"/>
    <s v="Agree"/>
    <s v="Discussability"/>
    <n v="4"/>
    <n v="80"/>
    <n v="1"/>
    <x v="6"/>
    <x v="1"/>
  </r>
  <r>
    <s v="R013"/>
    <s v="Q008"/>
    <s v="Disagree"/>
    <s v="Discussability"/>
    <n v="2"/>
    <n v="40"/>
    <n v="0"/>
    <x v="7"/>
    <x v="1"/>
  </r>
  <r>
    <s v="R013"/>
    <s v="Q009"/>
    <s v="Disagree"/>
    <s v="Achievability"/>
    <n v="2"/>
    <n v="40"/>
    <n v="0"/>
    <x v="8"/>
    <x v="1"/>
  </r>
  <r>
    <s v="R013"/>
    <s v="Q010"/>
    <s v="Agree"/>
    <s v="Achievability"/>
    <n v="4"/>
    <n v="80"/>
    <n v="1"/>
    <x v="9"/>
    <x v="1"/>
  </r>
  <r>
    <s v="R013"/>
    <s v="Q011"/>
    <s v="Disagree"/>
    <s v="Achievability"/>
    <n v="2"/>
    <n v="40"/>
    <n v="0"/>
    <x v="10"/>
    <x v="1"/>
  </r>
  <r>
    <s v="R013"/>
    <s v="Q012"/>
    <s v="Neutral"/>
    <s v="Achievability"/>
    <n v="3"/>
    <n v="60"/>
    <n v="0"/>
    <x v="11"/>
    <x v="1"/>
  </r>
  <r>
    <s v="R013"/>
    <s v="Q013"/>
    <s v="Strongly Agree"/>
    <s v="Enforcement"/>
    <n v="5"/>
    <n v="100"/>
    <n v="1"/>
    <x v="12"/>
    <x v="1"/>
  </r>
  <r>
    <s v="R013"/>
    <s v="Q014"/>
    <s v="Strongly Agree"/>
    <s v="Enforcement"/>
    <n v="5"/>
    <n v="100"/>
    <n v="1"/>
    <x v="13"/>
    <x v="1"/>
  </r>
  <r>
    <s v="R013"/>
    <s v="Q015"/>
    <s v="Agree"/>
    <s v="Enforcement"/>
    <n v="4"/>
    <n v="80"/>
    <n v="1"/>
    <x v="14"/>
    <x v="1"/>
  </r>
  <r>
    <s v="R013"/>
    <s v="Q016"/>
    <s v="Disagree"/>
    <s v="Enforcement"/>
    <n v="2"/>
    <n v="40"/>
    <n v="0"/>
    <x v="15"/>
    <x v="1"/>
  </r>
  <r>
    <s v="R013"/>
    <s v="Q017"/>
    <s v="Neutral"/>
    <s v="Clarity"/>
    <n v="3"/>
    <n v="60"/>
    <n v="0"/>
    <x v="16"/>
    <x v="1"/>
  </r>
  <r>
    <s v="R013"/>
    <s v="Q018"/>
    <s v="Strongly Agree"/>
    <s v="Clarity"/>
    <n v="5"/>
    <n v="100"/>
    <n v="1"/>
    <x v="17"/>
    <x v="1"/>
  </r>
  <r>
    <s v="R013"/>
    <s v="Q019"/>
    <s v="Agree"/>
    <s v="Clarity"/>
    <n v="4"/>
    <n v="80"/>
    <n v="1"/>
    <x v="18"/>
    <x v="1"/>
  </r>
  <r>
    <s v="R013"/>
    <s v="Q020"/>
    <s v="Disagree"/>
    <s v="Clarity"/>
    <n v="2"/>
    <n v="40"/>
    <n v="0"/>
    <x v="19"/>
    <x v="1"/>
  </r>
  <r>
    <s v="R013"/>
    <s v="Q021"/>
    <s v="Neutral"/>
    <s v="Transparency"/>
    <n v="3"/>
    <n v="60"/>
    <n v="0"/>
    <x v="20"/>
    <x v="1"/>
  </r>
  <r>
    <s v="R013"/>
    <s v="Q022"/>
    <s v="Strongly Agree"/>
    <s v="Transparency"/>
    <n v="5"/>
    <n v="100"/>
    <n v="1"/>
    <x v="21"/>
    <x v="1"/>
  </r>
  <r>
    <s v="R013"/>
    <s v="Q023"/>
    <s v="Strongly Agree"/>
    <s v="Transparency"/>
    <n v="5"/>
    <n v="100"/>
    <n v="1"/>
    <x v="22"/>
    <x v="1"/>
  </r>
  <r>
    <s v="R013"/>
    <s v="Q024"/>
    <s v="Agree"/>
    <s v="Transparency"/>
    <n v="4"/>
    <n v="80"/>
    <n v="1"/>
    <x v="23"/>
    <x v="1"/>
  </r>
  <r>
    <s v="R013"/>
    <s v="Q025"/>
    <s v="Disagree"/>
    <s v="Commitment"/>
    <n v="2"/>
    <n v="40"/>
    <n v="0"/>
    <x v="24"/>
    <x v="1"/>
  </r>
  <r>
    <s v="R013"/>
    <s v="Q026"/>
    <s v="Neutral"/>
    <s v="Commitment"/>
    <n v="3"/>
    <n v="60"/>
    <n v="0"/>
    <x v="25"/>
    <x v="1"/>
  </r>
  <r>
    <s v="R013"/>
    <s v="Q027"/>
    <s v="Strongly Agree"/>
    <s v="Commitment"/>
    <n v="5"/>
    <n v="100"/>
    <n v="1"/>
    <x v="26"/>
    <x v="1"/>
  </r>
  <r>
    <s v="R013"/>
    <s v="Q028"/>
    <s v="Agree"/>
    <s v="Commitment"/>
    <n v="4"/>
    <n v="80"/>
    <n v="1"/>
    <x v="27"/>
    <x v="1"/>
  </r>
  <r>
    <s v="R013"/>
    <s v="Q029"/>
    <s v="Disagree"/>
    <s v="Call someone to account"/>
    <n v="2"/>
    <n v="40"/>
    <n v="0"/>
    <x v="28"/>
    <x v="1"/>
  </r>
  <r>
    <s v="R013"/>
    <s v="Q030"/>
    <s v="Disagree"/>
    <s v="Call someone to account"/>
    <n v="2"/>
    <n v="40"/>
    <n v="0"/>
    <x v="29"/>
    <x v="1"/>
  </r>
  <r>
    <s v="R013"/>
    <s v="Q031"/>
    <s v="Agree"/>
    <s v="Call someone to account"/>
    <n v="4"/>
    <n v="80"/>
    <n v="1"/>
    <x v="30"/>
    <x v="1"/>
  </r>
  <r>
    <s v="R013"/>
    <s v="Q032"/>
    <s v="Disagree"/>
    <s v="Call someone to account"/>
    <n v="2"/>
    <n v="40"/>
    <n v="0"/>
    <x v="31"/>
    <x v="1"/>
  </r>
  <r>
    <s v="R014"/>
    <s v="Q001"/>
    <s v="Neutral"/>
    <s v="Role Modelling"/>
    <n v="3"/>
    <n v="60"/>
    <n v="0"/>
    <x v="0"/>
    <x v="4"/>
  </r>
  <r>
    <s v="R014"/>
    <s v="Q002"/>
    <s v="Strongly Agree"/>
    <s v="Role Modelling"/>
    <n v="5"/>
    <n v="100"/>
    <n v="1"/>
    <x v="1"/>
    <x v="4"/>
  </r>
  <r>
    <s v="R014"/>
    <s v="Q003"/>
    <s v="Strongly Agree"/>
    <s v="Role Modelling"/>
    <n v="5"/>
    <n v="100"/>
    <n v="1"/>
    <x v="2"/>
    <x v="4"/>
  </r>
  <r>
    <s v="R014"/>
    <s v="Q004"/>
    <s v="Agree"/>
    <s v="Role Modelling"/>
    <n v="4"/>
    <n v="80"/>
    <n v="1"/>
    <x v="3"/>
    <x v="4"/>
  </r>
  <r>
    <s v="R014"/>
    <s v="Q005"/>
    <s v="Disagree"/>
    <s v="Discussability"/>
    <n v="2"/>
    <n v="40"/>
    <n v="0"/>
    <x v="4"/>
    <x v="4"/>
  </r>
  <r>
    <s v="R014"/>
    <s v="Q006"/>
    <s v="Neutral"/>
    <s v="Discussability"/>
    <n v="3"/>
    <n v="60"/>
    <n v="0"/>
    <x v="5"/>
    <x v="4"/>
  </r>
  <r>
    <s v="R014"/>
    <s v="Q007"/>
    <s v="Strongly Agree"/>
    <s v="Discussability"/>
    <n v="5"/>
    <n v="100"/>
    <n v="1"/>
    <x v="6"/>
    <x v="4"/>
  </r>
  <r>
    <s v="R014"/>
    <s v="Q008"/>
    <s v="Agree"/>
    <s v="Discussability"/>
    <n v="4"/>
    <n v="80"/>
    <n v="1"/>
    <x v="7"/>
    <x v="4"/>
  </r>
  <r>
    <s v="R014"/>
    <s v="Q009"/>
    <s v="Disagree"/>
    <s v="Achievability"/>
    <n v="2"/>
    <n v="40"/>
    <n v="0"/>
    <x v="8"/>
    <x v="4"/>
  </r>
  <r>
    <s v="R014"/>
    <s v="Q010"/>
    <s v="Disagree"/>
    <s v="Achievability"/>
    <n v="2"/>
    <n v="40"/>
    <n v="0"/>
    <x v="9"/>
    <x v="4"/>
  </r>
  <r>
    <s v="R014"/>
    <s v="Q011"/>
    <s v="Agree"/>
    <s v="Achievability"/>
    <n v="4"/>
    <n v="80"/>
    <n v="1"/>
    <x v="10"/>
    <x v="4"/>
  </r>
  <r>
    <s v="R014"/>
    <s v="Q012"/>
    <s v="Disagree"/>
    <s v="Achievability"/>
    <n v="2"/>
    <n v="40"/>
    <n v="0"/>
    <x v="11"/>
    <x v="4"/>
  </r>
  <r>
    <s v="R014"/>
    <s v="Q013"/>
    <s v="Neutral"/>
    <s v="Enforcement"/>
    <n v="3"/>
    <n v="60"/>
    <n v="0"/>
    <x v="12"/>
    <x v="4"/>
  </r>
  <r>
    <s v="R014"/>
    <s v="Q014"/>
    <s v="Strongly Agree"/>
    <s v="Enforcement"/>
    <n v="5"/>
    <n v="100"/>
    <n v="1"/>
    <x v="13"/>
    <x v="4"/>
  </r>
  <r>
    <s v="R014"/>
    <s v="Q015"/>
    <s v="Strongly Agree"/>
    <s v="Enforcement"/>
    <n v="5"/>
    <n v="100"/>
    <n v="1"/>
    <x v="14"/>
    <x v="4"/>
  </r>
  <r>
    <s v="R014"/>
    <s v="Q016"/>
    <s v="Agree"/>
    <s v="Enforcement"/>
    <n v="4"/>
    <n v="80"/>
    <n v="1"/>
    <x v="15"/>
    <x v="4"/>
  </r>
  <r>
    <s v="R014"/>
    <s v="Q017"/>
    <s v="Disagree"/>
    <s v="Clarity"/>
    <n v="2"/>
    <n v="40"/>
    <n v="0"/>
    <x v="16"/>
    <x v="4"/>
  </r>
  <r>
    <s v="R014"/>
    <s v="Q018"/>
    <s v="Neutral"/>
    <s v="Clarity"/>
    <n v="3"/>
    <n v="60"/>
    <n v="0"/>
    <x v="17"/>
    <x v="4"/>
  </r>
  <r>
    <s v="R014"/>
    <s v="Q019"/>
    <s v="Strongly Agree"/>
    <s v="Clarity"/>
    <n v="5"/>
    <n v="100"/>
    <n v="1"/>
    <x v="18"/>
    <x v="4"/>
  </r>
  <r>
    <s v="R014"/>
    <s v="Q020"/>
    <s v="Agree"/>
    <s v="Clarity"/>
    <n v="4"/>
    <n v="80"/>
    <n v="1"/>
    <x v="19"/>
    <x v="4"/>
  </r>
  <r>
    <s v="R014"/>
    <s v="Q021"/>
    <s v="Disagree"/>
    <s v="Transparency"/>
    <n v="2"/>
    <n v="40"/>
    <n v="0"/>
    <x v="20"/>
    <x v="4"/>
  </r>
  <r>
    <s v="R014"/>
    <s v="Q022"/>
    <s v="Neutral"/>
    <s v="Transparency"/>
    <n v="3"/>
    <n v="60"/>
    <n v="0"/>
    <x v="21"/>
    <x v="4"/>
  </r>
  <r>
    <s v="R014"/>
    <s v="Q023"/>
    <s v="Strongly Agree"/>
    <s v="Transparency"/>
    <n v="5"/>
    <n v="100"/>
    <n v="1"/>
    <x v="22"/>
    <x v="4"/>
  </r>
  <r>
    <s v="R014"/>
    <s v="Q024"/>
    <s v="Strongly Agree"/>
    <s v="Transparency"/>
    <n v="5"/>
    <n v="100"/>
    <n v="1"/>
    <x v="23"/>
    <x v="4"/>
  </r>
  <r>
    <s v="R014"/>
    <s v="Q025"/>
    <s v="Agree"/>
    <s v="Commitment"/>
    <n v="4"/>
    <n v="80"/>
    <n v="1"/>
    <x v="24"/>
    <x v="4"/>
  </r>
  <r>
    <s v="R014"/>
    <s v="Q026"/>
    <s v="Agree"/>
    <s v="Commitment"/>
    <n v="4"/>
    <n v="80"/>
    <n v="1"/>
    <x v="25"/>
    <x v="4"/>
  </r>
  <r>
    <s v="R014"/>
    <s v="Q027"/>
    <s v="Disagree"/>
    <s v="Commitment"/>
    <n v="2"/>
    <n v="40"/>
    <n v="0"/>
    <x v="26"/>
    <x v="4"/>
  </r>
  <r>
    <s v="R014"/>
    <s v="Q028"/>
    <s v="Neutral"/>
    <s v="Commitment"/>
    <n v="3"/>
    <n v="60"/>
    <n v="0"/>
    <x v="27"/>
    <x v="4"/>
  </r>
  <r>
    <s v="R014"/>
    <s v="Q029"/>
    <s v="Strongly Agree"/>
    <s v="Call someone to account"/>
    <n v="5"/>
    <n v="100"/>
    <n v="1"/>
    <x v="28"/>
    <x v="4"/>
  </r>
  <r>
    <s v="R014"/>
    <s v="Q030"/>
    <s v="Neutral"/>
    <s v="Call someone to account"/>
    <n v="3"/>
    <n v="60"/>
    <n v="0"/>
    <x v="29"/>
    <x v="4"/>
  </r>
  <r>
    <s v="R014"/>
    <s v="Q031"/>
    <s v="Strongly Agree"/>
    <s v="Call someone to account"/>
    <n v="5"/>
    <n v="100"/>
    <n v="1"/>
    <x v="30"/>
    <x v="4"/>
  </r>
  <r>
    <s v="R014"/>
    <s v="Q032"/>
    <s v="Agree"/>
    <s v="Call someone to account"/>
    <n v="4"/>
    <n v="80"/>
    <n v="1"/>
    <x v="31"/>
    <x v="4"/>
  </r>
  <r>
    <s v="R015"/>
    <s v="Q001"/>
    <s v="Disagree"/>
    <s v="Role Modelling"/>
    <n v="2"/>
    <n v="40"/>
    <n v="0"/>
    <x v="0"/>
    <x v="4"/>
  </r>
  <r>
    <s v="R015"/>
    <s v="Q002"/>
    <s v="Disagree"/>
    <s v="Role Modelling"/>
    <n v="2"/>
    <n v="40"/>
    <n v="0"/>
    <x v="1"/>
    <x v="4"/>
  </r>
  <r>
    <s v="R015"/>
    <s v="Q003"/>
    <s v="Agree"/>
    <s v="Role Modelling"/>
    <n v="4"/>
    <n v="80"/>
    <n v="1"/>
    <x v="2"/>
    <x v="4"/>
  </r>
  <r>
    <s v="R015"/>
    <s v="Q004"/>
    <s v="Disagree"/>
    <s v="Role Modelling"/>
    <n v="2"/>
    <n v="40"/>
    <n v="0"/>
    <x v="3"/>
    <x v="4"/>
  </r>
  <r>
    <s v="R015"/>
    <s v="Q005"/>
    <s v="Neutral"/>
    <s v="Discussability"/>
    <n v="3"/>
    <n v="60"/>
    <n v="0"/>
    <x v="4"/>
    <x v="4"/>
  </r>
  <r>
    <s v="R015"/>
    <s v="Q006"/>
    <s v="Strongly Agree"/>
    <s v="Discussability"/>
    <n v="5"/>
    <n v="100"/>
    <n v="1"/>
    <x v="5"/>
    <x v="4"/>
  </r>
  <r>
    <s v="R015"/>
    <s v="Q007"/>
    <s v="Strongly Agree"/>
    <s v="Discussability"/>
    <n v="5"/>
    <n v="100"/>
    <n v="1"/>
    <x v="6"/>
    <x v="4"/>
  </r>
  <r>
    <s v="R015"/>
    <s v="Q008"/>
    <s v="Agree"/>
    <s v="Discussability"/>
    <n v="4"/>
    <n v="80"/>
    <n v="1"/>
    <x v="7"/>
    <x v="4"/>
  </r>
  <r>
    <s v="R015"/>
    <s v="Q009"/>
    <s v="Disagree"/>
    <s v="Achievability"/>
    <n v="2"/>
    <n v="40"/>
    <n v="0"/>
    <x v="8"/>
    <x v="4"/>
  </r>
  <r>
    <s v="R015"/>
    <s v="Q010"/>
    <s v="Neutral"/>
    <s v="Achievability"/>
    <n v="3"/>
    <n v="60"/>
    <n v="0"/>
    <x v="9"/>
    <x v="4"/>
  </r>
  <r>
    <s v="R015"/>
    <s v="Q011"/>
    <s v="Strongly Agree"/>
    <s v="Achievability"/>
    <n v="5"/>
    <n v="100"/>
    <n v="1"/>
    <x v="10"/>
    <x v="4"/>
  </r>
  <r>
    <s v="R015"/>
    <s v="Q012"/>
    <s v="Agree"/>
    <s v="Achievability"/>
    <n v="4"/>
    <n v="80"/>
    <n v="1"/>
    <x v="11"/>
    <x v="4"/>
  </r>
  <r>
    <s v="R015"/>
    <s v="Q013"/>
    <s v="Disagree"/>
    <s v="Enforcement"/>
    <n v="2"/>
    <n v="40"/>
    <n v="0"/>
    <x v="12"/>
    <x v="4"/>
  </r>
  <r>
    <s v="R015"/>
    <s v="Q014"/>
    <s v="Neutral"/>
    <s v="Enforcement"/>
    <n v="3"/>
    <n v="60"/>
    <n v="0"/>
    <x v="13"/>
    <x v="4"/>
  </r>
  <r>
    <s v="R015"/>
    <s v="Q015"/>
    <s v="Strongly Agree"/>
    <s v="Enforcement"/>
    <n v="5"/>
    <n v="100"/>
    <n v="1"/>
    <x v="14"/>
    <x v="4"/>
  </r>
  <r>
    <s v="R015"/>
    <s v="Q016"/>
    <s v="Strongly Agree"/>
    <s v="Enforcement"/>
    <n v="5"/>
    <n v="100"/>
    <n v="1"/>
    <x v="15"/>
    <x v="4"/>
  </r>
  <r>
    <s v="R015"/>
    <s v="Q017"/>
    <s v="Agree"/>
    <s v="Clarity"/>
    <n v="4"/>
    <n v="80"/>
    <n v="1"/>
    <x v="16"/>
    <x v="4"/>
  </r>
  <r>
    <s v="R015"/>
    <s v="Q018"/>
    <s v="Neutral"/>
    <s v="Clarity"/>
    <n v="3"/>
    <n v="60"/>
    <n v="0"/>
    <x v="17"/>
    <x v="4"/>
  </r>
  <r>
    <s v="R015"/>
    <s v="Q019"/>
    <s v="Strongly Agree"/>
    <s v="Clarity"/>
    <n v="5"/>
    <n v="100"/>
    <n v="1"/>
    <x v="18"/>
    <x v="4"/>
  </r>
  <r>
    <s v="R015"/>
    <s v="Q020"/>
    <s v="Agree"/>
    <s v="Clarity"/>
    <n v="4"/>
    <n v="80"/>
    <n v="1"/>
    <x v="19"/>
    <x v="4"/>
  </r>
  <r>
    <s v="R015"/>
    <s v="Q021"/>
    <s v="Disagree"/>
    <s v="Transparency"/>
    <n v="2"/>
    <n v="40"/>
    <n v="0"/>
    <x v="20"/>
    <x v="4"/>
  </r>
  <r>
    <s v="R015"/>
    <s v="Q022"/>
    <s v="Disagree"/>
    <s v="Transparency"/>
    <n v="2"/>
    <n v="40"/>
    <n v="0"/>
    <x v="21"/>
    <x v="4"/>
  </r>
  <r>
    <s v="R015"/>
    <s v="Q023"/>
    <s v="Agree"/>
    <s v="Transparency"/>
    <n v="4"/>
    <n v="80"/>
    <n v="1"/>
    <x v="22"/>
    <x v="4"/>
  </r>
  <r>
    <s v="R015"/>
    <s v="Q024"/>
    <s v="Disagree"/>
    <s v="Transparency"/>
    <n v="2"/>
    <n v="40"/>
    <n v="0"/>
    <x v="23"/>
    <x v="4"/>
  </r>
  <r>
    <s v="R015"/>
    <s v="Q025"/>
    <s v="Neutral"/>
    <s v="Commitment"/>
    <n v="3"/>
    <n v="60"/>
    <n v="0"/>
    <x v="24"/>
    <x v="4"/>
  </r>
  <r>
    <s v="R015"/>
    <s v="Q026"/>
    <s v="Strongly Agree"/>
    <s v="Commitment"/>
    <n v="5"/>
    <n v="100"/>
    <n v="1"/>
    <x v="25"/>
    <x v="4"/>
  </r>
  <r>
    <s v="R015"/>
    <s v="Q027"/>
    <s v="Strongly Agree"/>
    <s v="Commitment"/>
    <n v="5"/>
    <n v="100"/>
    <n v="1"/>
    <x v="26"/>
    <x v="4"/>
  </r>
  <r>
    <s v="R015"/>
    <s v="Q028"/>
    <s v="Agree"/>
    <s v="Commitment"/>
    <n v="4"/>
    <n v="80"/>
    <n v="1"/>
    <x v="27"/>
    <x v="4"/>
  </r>
  <r>
    <s v="R015"/>
    <s v="Q029"/>
    <s v="Disagree"/>
    <s v="Call someone to account"/>
    <n v="2"/>
    <n v="40"/>
    <n v="0"/>
    <x v="28"/>
    <x v="4"/>
  </r>
  <r>
    <s v="R015"/>
    <s v="Q030"/>
    <s v="Neutral"/>
    <s v="Call someone to account"/>
    <n v="3"/>
    <n v="60"/>
    <n v="0"/>
    <x v="29"/>
    <x v="4"/>
  </r>
  <r>
    <s v="R015"/>
    <s v="Q031"/>
    <s v="Strongly Agree"/>
    <s v="Call someone to account"/>
    <n v="5"/>
    <n v="100"/>
    <n v="1"/>
    <x v="30"/>
    <x v="4"/>
  </r>
  <r>
    <s v="R015"/>
    <s v="Q032"/>
    <s v="Agree"/>
    <s v="Call someone to account"/>
    <n v="4"/>
    <n v="80"/>
    <n v="1"/>
    <x v="31"/>
    <x v="4"/>
  </r>
  <r>
    <s v="R016"/>
    <s v="Q001"/>
    <s v="Disagree"/>
    <s v="Role Modelling"/>
    <n v="2"/>
    <n v="40"/>
    <n v="0"/>
    <x v="0"/>
    <x v="2"/>
  </r>
  <r>
    <s v="R016"/>
    <s v="Q002"/>
    <s v="Neutral"/>
    <s v="Role Modelling"/>
    <n v="3"/>
    <n v="60"/>
    <n v="0"/>
    <x v="1"/>
    <x v="2"/>
  </r>
  <r>
    <s v="R016"/>
    <s v="Q003"/>
    <s v="Strongly Agree"/>
    <s v="Role Modelling"/>
    <n v="5"/>
    <n v="100"/>
    <n v="1"/>
    <x v="2"/>
    <x v="2"/>
  </r>
  <r>
    <s v="R016"/>
    <s v="Q004"/>
    <s v="Strongly Agree"/>
    <s v="Role Modelling"/>
    <n v="5"/>
    <n v="100"/>
    <n v="1"/>
    <x v="3"/>
    <x v="2"/>
  </r>
  <r>
    <s v="R016"/>
    <s v="Q005"/>
    <s v="Agree"/>
    <s v="Discussability"/>
    <n v="4"/>
    <n v="80"/>
    <n v="1"/>
    <x v="4"/>
    <x v="2"/>
  </r>
  <r>
    <s v="R016"/>
    <s v="Q006"/>
    <s v="Neutral"/>
    <s v="Discussability"/>
    <n v="3"/>
    <n v="60"/>
    <n v="0"/>
    <x v="5"/>
    <x v="2"/>
  </r>
  <r>
    <s v="R016"/>
    <s v="Q007"/>
    <s v="Strongly Agree"/>
    <s v="Discussability"/>
    <n v="5"/>
    <n v="100"/>
    <n v="1"/>
    <x v="6"/>
    <x v="2"/>
  </r>
  <r>
    <s v="R016"/>
    <s v="Q008"/>
    <s v="Agree"/>
    <s v="Discussability"/>
    <n v="4"/>
    <n v="80"/>
    <n v="1"/>
    <x v="7"/>
    <x v="2"/>
  </r>
  <r>
    <s v="R016"/>
    <s v="Q009"/>
    <s v="Disagree"/>
    <s v="Achievability"/>
    <n v="2"/>
    <n v="40"/>
    <n v="0"/>
    <x v="8"/>
    <x v="2"/>
  </r>
  <r>
    <s v="R016"/>
    <s v="Q010"/>
    <s v="Disagree"/>
    <s v="Achievability"/>
    <n v="2"/>
    <n v="40"/>
    <n v="0"/>
    <x v="9"/>
    <x v="2"/>
  </r>
  <r>
    <s v="R016"/>
    <s v="Q011"/>
    <s v="Agree"/>
    <s v="Achievability"/>
    <n v="4"/>
    <n v="80"/>
    <n v="1"/>
    <x v="10"/>
    <x v="2"/>
  </r>
  <r>
    <s v="R016"/>
    <s v="Q012"/>
    <s v="Disagree"/>
    <s v="Achievability"/>
    <n v="2"/>
    <n v="40"/>
    <n v="0"/>
    <x v="11"/>
    <x v="2"/>
  </r>
  <r>
    <s v="R016"/>
    <s v="Q013"/>
    <s v="Neutral"/>
    <s v="Enforcement"/>
    <n v="3"/>
    <n v="60"/>
    <n v="0"/>
    <x v="12"/>
    <x v="2"/>
  </r>
  <r>
    <s v="R016"/>
    <s v="Q014"/>
    <s v="Strongly Agree"/>
    <s v="Enforcement"/>
    <n v="5"/>
    <n v="100"/>
    <n v="1"/>
    <x v="13"/>
    <x v="2"/>
  </r>
  <r>
    <s v="R016"/>
    <s v="Q015"/>
    <s v="Strongly Agree"/>
    <s v="Enforcement"/>
    <n v="5"/>
    <n v="100"/>
    <n v="1"/>
    <x v="14"/>
    <x v="2"/>
  </r>
  <r>
    <s v="R016"/>
    <s v="Q016"/>
    <s v="Agree"/>
    <s v="Enforcement"/>
    <n v="4"/>
    <n v="80"/>
    <n v="1"/>
    <x v="15"/>
    <x v="2"/>
  </r>
  <r>
    <s v="R016"/>
    <s v="Q017"/>
    <s v="Disagree"/>
    <s v="Clarity"/>
    <n v="2"/>
    <n v="40"/>
    <n v="0"/>
    <x v="16"/>
    <x v="2"/>
  </r>
  <r>
    <s v="R016"/>
    <s v="Q018"/>
    <s v="Neutral"/>
    <s v="Clarity"/>
    <n v="3"/>
    <n v="60"/>
    <n v="0"/>
    <x v="17"/>
    <x v="2"/>
  </r>
  <r>
    <s v="R016"/>
    <s v="Q019"/>
    <s v="Strongly Agree"/>
    <s v="Clarity"/>
    <n v="5"/>
    <n v="100"/>
    <n v="1"/>
    <x v="18"/>
    <x v="2"/>
  </r>
  <r>
    <s v="R016"/>
    <s v="Q020"/>
    <s v="Agree"/>
    <s v="Clarity"/>
    <n v="4"/>
    <n v="80"/>
    <n v="1"/>
    <x v="19"/>
    <x v="2"/>
  </r>
  <r>
    <s v="R016"/>
    <s v="Q021"/>
    <s v="Disagree"/>
    <s v="Transparency"/>
    <n v="2"/>
    <n v="40"/>
    <n v="0"/>
    <x v="20"/>
    <x v="2"/>
  </r>
  <r>
    <s v="R016"/>
    <s v="Q022"/>
    <s v="Neutral"/>
    <s v="Transparency"/>
    <n v="3"/>
    <n v="60"/>
    <n v="0"/>
    <x v="21"/>
    <x v="2"/>
  </r>
  <r>
    <s v="R016"/>
    <s v="Q023"/>
    <s v="Strongly Agree"/>
    <s v="Transparency"/>
    <n v="5"/>
    <n v="100"/>
    <n v="1"/>
    <x v="22"/>
    <x v="2"/>
  </r>
  <r>
    <s v="R016"/>
    <s v="Q024"/>
    <s v="Strongly Agree"/>
    <s v="Transparency"/>
    <n v="5"/>
    <n v="100"/>
    <n v="1"/>
    <x v="23"/>
    <x v="2"/>
  </r>
  <r>
    <s v="R016"/>
    <s v="Q025"/>
    <s v="Agree"/>
    <s v="Commitment"/>
    <n v="4"/>
    <n v="80"/>
    <n v="1"/>
    <x v="24"/>
    <x v="2"/>
  </r>
  <r>
    <s v="R016"/>
    <s v="Q026"/>
    <s v="Neutral"/>
    <s v="Commitment"/>
    <n v="3"/>
    <n v="60"/>
    <n v="0"/>
    <x v="25"/>
    <x v="2"/>
  </r>
  <r>
    <s v="R016"/>
    <s v="Q027"/>
    <s v="Strongly Agree"/>
    <s v="Commitment"/>
    <n v="5"/>
    <n v="100"/>
    <n v="1"/>
    <x v="26"/>
    <x v="2"/>
  </r>
  <r>
    <s v="R016"/>
    <s v="Q028"/>
    <s v="Agree"/>
    <s v="Commitment"/>
    <n v="4"/>
    <n v="80"/>
    <n v="1"/>
    <x v="27"/>
    <x v="2"/>
  </r>
  <r>
    <s v="R016"/>
    <s v="Q029"/>
    <s v="Disagree"/>
    <s v="Call someone to account"/>
    <n v="2"/>
    <n v="40"/>
    <n v="0"/>
    <x v="28"/>
    <x v="2"/>
  </r>
  <r>
    <s v="R016"/>
    <s v="Q030"/>
    <s v="Disagree"/>
    <s v="Call someone to account"/>
    <n v="2"/>
    <n v="40"/>
    <n v="0"/>
    <x v="29"/>
    <x v="2"/>
  </r>
  <r>
    <s v="R016"/>
    <s v="Q031"/>
    <s v="Agree"/>
    <s v="Call someone to account"/>
    <n v="4"/>
    <n v="80"/>
    <n v="1"/>
    <x v="30"/>
    <x v="2"/>
  </r>
  <r>
    <s v="R016"/>
    <s v="Q032"/>
    <s v="Disagree"/>
    <s v="Call someone to account"/>
    <n v="2"/>
    <n v="40"/>
    <n v="0"/>
    <x v="31"/>
    <x v="2"/>
  </r>
  <r>
    <s v="R017"/>
    <s v="Q001"/>
    <s v="Neutral"/>
    <s v="Role Modelling"/>
    <n v="3"/>
    <n v="60"/>
    <n v="0"/>
    <x v="0"/>
    <x v="0"/>
  </r>
  <r>
    <s v="R017"/>
    <s v="Q002"/>
    <s v="Strongly Agree"/>
    <s v="Role Modelling"/>
    <n v="5"/>
    <n v="100"/>
    <n v="1"/>
    <x v="1"/>
    <x v="0"/>
  </r>
  <r>
    <s v="R017"/>
    <s v="Q003"/>
    <s v="Strongly Agree"/>
    <s v="Role Modelling"/>
    <n v="5"/>
    <n v="100"/>
    <n v="1"/>
    <x v="2"/>
    <x v="0"/>
  </r>
  <r>
    <s v="R017"/>
    <s v="Q004"/>
    <s v="Agree"/>
    <s v="Role Modelling"/>
    <n v="4"/>
    <n v="80"/>
    <n v="1"/>
    <x v="3"/>
    <x v="0"/>
  </r>
  <r>
    <s v="R017"/>
    <s v="Q005"/>
    <s v="Disagree"/>
    <s v="Discussability"/>
    <n v="2"/>
    <n v="40"/>
    <n v="0"/>
    <x v="4"/>
    <x v="0"/>
  </r>
  <r>
    <s v="R017"/>
    <s v="Q006"/>
    <s v="Neutral"/>
    <s v="Discussability"/>
    <n v="3"/>
    <n v="60"/>
    <n v="0"/>
    <x v="5"/>
    <x v="0"/>
  </r>
  <r>
    <s v="R017"/>
    <s v="Q007"/>
    <s v="Strongly Agree"/>
    <s v="Discussability"/>
    <n v="5"/>
    <n v="100"/>
    <n v="1"/>
    <x v="6"/>
    <x v="0"/>
  </r>
  <r>
    <s v="R017"/>
    <s v="Q008"/>
    <s v="Agree"/>
    <s v="Discussability"/>
    <n v="4"/>
    <n v="80"/>
    <n v="1"/>
    <x v="7"/>
    <x v="0"/>
  </r>
  <r>
    <s v="R017"/>
    <s v="Q009"/>
    <s v="Disagree"/>
    <s v="Achievability"/>
    <n v="2"/>
    <n v="40"/>
    <n v="0"/>
    <x v="8"/>
    <x v="0"/>
  </r>
  <r>
    <s v="R017"/>
    <s v="Q010"/>
    <s v="Neutral"/>
    <s v="Achievability"/>
    <n v="3"/>
    <n v="60"/>
    <n v="0"/>
    <x v="9"/>
    <x v="0"/>
  </r>
  <r>
    <s v="R017"/>
    <s v="Q011"/>
    <s v="Strongly Agree"/>
    <s v="Achievability"/>
    <n v="5"/>
    <n v="100"/>
    <n v="1"/>
    <x v="10"/>
    <x v="0"/>
  </r>
  <r>
    <s v="R017"/>
    <s v="Q012"/>
    <s v="Strongly Agree"/>
    <s v="Achievability"/>
    <n v="5"/>
    <n v="100"/>
    <n v="1"/>
    <x v="11"/>
    <x v="0"/>
  </r>
  <r>
    <s v="R017"/>
    <s v="Q013"/>
    <s v="Strongly Agree"/>
    <s v="Enforcement"/>
    <n v="5"/>
    <n v="100"/>
    <n v="1"/>
    <x v="12"/>
    <x v="0"/>
  </r>
  <r>
    <s v="R017"/>
    <s v="Q014"/>
    <s v="Strongly Agree"/>
    <s v="Enforcement"/>
    <n v="5"/>
    <n v="100"/>
    <n v="1"/>
    <x v="13"/>
    <x v="0"/>
  </r>
  <r>
    <s v="R017"/>
    <s v="Q015"/>
    <s v="Strongly Agree"/>
    <s v="Enforcement"/>
    <n v="5"/>
    <n v="100"/>
    <n v="1"/>
    <x v="14"/>
    <x v="0"/>
  </r>
  <r>
    <s v="R017"/>
    <s v="Q016"/>
    <s v="Strongly Agree"/>
    <s v="Enforcement"/>
    <n v="5"/>
    <n v="100"/>
    <n v="1"/>
    <x v="15"/>
    <x v="0"/>
  </r>
  <r>
    <s v="R017"/>
    <s v="Q017"/>
    <s v="Strongly Agree"/>
    <s v="Clarity"/>
    <n v="5"/>
    <n v="100"/>
    <n v="1"/>
    <x v="16"/>
    <x v="0"/>
  </r>
  <r>
    <s v="R017"/>
    <s v="Q018"/>
    <s v="Strongly Agree"/>
    <s v="Clarity"/>
    <n v="5"/>
    <n v="100"/>
    <n v="1"/>
    <x v="17"/>
    <x v="0"/>
  </r>
  <r>
    <s v="R017"/>
    <s v="Q019"/>
    <s v="Strongly Agree"/>
    <s v="Clarity"/>
    <n v="5"/>
    <n v="100"/>
    <n v="1"/>
    <x v="18"/>
    <x v="0"/>
  </r>
  <r>
    <s v="R017"/>
    <s v="Q020"/>
    <s v="Strongly Agree"/>
    <s v="Clarity"/>
    <n v="5"/>
    <n v="100"/>
    <n v="1"/>
    <x v="19"/>
    <x v="0"/>
  </r>
  <r>
    <s v="R017"/>
    <s v="Q021"/>
    <s v="Strongly Agree"/>
    <s v="Transparency"/>
    <n v="5"/>
    <n v="100"/>
    <n v="1"/>
    <x v="20"/>
    <x v="0"/>
  </r>
  <r>
    <s v="R017"/>
    <s v="Q022"/>
    <s v="Agree"/>
    <s v="Transparency"/>
    <n v="4"/>
    <n v="80"/>
    <n v="1"/>
    <x v="21"/>
    <x v="0"/>
  </r>
  <r>
    <s v="R017"/>
    <s v="Q023"/>
    <s v="Agree"/>
    <s v="Transparency"/>
    <n v="4"/>
    <n v="80"/>
    <n v="1"/>
    <x v="22"/>
    <x v="0"/>
  </r>
  <r>
    <s v="R017"/>
    <s v="Q024"/>
    <s v="Agree"/>
    <s v="Transparency"/>
    <n v="4"/>
    <n v="80"/>
    <n v="1"/>
    <x v="23"/>
    <x v="0"/>
  </r>
  <r>
    <s v="R017"/>
    <s v="Q025"/>
    <s v="Agree"/>
    <s v="Commitment"/>
    <n v="4"/>
    <n v="80"/>
    <n v="1"/>
    <x v="24"/>
    <x v="0"/>
  </r>
  <r>
    <s v="R017"/>
    <s v="Q026"/>
    <s v="Agree"/>
    <s v="Commitment"/>
    <n v="4"/>
    <n v="80"/>
    <n v="1"/>
    <x v="25"/>
    <x v="0"/>
  </r>
  <r>
    <s v="R017"/>
    <s v="Q027"/>
    <s v="Agree"/>
    <s v="Commitment"/>
    <n v="4"/>
    <n v="80"/>
    <n v="1"/>
    <x v="26"/>
    <x v="0"/>
  </r>
  <r>
    <s v="R017"/>
    <s v="Q028"/>
    <s v="Agree"/>
    <s v="Commitment"/>
    <n v="4"/>
    <n v="80"/>
    <n v="1"/>
    <x v="27"/>
    <x v="0"/>
  </r>
  <r>
    <s v="R017"/>
    <s v="Q029"/>
    <s v="Agree"/>
    <s v="Call someone to account"/>
    <n v="4"/>
    <n v="80"/>
    <n v="1"/>
    <x v="28"/>
    <x v="0"/>
  </r>
  <r>
    <s v="R017"/>
    <s v="Q030"/>
    <s v="Neutral"/>
    <s v="Call someone to account"/>
    <n v="3"/>
    <n v="60"/>
    <n v="0"/>
    <x v="29"/>
    <x v="0"/>
  </r>
  <r>
    <s v="R017"/>
    <s v="Q031"/>
    <s v="Strongly Agree"/>
    <s v="Call someone to account"/>
    <n v="5"/>
    <n v="100"/>
    <n v="1"/>
    <x v="30"/>
    <x v="0"/>
  </r>
  <r>
    <s v="R017"/>
    <s v="Q032"/>
    <s v="Strongly Agree"/>
    <s v="Call someone to account"/>
    <n v="5"/>
    <n v="100"/>
    <n v="1"/>
    <x v="31"/>
    <x v="0"/>
  </r>
  <r>
    <s v="R018"/>
    <s v="Q001"/>
    <s v="Agree"/>
    <s v="Role Modelling"/>
    <n v="4"/>
    <n v="80"/>
    <n v="1"/>
    <x v="0"/>
    <x v="3"/>
  </r>
  <r>
    <s v="R018"/>
    <s v="Q002"/>
    <s v="Agree"/>
    <s v="Role Modelling"/>
    <n v="4"/>
    <n v="80"/>
    <n v="1"/>
    <x v="1"/>
    <x v="3"/>
  </r>
  <r>
    <s v="R018"/>
    <s v="Q003"/>
    <s v="Strongly Agree"/>
    <s v="Role Modelling"/>
    <n v="5"/>
    <n v="100"/>
    <n v="1"/>
    <x v="2"/>
    <x v="3"/>
  </r>
  <r>
    <s v="R018"/>
    <s v="Q004"/>
    <s v="Strongly Agree"/>
    <s v="Role Modelling"/>
    <n v="5"/>
    <n v="100"/>
    <n v="1"/>
    <x v="3"/>
    <x v="3"/>
  </r>
  <r>
    <s v="R018"/>
    <s v="Q005"/>
    <s v="Strongly Agree"/>
    <s v="Discussability"/>
    <n v="5"/>
    <n v="100"/>
    <n v="1"/>
    <x v="4"/>
    <x v="3"/>
  </r>
  <r>
    <s v="R018"/>
    <s v="Q006"/>
    <s v="Strongly Agree"/>
    <s v="Discussability"/>
    <n v="5"/>
    <n v="100"/>
    <n v="1"/>
    <x v="5"/>
    <x v="3"/>
  </r>
  <r>
    <s v="R018"/>
    <s v="Q007"/>
    <s v="Strongly Agree"/>
    <s v="Discussability"/>
    <n v="5"/>
    <n v="100"/>
    <n v="1"/>
    <x v="6"/>
    <x v="3"/>
  </r>
  <r>
    <s v="R018"/>
    <s v="Q008"/>
    <s v="Strongly Agree"/>
    <s v="Discussability"/>
    <n v="5"/>
    <n v="100"/>
    <n v="1"/>
    <x v="7"/>
    <x v="3"/>
  </r>
  <r>
    <s v="R018"/>
    <s v="Q009"/>
    <s v="Strongly Agree"/>
    <s v="Achievability"/>
    <n v="5"/>
    <n v="100"/>
    <n v="1"/>
    <x v="8"/>
    <x v="3"/>
  </r>
  <r>
    <s v="R018"/>
    <s v="Q010"/>
    <s v="Agree"/>
    <s v="Achievability"/>
    <n v="4"/>
    <n v="80"/>
    <n v="1"/>
    <x v="9"/>
    <x v="3"/>
  </r>
  <r>
    <s v="R018"/>
    <s v="Q011"/>
    <s v="Agree"/>
    <s v="Achievability"/>
    <n v="4"/>
    <n v="80"/>
    <n v="1"/>
    <x v="10"/>
    <x v="3"/>
  </r>
  <r>
    <s v="R018"/>
    <s v="Q012"/>
    <s v="Agree"/>
    <s v="Achievability"/>
    <n v="4"/>
    <n v="80"/>
    <n v="1"/>
    <x v="11"/>
    <x v="3"/>
  </r>
  <r>
    <s v="R018"/>
    <s v="Q013"/>
    <s v="Strongly Agree"/>
    <s v="Enforcement"/>
    <n v="5"/>
    <n v="100"/>
    <n v="1"/>
    <x v="12"/>
    <x v="3"/>
  </r>
  <r>
    <s v="R018"/>
    <s v="Q014"/>
    <s v="Agree"/>
    <s v="Enforcement"/>
    <n v="4"/>
    <n v="80"/>
    <n v="1"/>
    <x v="13"/>
    <x v="3"/>
  </r>
  <r>
    <s v="R018"/>
    <s v="Q015"/>
    <s v="Agree"/>
    <s v="Enforcement"/>
    <n v="4"/>
    <n v="80"/>
    <n v="1"/>
    <x v="14"/>
    <x v="3"/>
  </r>
  <r>
    <s v="R018"/>
    <s v="Q016"/>
    <s v="Agree"/>
    <s v="Enforcement"/>
    <n v="4"/>
    <n v="80"/>
    <n v="1"/>
    <x v="15"/>
    <x v="3"/>
  </r>
  <r>
    <s v="R018"/>
    <s v="Q017"/>
    <s v="Agree"/>
    <s v="Clarity"/>
    <n v="4"/>
    <n v="80"/>
    <n v="1"/>
    <x v="16"/>
    <x v="3"/>
  </r>
  <r>
    <s v="R018"/>
    <s v="Q018"/>
    <s v="Agree"/>
    <s v="Clarity"/>
    <n v="4"/>
    <n v="80"/>
    <n v="1"/>
    <x v="17"/>
    <x v="3"/>
  </r>
  <r>
    <s v="R018"/>
    <s v="Q019"/>
    <s v="Agree"/>
    <s v="Clarity"/>
    <n v="4"/>
    <n v="80"/>
    <n v="1"/>
    <x v="18"/>
    <x v="3"/>
  </r>
  <r>
    <s v="R018"/>
    <s v="Q020"/>
    <s v="Agree"/>
    <s v="Clarity"/>
    <n v="4"/>
    <n v="80"/>
    <n v="1"/>
    <x v="19"/>
    <x v="3"/>
  </r>
  <r>
    <s v="R018"/>
    <s v="Q021"/>
    <s v="Agree"/>
    <s v="Transparency"/>
    <n v="4"/>
    <n v="80"/>
    <n v="1"/>
    <x v="20"/>
    <x v="3"/>
  </r>
  <r>
    <s v="R018"/>
    <s v="Q022"/>
    <s v="Neutral"/>
    <s v="Transparency"/>
    <n v="3"/>
    <n v="60"/>
    <n v="0"/>
    <x v="21"/>
    <x v="3"/>
  </r>
  <r>
    <s v="R018"/>
    <s v="Q023"/>
    <s v="Strongly Agree"/>
    <s v="Transparency"/>
    <n v="5"/>
    <n v="100"/>
    <n v="1"/>
    <x v="22"/>
    <x v="3"/>
  </r>
  <r>
    <s v="R018"/>
    <s v="Q024"/>
    <s v="Strongly Agree"/>
    <s v="Transparency"/>
    <n v="5"/>
    <n v="100"/>
    <n v="1"/>
    <x v="23"/>
    <x v="3"/>
  </r>
  <r>
    <s v="R018"/>
    <s v="Q025"/>
    <s v="Agree"/>
    <s v="Commitment"/>
    <n v="4"/>
    <n v="80"/>
    <n v="1"/>
    <x v="24"/>
    <x v="3"/>
  </r>
  <r>
    <s v="R018"/>
    <s v="Q026"/>
    <s v="Agree"/>
    <s v="Commitment"/>
    <n v="4"/>
    <n v="80"/>
    <n v="1"/>
    <x v="25"/>
    <x v="3"/>
  </r>
  <r>
    <s v="R018"/>
    <s v="Q027"/>
    <s v="Strongly Agree"/>
    <s v="Commitment"/>
    <n v="5"/>
    <n v="100"/>
    <n v="1"/>
    <x v="26"/>
    <x v="3"/>
  </r>
  <r>
    <s v="R018"/>
    <s v="Q028"/>
    <s v="Strongly Agree"/>
    <s v="Commitment"/>
    <n v="5"/>
    <n v="100"/>
    <n v="1"/>
    <x v="27"/>
    <x v="3"/>
  </r>
  <r>
    <s v="R018"/>
    <s v="Q029"/>
    <s v="Strongly Agree"/>
    <s v="Call someone to account"/>
    <n v="5"/>
    <n v="100"/>
    <n v="1"/>
    <x v="28"/>
    <x v="3"/>
  </r>
  <r>
    <s v="R018"/>
    <s v="Q030"/>
    <s v="Strongly Agree"/>
    <s v="Call someone to account"/>
    <n v="5"/>
    <n v="100"/>
    <n v="1"/>
    <x v="29"/>
    <x v="3"/>
  </r>
  <r>
    <s v="R018"/>
    <s v="Q031"/>
    <s v="Strongly Agree"/>
    <s v="Call someone to account"/>
    <n v="5"/>
    <n v="100"/>
    <n v="1"/>
    <x v="30"/>
    <x v="3"/>
  </r>
  <r>
    <s v="R018"/>
    <s v="Q032"/>
    <s v="Strongly Agree"/>
    <s v="Call someone to account"/>
    <n v="5"/>
    <n v="100"/>
    <n v="1"/>
    <x v="31"/>
    <x v="3"/>
  </r>
  <r>
    <s v="R019"/>
    <s v="Q001"/>
    <s v="Strongly Agree"/>
    <s v="Role Modelling"/>
    <n v="5"/>
    <n v="100"/>
    <n v="1"/>
    <x v="0"/>
    <x v="4"/>
  </r>
  <r>
    <s v="R019"/>
    <s v="Q002"/>
    <s v="Agree"/>
    <s v="Role Modelling"/>
    <n v="4"/>
    <n v="80"/>
    <n v="1"/>
    <x v="1"/>
    <x v="4"/>
  </r>
  <r>
    <s v="R019"/>
    <s v="Q003"/>
    <s v="Agree"/>
    <s v="Role Modelling"/>
    <n v="4"/>
    <n v="80"/>
    <n v="1"/>
    <x v="2"/>
    <x v="4"/>
  </r>
  <r>
    <s v="R019"/>
    <s v="Q004"/>
    <s v="Agree"/>
    <s v="Role Modelling"/>
    <n v="4"/>
    <n v="80"/>
    <n v="1"/>
    <x v="3"/>
    <x v="4"/>
  </r>
  <r>
    <s v="R019"/>
    <s v="Q005"/>
    <s v="Agree"/>
    <s v="Discussability"/>
    <n v="4"/>
    <n v="80"/>
    <n v="1"/>
    <x v="4"/>
    <x v="4"/>
  </r>
  <r>
    <s v="R019"/>
    <s v="Q006"/>
    <s v="Agree"/>
    <s v="Discussability"/>
    <n v="4"/>
    <n v="80"/>
    <n v="1"/>
    <x v="5"/>
    <x v="4"/>
  </r>
  <r>
    <s v="R019"/>
    <s v="Q007"/>
    <s v="Agree"/>
    <s v="Discussability"/>
    <n v="4"/>
    <n v="80"/>
    <n v="1"/>
    <x v="6"/>
    <x v="4"/>
  </r>
  <r>
    <s v="R019"/>
    <s v="Q008"/>
    <s v="Agree"/>
    <s v="Discussability"/>
    <n v="4"/>
    <n v="80"/>
    <n v="1"/>
    <x v="7"/>
    <x v="4"/>
  </r>
  <r>
    <s v="R019"/>
    <s v="Q009"/>
    <s v="Agree"/>
    <s v="Achievability"/>
    <n v="4"/>
    <n v="80"/>
    <n v="1"/>
    <x v="8"/>
    <x v="4"/>
  </r>
  <r>
    <s v="R019"/>
    <s v="Q010"/>
    <s v="Neutral"/>
    <s v="Achievability"/>
    <n v="3"/>
    <n v="60"/>
    <n v="0"/>
    <x v="9"/>
    <x v="4"/>
  </r>
  <r>
    <s v="R019"/>
    <s v="Q011"/>
    <s v="Strongly Agree"/>
    <s v="Achievability"/>
    <n v="5"/>
    <n v="100"/>
    <n v="1"/>
    <x v="10"/>
    <x v="4"/>
  </r>
  <r>
    <s v="R019"/>
    <s v="Q012"/>
    <s v="Strongly Agree"/>
    <s v="Achievability"/>
    <n v="5"/>
    <n v="100"/>
    <n v="1"/>
    <x v="11"/>
    <x v="4"/>
  </r>
  <r>
    <s v="R019"/>
    <s v="Q013"/>
    <s v="Agree"/>
    <s v="Enforcement"/>
    <n v="4"/>
    <n v="80"/>
    <n v="1"/>
    <x v="12"/>
    <x v="4"/>
  </r>
  <r>
    <s v="R019"/>
    <s v="Q014"/>
    <s v="Agree"/>
    <s v="Enforcement"/>
    <n v="4"/>
    <n v="80"/>
    <n v="1"/>
    <x v="13"/>
    <x v="4"/>
  </r>
  <r>
    <s v="R019"/>
    <s v="Q015"/>
    <s v="Strongly Agree"/>
    <s v="Enforcement"/>
    <n v="5"/>
    <n v="100"/>
    <n v="1"/>
    <x v="14"/>
    <x v="4"/>
  </r>
  <r>
    <s v="R019"/>
    <s v="Q016"/>
    <s v="Strongly Agree"/>
    <s v="Enforcement"/>
    <n v="5"/>
    <n v="100"/>
    <n v="1"/>
    <x v="15"/>
    <x v="4"/>
  </r>
  <r>
    <s v="R019"/>
    <s v="Q017"/>
    <s v="Strongly Agree"/>
    <s v="Clarity"/>
    <n v="5"/>
    <n v="100"/>
    <n v="1"/>
    <x v="16"/>
    <x v="4"/>
  </r>
  <r>
    <s v="R019"/>
    <s v="Q018"/>
    <s v="Strongly Agree"/>
    <s v="Clarity"/>
    <n v="5"/>
    <n v="100"/>
    <n v="1"/>
    <x v="17"/>
    <x v="4"/>
  </r>
  <r>
    <s v="R019"/>
    <s v="Q019"/>
    <s v="Strongly Agree"/>
    <s v="Clarity"/>
    <n v="5"/>
    <n v="100"/>
    <n v="1"/>
    <x v="18"/>
    <x v="4"/>
  </r>
  <r>
    <s v="R019"/>
    <s v="Q020"/>
    <s v="Strongly Agree"/>
    <s v="Clarity"/>
    <n v="5"/>
    <n v="100"/>
    <n v="1"/>
    <x v="19"/>
    <x v="4"/>
  </r>
  <r>
    <s v="R019"/>
    <s v="Q021"/>
    <s v="Strongly Agree"/>
    <s v="Transparency"/>
    <n v="5"/>
    <n v="100"/>
    <n v="1"/>
    <x v="20"/>
    <x v="4"/>
  </r>
  <r>
    <s v="R019"/>
    <s v="Q022"/>
    <s v="Agree"/>
    <s v="Transparency"/>
    <n v="4"/>
    <n v="80"/>
    <n v="1"/>
    <x v="21"/>
    <x v="4"/>
  </r>
  <r>
    <s v="R019"/>
    <s v="Q023"/>
    <s v="Agree"/>
    <s v="Transparency"/>
    <n v="4"/>
    <n v="80"/>
    <n v="1"/>
    <x v="22"/>
    <x v="4"/>
  </r>
  <r>
    <s v="R019"/>
    <s v="Q024"/>
    <s v="Agree"/>
    <s v="Transparency"/>
    <n v="4"/>
    <n v="80"/>
    <n v="1"/>
    <x v="23"/>
    <x v="4"/>
  </r>
  <r>
    <s v="R019"/>
    <s v="Q025"/>
    <s v="Agree"/>
    <s v="Commitment"/>
    <n v="4"/>
    <n v="80"/>
    <n v="1"/>
    <x v="24"/>
    <x v="4"/>
  </r>
  <r>
    <s v="R019"/>
    <s v="Q026"/>
    <s v="Agree"/>
    <s v="Commitment"/>
    <n v="4"/>
    <n v="80"/>
    <n v="1"/>
    <x v="25"/>
    <x v="4"/>
  </r>
  <r>
    <s v="R019"/>
    <s v="Q027"/>
    <s v="Agree"/>
    <s v="Commitment"/>
    <n v="4"/>
    <n v="80"/>
    <n v="1"/>
    <x v="26"/>
    <x v="4"/>
  </r>
  <r>
    <s v="R019"/>
    <s v="Q028"/>
    <s v="Agree"/>
    <s v="Commitment"/>
    <n v="4"/>
    <n v="80"/>
    <n v="1"/>
    <x v="27"/>
    <x v="4"/>
  </r>
  <r>
    <s v="R019"/>
    <s v="Q029"/>
    <s v="Agree"/>
    <s v="Call someone to account"/>
    <n v="4"/>
    <n v="80"/>
    <n v="1"/>
    <x v="28"/>
    <x v="4"/>
  </r>
  <r>
    <s v="R019"/>
    <s v="Q030"/>
    <s v="Neutral"/>
    <s v="Call someone to account"/>
    <n v="3"/>
    <n v="60"/>
    <n v="0"/>
    <x v="29"/>
    <x v="4"/>
  </r>
  <r>
    <s v="R019"/>
    <s v="Q031"/>
    <s v="Strongly Agree"/>
    <s v="Call someone to account"/>
    <n v="5"/>
    <n v="100"/>
    <n v="1"/>
    <x v="30"/>
    <x v="4"/>
  </r>
  <r>
    <s v="R019"/>
    <s v="Q032"/>
    <s v="Strongly Agree"/>
    <s v="Call someone to account"/>
    <n v="5"/>
    <n v="100"/>
    <n v="1"/>
    <x v="31"/>
    <x v="4"/>
  </r>
  <r>
    <s v="R020"/>
    <s v="Q001"/>
    <s v="Agree"/>
    <s v="Role Modelling"/>
    <n v="4"/>
    <n v="80"/>
    <n v="1"/>
    <x v="0"/>
    <x v="3"/>
  </r>
  <r>
    <s v="R020"/>
    <s v="Q002"/>
    <s v="Agree"/>
    <s v="Role Modelling"/>
    <n v="4"/>
    <n v="80"/>
    <n v="1"/>
    <x v="1"/>
    <x v="3"/>
  </r>
  <r>
    <s v="R020"/>
    <s v="Q003"/>
    <s v="Strongly Agree"/>
    <s v="Role Modelling"/>
    <n v="5"/>
    <n v="100"/>
    <n v="1"/>
    <x v="2"/>
    <x v="3"/>
  </r>
  <r>
    <s v="R020"/>
    <s v="Q004"/>
    <s v="Strongly Agree"/>
    <s v="Role Modelling"/>
    <n v="5"/>
    <n v="100"/>
    <n v="1"/>
    <x v="3"/>
    <x v="3"/>
  </r>
  <r>
    <s v="R020"/>
    <s v="Q005"/>
    <s v="Strongly Agree"/>
    <s v="Discussability"/>
    <n v="5"/>
    <n v="100"/>
    <n v="1"/>
    <x v="4"/>
    <x v="3"/>
  </r>
  <r>
    <s v="R020"/>
    <s v="Q006"/>
    <s v="Strongly Agree"/>
    <s v="Discussability"/>
    <n v="5"/>
    <n v="100"/>
    <n v="1"/>
    <x v="5"/>
    <x v="3"/>
  </r>
  <r>
    <s v="R020"/>
    <s v="Q007"/>
    <s v="Strongly Agree"/>
    <s v="Discussability"/>
    <n v="5"/>
    <n v="100"/>
    <n v="1"/>
    <x v="6"/>
    <x v="3"/>
  </r>
  <r>
    <s v="R020"/>
    <s v="Q008"/>
    <s v="Strongly Agree"/>
    <s v="Discussability"/>
    <n v="5"/>
    <n v="100"/>
    <n v="1"/>
    <x v="7"/>
    <x v="3"/>
  </r>
  <r>
    <s v="R020"/>
    <s v="Q009"/>
    <s v="Strongly Agree"/>
    <s v="Achievability"/>
    <n v="5"/>
    <n v="100"/>
    <n v="1"/>
    <x v="8"/>
    <x v="3"/>
  </r>
  <r>
    <s v="R020"/>
    <s v="Q010"/>
    <s v="Agree"/>
    <s v="Achievability"/>
    <n v="4"/>
    <n v="80"/>
    <n v="1"/>
    <x v="9"/>
    <x v="3"/>
  </r>
  <r>
    <s v="R020"/>
    <s v="Q011"/>
    <s v="Agree"/>
    <s v="Achievability"/>
    <n v="4"/>
    <n v="80"/>
    <n v="1"/>
    <x v="10"/>
    <x v="3"/>
  </r>
  <r>
    <s v="R020"/>
    <s v="Q012"/>
    <s v="Agree"/>
    <s v="Achievability"/>
    <n v="4"/>
    <n v="80"/>
    <n v="1"/>
    <x v="11"/>
    <x v="3"/>
  </r>
  <r>
    <s v="R020"/>
    <s v="Q013"/>
    <s v="Agree"/>
    <s v="Enforcement"/>
    <n v="4"/>
    <n v="80"/>
    <n v="1"/>
    <x v="12"/>
    <x v="3"/>
  </r>
  <r>
    <s v="R020"/>
    <s v="Q014"/>
    <s v="Agree"/>
    <s v="Enforcement"/>
    <n v="4"/>
    <n v="80"/>
    <n v="1"/>
    <x v="13"/>
    <x v="3"/>
  </r>
  <r>
    <s v="R020"/>
    <s v="Q015"/>
    <s v="Agree"/>
    <s v="Enforcement"/>
    <n v="4"/>
    <n v="80"/>
    <n v="1"/>
    <x v="14"/>
    <x v="3"/>
  </r>
  <r>
    <s v="R020"/>
    <s v="Q016"/>
    <s v="Agree"/>
    <s v="Enforcement"/>
    <n v="4"/>
    <n v="80"/>
    <n v="1"/>
    <x v="15"/>
    <x v="3"/>
  </r>
  <r>
    <s v="R020"/>
    <s v="Q017"/>
    <s v="Agree"/>
    <s v="Clarity"/>
    <n v="4"/>
    <n v="80"/>
    <n v="1"/>
    <x v="16"/>
    <x v="3"/>
  </r>
  <r>
    <s v="R020"/>
    <s v="Q018"/>
    <s v="Neutral"/>
    <s v="Clarity"/>
    <n v="3"/>
    <n v="60"/>
    <n v="0"/>
    <x v="17"/>
    <x v="3"/>
  </r>
  <r>
    <s v="R020"/>
    <s v="Q019"/>
    <s v="Strongly Agree"/>
    <s v="Clarity"/>
    <n v="5"/>
    <n v="100"/>
    <n v="1"/>
    <x v="18"/>
    <x v="3"/>
  </r>
  <r>
    <s v="R020"/>
    <s v="Q020"/>
    <s v="Strongly Agree"/>
    <s v="Clarity"/>
    <n v="5"/>
    <n v="100"/>
    <n v="1"/>
    <x v="19"/>
    <x v="3"/>
  </r>
  <r>
    <s v="R020"/>
    <s v="Q021"/>
    <s v="Agree"/>
    <s v="Transparency"/>
    <n v="4"/>
    <n v="80"/>
    <n v="1"/>
    <x v="20"/>
    <x v="3"/>
  </r>
  <r>
    <s v="R020"/>
    <s v="Q022"/>
    <s v="Agree"/>
    <s v="Transparency"/>
    <n v="4"/>
    <n v="80"/>
    <n v="1"/>
    <x v="21"/>
    <x v="3"/>
  </r>
  <r>
    <s v="R020"/>
    <s v="Q023"/>
    <s v="Strongly Agree"/>
    <s v="Transparency"/>
    <n v="5"/>
    <n v="100"/>
    <n v="1"/>
    <x v="22"/>
    <x v="3"/>
  </r>
  <r>
    <s v="R020"/>
    <s v="Q024"/>
    <s v="Strongly Agree"/>
    <s v="Transparency"/>
    <n v="5"/>
    <n v="100"/>
    <n v="1"/>
    <x v="23"/>
    <x v="3"/>
  </r>
  <r>
    <s v="R020"/>
    <s v="Q025"/>
    <s v="Strongly Agree"/>
    <s v="Commitment"/>
    <n v="5"/>
    <n v="100"/>
    <n v="1"/>
    <x v="24"/>
    <x v="3"/>
  </r>
  <r>
    <s v="R020"/>
    <s v="Q026"/>
    <s v="Strongly Agree"/>
    <s v="Commitment"/>
    <n v="5"/>
    <n v="100"/>
    <n v="1"/>
    <x v="25"/>
    <x v="3"/>
  </r>
  <r>
    <s v="R020"/>
    <s v="Q027"/>
    <s v="Strongly Agree"/>
    <s v="Commitment"/>
    <n v="5"/>
    <n v="100"/>
    <n v="1"/>
    <x v="26"/>
    <x v="3"/>
  </r>
  <r>
    <s v="R020"/>
    <s v="Q028"/>
    <s v="Strongly Agree"/>
    <s v="Commitment"/>
    <n v="5"/>
    <n v="100"/>
    <n v="1"/>
    <x v="27"/>
    <x v="3"/>
  </r>
  <r>
    <s v="R020"/>
    <s v="Q029"/>
    <s v="Strongly Agree"/>
    <s v="Call someone to account"/>
    <n v="5"/>
    <n v="100"/>
    <n v="1"/>
    <x v="28"/>
    <x v="3"/>
  </r>
  <r>
    <s v="R020"/>
    <s v="Q030"/>
    <s v="Agree"/>
    <s v="Call someone to account"/>
    <n v="4"/>
    <n v="80"/>
    <n v="1"/>
    <x v="29"/>
    <x v="3"/>
  </r>
  <r>
    <s v="R020"/>
    <s v="Q031"/>
    <s v="Agree"/>
    <s v="Call someone to account"/>
    <n v="4"/>
    <n v="80"/>
    <n v="1"/>
    <x v="30"/>
    <x v="3"/>
  </r>
  <r>
    <s v="R020"/>
    <s v="Q032"/>
    <s v="Agree"/>
    <s v="Call someone to account"/>
    <n v="4"/>
    <n v="80"/>
    <n v="1"/>
    <x v="31"/>
    <x v="3"/>
  </r>
  <r>
    <s v="R021"/>
    <s v="Q001"/>
    <s v="Agree"/>
    <s v="Role Modelling"/>
    <n v="4"/>
    <n v="80"/>
    <n v="1"/>
    <x v="0"/>
    <x v="5"/>
  </r>
  <r>
    <s v="R021"/>
    <s v="Q002"/>
    <s v="Agree"/>
    <s v="Role Modelling"/>
    <n v="4"/>
    <n v="80"/>
    <n v="1"/>
    <x v="1"/>
    <x v="5"/>
  </r>
  <r>
    <s v="R021"/>
    <s v="Q003"/>
    <s v="Agree"/>
    <s v="Role Modelling"/>
    <n v="4"/>
    <n v="80"/>
    <n v="1"/>
    <x v="2"/>
    <x v="5"/>
  </r>
  <r>
    <s v="R021"/>
    <s v="Q004"/>
    <s v="Agree"/>
    <s v="Role Modelling"/>
    <n v="4"/>
    <n v="80"/>
    <n v="1"/>
    <x v="3"/>
    <x v="5"/>
  </r>
  <r>
    <s v="R021"/>
    <s v="Q005"/>
    <s v="Agree"/>
    <s v="Discussability"/>
    <n v="4"/>
    <n v="80"/>
    <n v="1"/>
    <x v="4"/>
    <x v="5"/>
  </r>
  <r>
    <s v="R021"/>
    <s v="Q006"/>
    <s v="Neutral"/>
    <s v="Discussability"/>
    <n v="3"/>
    <n v="60"/>
    <n v="0"/>
    <x v="5"/>
    <x v="5"/>
  </r>
  <r>
    <s v="R021"/>
    <s v="Q007"/>
    <s v="Strongly Agree"/>
    <s v="Discussability"/>
    <n v="5"/>
    <n v="100"/>
    <n v="1"/>
    <x v="6"/>
    <x v="5"/>
  </r>
  <r>
    <s v="R021"/>
    <s v="Q008"/>
    <s v="Strongly Agree"/>
    <s v="Discussability"/>
    <n v="5"/>
    <n v="100"/>
    <n v="1"/>
    <x v="7"/>
    <x v="5"/>
  </r>
  <r>
    <s v="R021"/>
    <s v="Q009"/>
    <s v="Agree"/>
    <s v="Achievability"/>
    <n v="4"/>
    <n v="80"/>
    <n v="1"/>
    <x v="8"/>
    <x v="5"/>
  </r>
  <r>
    <s v="R021"/>
    <s v="Q010"/>
    <s v="Agree"/>
    <s v="Achievability"/>
    <n v="4"/>
    <n v="80"/>
    <n v="1"/>
    <x v="9"/>
    <x v="5"/>
  </r>
  <r>
    <s v="R021"/>
    <s v="Q011"/>
    <s v="Strongly Agree"/>
    <s v="Achievability"/>
    <n v="5"/>
    <n v="100"/>
    <n v="1"/>
    <x v="10"/>
    <x v="5"/>
  </r>
  <r>
    <s v="R021"/>
    <s v="Q012"/>
    <s v="Strongly Agree"/>
    <s v="Achievability"/>
    <n v="5"/>
    <n v="100"/>
    <n v="1"/>
    <x v="11"/>
    <x v="5"/>
  </r>
  <r>
    <s v="R021"/>
    <s v="Q013"/>
    <s v="Strongly Agree"/>
    <s v="Enforcement"/>
    <n v="5"/>
    <n v="100"/>
    <n v="1"/>
    <x v="12"/>
    <x v="5"/>
  </r>
  <r>
    <s v="R021"/>
    <s v="Q014"/>
    <s v="Strongly Agree"/>
    <s v="Enforcement"/>
    <n v="5"/>
    <n v="100"/>
    <n v="1"/>
    <x v="13"/>
    <x v="5"/>
  </r>
  <r>
    <s v="R021"/>
    <s v="Q015"/>
    <s v="Strongly Agree"/>
    <s v="Enforcement"/>
    <n v="5"/>
    <n v="100"/>
    <n v="1"/>
    <x v="14"/>
    <x v="5"/>
  </r>
  <r>
    <s v="R021"/>
    <s v="Q016"/>
    <s v="Agree"/>
    <s v="Enforcement"/>
    <n v="4"/>
    <n v="80"/>
    <n v="1"/>
    <x v="15"/>
    <x v="5"/>
  </r>
  <r>
    <s v="R021"/>
    <s v="Q017"/>
    <s v="Disagree"/>
    <s v="Clarity"/>
    <n v="2"/>
    <n v="40"/>
    <n v="0"/>
    <x v="16"/>
    <x v="5"/>
  </r>
  <r>
    <s v="R021"/>
    <s v="Q018"/>
    <s v="Neutral"/>
    <s v="Clarity"/>
    <n v="3"/>
    <n v="60"/>
    <n v="0"/>
    <x v="17"/>
    <x v="5"/>
  </r>
  <r>
    <s v="R021"/>
    <s v="Q019"/>
    <s v="Strongly Agree"/>
    <s v="Clarity"/>
    <n v="5"/>
    <n v="100"/>
    <n v="1"/>
    <x v="18"/>
    <x v="5"/>
  </r>
  <r>
    <s v="R021"/>
    <s v="Q020"/>
    <s v="Agree"/>
    <s v="Clarity"/>
    <n v="4"/>
    <n v="80"/>
    <n v="1"/>
    <x v="19"/>
    <x v="5"/>
  </r>
  <r>
    <s v="R021"/>
    <s v="Q021"/>
    <s v="Disagree"/>
    <s v="Transparency"/>
    <n v="2"/>
    <n v="40"/>
    <n v="0"/>
    <x v="20"/>
    <x v="5"/>
  </r>
  <r>
    <s v="R021"/>
    <s v="Q022"/>
    <s v="Neutral"/>
    <s v="Transparency"/>
    <n v="3"/>
    <n v="60"/>
    <n v="0"/>
    <x v="21"/>
    <x v="5"/>
  </r>
  <r>
    <s v="R021"/>
    <s v="Q023"/>
    <s v="Strongly Agree"/>
    <s v="Transparency"/>
    <n v="5"/>
    <n v="100"/>
    <n v="1"/>
    <x v="22"/>
    <x v="5"/>
  </r>
  <r>
    <s v="R021"/>
    <s v="Q024"/>
    <s v="Strongly Agree"/>
    <s v="Transparency"/>
    <n v="5"/>
    <n v="100"/>
    <n v="1"/>
    <x v="23"/>
    <x v="5"/>
  </r>
  <r>
    <s v="R021"/>
    <s v="Q025"/>
    <s v="Agree"/>
    <s v="Commitment"/>
    <n v="4"/>
    <n v="80"/>
    <n v="1"/>
    <x v="24"/>
    <x v="5"/>
  </r>
  <r>
    <s v="R021"/>
    <s v="Q026"/>
    <s v="Agree"/>
    <s v="Commitment"/>
    <n v="4"/>
    <n v="80"/>
    <n v="1"/>
    <x v="25"/>
    <x v="5"/>
  </r>
  <r>
    <s v="R021"/>
    <s v="Q027"/>
    <s v="Agree"/>
    <s v="Commitment"/>
    <n v="4"/>
    <n v="80"/>
    <n v="1"/>
    <x v="26"/>
    <x v="5"/>
  </r>
  <r>
    <s v="R021"/>
    <s v="Q028"/>
    <s v="Agree"/>
    <s v="Commitment"/>
    <n v="4"/>
    <n v="80"/>
    <n v="1"/>
    <x v="27"/>
    <x v="5"/>
  </r>
  <r>
    <s v="R021"/>
    <s v="Q029"/>
    <s v="Agree"/>
    <s v="Call someone to account"/>
    <n v="4"/>
    <n v="80"/>
    <n v="1"/>
    <x v="28"/>
    <x v="5"/>
  </r>
  <r>
    <s v="R021"/>
    <s v="Q030"/>
    <s v="Strongly Agree"/>
    <s v="Call someone to account"/>
    <n v="5"/>
    <n v="100"/>
    <n v="1"/>
    <x v="29"/>
    <x v="5"/>
  </r>
  <r>
    <s v="R021"/>
    <s v="Q031"/>
    <s v="Agree"/>
    <s v="Call someone to account"/>
    <n v="4"/>
    <n v="80"/>
    <n v="1"/>
    <x v="30"/>
    <x v="5"/>
  </r>
  <r>
    <s v="R021"/>
    <s v="Q032"/>
    <s v="Agree"/>
    <s v="Call someone to account"/>
    <n v="4"/>
    <n v="80"/>
    <n v="1"/>
    <x v="31"/>
    <x v="5"/>
  </r>
  <r>
    <s v="R022"/>
    <s v="Q001"/>
    <s v="Agree"/>
    <s v="Role Modelling"/>
    <n v="4"/>
    <n v="80"/>
    <n v="1"/>
    <x v="0"/>
    <x v="4"/>
  </r>
  <r>
    <s v="R022"/>
    <s v="Q002"/>
    <s v="Agree"/>
    <s v="Role Modelling"/>
    <n v="4"/>
    <n v="80"/>
    <n v="1"/>
    <x v="1"/>
    <x v="4"/>
  </r>
  <r>
    <s v="R022"/>
    <s v="Q003"/>
    <s v="Agree"/>
    <s v="Role Modelling"/>
    <n v="4"/>
    <n v="80"/>
    <n v="1"/>
    <x v="2"/>
    <x v="4"/>
  </r>
  <r>
    <s v="R022"/>
    <s v="Q004"/>
    <s v="Agree"/>
    <s v="Role Modelling"/>
    <n v="4"/>
    <n v="80"/>
    <n v="1"/>
    <x v="3"/>
    <x v="4"/>
  </r>
  <r>
    <s v="R022"/>
    <s v="Q005"/>
    <s v="Agree"/>
    <s v="Discussability"/>
    <n v="4"/>
    <n v="80"/>
    <n v="1"/>
    <x v="4"/>
    <x v="4"/>
  </r>
  <r>
    <s v="R022"/>
    <s v="Q006"/>
    <s v="Agree"/>
    <s v="Discussability"/>
    <n v="4"/>
    <n v="80"/>
    <n v="1"/>
    <x v="5"/>
    <x v="4"/>
  </r>
  <r>
    <s v="R022"/>
    <s v="Q007"/>
    <s v="Neutral"/>
    <s v="Discussability"/>
    <n v="3"/>
    <n v="60"/>
    <n v="0"/>
    <x v="6"/>
    <x v="4"/>
  </r>
  <r>
    <s v="R022"/>
    <s v="Q008"/>
    <s v="Strongly Agree"/>
    <s v="Discussability"/>
    <n v="5"/>
    <n v="100"/>
    <n v="1"/>
    <x v="7"/>
    <x v="4"/>
  </r>
  <r>
    <s v="R022"/>
    <s v="Q009"/>
    <s v="Strongly Agree"/>
    <s v="Achievability"/>
    <n v="5"/>
    <n v="100"/>
    <n v="1"/>
    <x v="8"/>
    <x v="4"/>
  </r>
  <r>
    <s v="R022"/>
    <s v="Q010"/>
    <s v="Agree"/>
    <s v="Achievability"/>
    <n v="4"/>
    <n v="80"/>
    <n v="1"/>
    <x v="9"/>
    <x v="4"/>
  </r>
  <r>
    <s v="R022"/>
    <s v="Q011"/>
    <s v="Agree"/>
    <s v="Achievability"/>
    <n v="4"/>
    <n v="80"/>
    <n v="1"/>
    <x v="10"/>
    <x v="4"/>
  </r>
  <r>
    <s v="R022"/>
    <s v="Q012"/>
    <s v="Disagree"/>
    <s v="Achievability"/>
    <n v="2"/>
    <n v="40"/>
    <n v="0"/>
    <x v="11"/>
    <x v="4"/>
  </r>
  <r>
    <s v="R022"/>
    <s v="Q013"/>
    <s v="Neutral"/>
    <s v="Enforcement"/>
    <n v="3"/>
    <n v="60"/>
    <n v="0"/>
    <x v="12"/>
    <x v="4"/>
  </r>
  <r>
    <s v="R022"/>
    <s v="Q014"/>
    <s v="Strongly Agree"/>
    <s v="Enforcement"/>
    <n v="5"/>
    <n v="100"/>
    <n v="1"/>
    <x v="13"/>
    <x v="4"/>
  </r>
  <r>
    <s v="R022"/>
    <s v="Q015"/>
    <s v="Agree"/>
    <s v="Enforcement"/>
    <n v="4"/>
    <n v="80"/>
    <n v="1"/>
    <x v="14"/>
    <x v="4"/>
  </r>
  <r>
    <s v="R022"/>
    <s v="Q016"/>
    <s v="Disagree"/>
    <s v="Enforcement"/>
    <n v="2"/>
    <n v="40"/>
    <n v="0"/>
    <x v="15"/>
    <x v="4"/>
  </r>
  <r>
    <s v="R022"/>
    <s v="Q017"/>
    <s v="Neutral"/>
    <s v="Clarity"/>
    <n v="3"/>
    <n v="60"/>
    <n v="0"/>
    <x v="16"/>
    <x v="4"/>
  </r>
  <r>
    <s v="R022"/>
    <s v="Q018"/>
    <s v="Strongly Agree"/>
    <s v="Clarity"/>
    <n v="5"/>
    <n v="100"/>
    <n v="1"/>
    <x v="17"/>
    <x v="4"/>
  </r>
  <r>
    <s v="R022"/>
    <s v="Q019"/>
    <s v="Strongly Agree"/>
    <s v="Clarity"/>
    <n v="5"/>
    <n v="100"/>
    <n v="1"/>
    <x v="18"/>
    <x v="4"/>
  </r>
  <r>
    <s v="R022"/>
    <s v="Q020"/>
    <s v="Agree"/>
    <s v="Clarity"/>
    <n v="4"/>
    <n v="80"/>
    <n v="1"/>
    <x v="19"/>
    <x v="4"/>
  </r>
  <r>
    <s v="R022"/>
    <s v="Q021"/>
    <s v="Disagree"/>
    <s v="Transparency"/>
    <n v="2"/>
    <n v="40"/>
    <n v="0"/>
    <x v="20"/>
    <x v="4"/>
  </r>
  <r>
    <s v="R022"/>
    <s v="Q022"/>
    <s v="Neutral"/>
    <s v="Transparency"/>
    <n v="3"/>
    <n v="60"/>
    <n v="0"/>
    <x v="21"/>
    <x v="4"/>
  </r>
  <r>
    <s v="R022"/>
    <s v="Q023"/>
    <s v="Strongly Agree"/>
    <s v="Transparency"/>
    <n v="5"/>
    <n v="100"/>
    <n v="1"/>
    <x v="22"/>
    <x v="4"/>
  </r>
  <r>
    <s v="R022"/>
    <s v="Q024"/>
    <s v="Agree"/>
    <s v="Transparency"/>
    <n v="4"/>
    <n v="80"/>
    <n v="1"/>
    <x v="23"/>
    <x v="4"/>
  </r>
  <r>
    <s v="R022"/>
    <s v="Q025"/>
    <s v="Disagree"/>
    <s v="Commitment"/>
    <n v="2"/>
    <n v="40"/>
    <n v="0"/>
    <x v="24"/>
    <x v="4"/>
  </r>
  <r>
    <s v="R022"/>
    <s v="Q026"/>
    <s v="Neutral"/>
    <s v="Commitment"/>
    <n v="3"/>
    <n v="60"/>
    <n v="0"/>
    <x v="25"/>
    <x v="4"/>
  </r>
  <r>
    <s v="R022"/>
    <s v="Q027"/>
    <s v="Strongly Agree"/>
    <s v="Commitment"/>
    <n v="5"/>
    <n v="100"/>
    <n v="1"/>
    <x v="26"/>
    <x v="4"/>
  </r>
  <r>
    <s v="R022"/>
    <s v="Q028"/>
    <s v="Strongly Agree"/>
    <s v="Commitment"/>
    <n v="5"/>
    <n v="100"/>
    <n v="1"/>
    <x v="27"/>
    <x v="4"/>
  </r>
  <r>
    <s v="R022"/>
    <s v="Q029"/>
    <s v="Agree"/>
    <s v="Call someone to account"/>
    <n v="4"/>
    <n v="80"/>
    <n v="1"/>
    <x v="28"/>
    <x v="4"/>
  </r>
  <r>
    <s v="R022"/>
    <s v="Q030"/>
    <s v="Agree"/>
    <s v="Call someone to account"/>
    <n v="4"/>
    <n v="80"/>
    <n v="1"/>
    <x v="29"/>
    <x v="4"/>
  </r>
  <r>
    <s v="R022"/>
    <s v="Q031"/>
    <s v="Agree"/>
    <s v="Call someone to account"/>
    <n v="4"/>
    <n v="80"/>
    <n v="1"/>
    <x v="30"/>
    <x v="4"/>
  </r>
  <r>
    <s v="R022"/>
    <s v="Q032"/>
    <s v="Agree"/>
    <s v="Call someone to account"/>
    <n v="4"/>
    <n v="80"/>
    <n v="1"/>
    <x v="31"/>
    <x v="4"/>
  </r>
  <r>
    <s v="R023"/>
    <s v="Q001"/>
    <s v="Neutral"/>
    <s v="Role Modelling"/>
    <n v="3"/>
    <n v="60"/>
    <n v="0"/>
    <x v="0"/>
    <x v="5"/>
  </r>
  <r>
    <s v="R023"/>
    <s v="Q002"/>
    <s v="Strongly Agree"/>
    <s v="Role Modelling"/>
    <n v="5"/>
    <n v="100"/>
    <n v="1"/>
    <x v="1"/>
    <x v="5"/>
  </r>
  <r>
    <s v="R023"/>
    <s v="Q003"/>
    <s v="Strongly Agree"/>
    <s v="Role Modelling"/>
    <n v="5"/>
    <n v="100"/>
    <n v="1"/>
    <x v="2"/>
    <x v="5"/>
  </r>
  <r>
    <s v="R023"/>
    <s v="Q004"/>
    <s v="Agree"/>
    <s v="Role Modelling"/>
    <n v="4"/>
    <n v="80"/>
    <n v="1"/>
    <x v="3"/>
    <x v="5"/>
  </r>
  <r>
    <s v="R023"/>
    <s v="Q005"/>
    <s v="Agree"/>
    <s v="Discussability"/>
    <n v="4"/>
    <n v="80"/>
    <n v="1"/>
    <x v="4"/>
    <x v="5"/>
  </r>
  <r>
    <s v="R023"/>
    <s v="Q006"/>
    <s v="Strongly Agree"/>
    <s v="Discussability"/>
    <n v="5"/>
    <n v="100"/>
    <n v="1"/>
    <x v="5"/>
    <x v="5"/>
  </r>
  <r>
    <s v="R023"/>
    <s v="Q007"/>
    <s v="Strongly Agree"/>
    <s v="Discussability"/>
    <n v="5"/>
    <n v="100"/>
    <n v="1"/>
    <x v="6"/>
    <x v="5"/>
  </r>
  <r>
    <s v="R023"/>
    <s v="Q008"/>
    <s v="Strongly Agree"/>
    <s v="Discussability"/>
    <n v="5"/>
    <n v="100"/>
    <n v="1"/>
    <x v="7"/>
    <x v="5"/>
  </r>
  <r>
    <s v="R023"/>
    <s v="Q009"/>
    <s v="Strongly Agree"/>
    <s v="Achievability"/>
    <n v="5"/>
    <n v="100"/>
    <n v="1"/>
    <x v="8"/>
    <x v="5"/>
  </r>
  <r>
    <s v="R023"/>
    <s v="Q010"/>
    <s v="Strongly Agree"/>
    <s v="Achievability"/>
    <n v="5"/>
    <n v="100"/>
    <n v="1"/>
    <x v="9"/>
    <x v="5"/>
  </r>
  <r>
    <s v="R023"/>
    <s v="Q011"/>
    <s v="Agree"/>
    <s v="Achievability"/>
    <n v="4"/>
    <n v="80"/>
    <n v="1"/>
    <x v="10"/>
    <x v="5"/>
  </r>
  <r>
    <s v="R023"/>
    <s v="Q012"/>
    <s v="Disagree"/>
    <s v="Achievability"/>
    <n v="2"/>
    <n v="40"/>
    <n v="0"/>
    <x v="11"/>
    <x v="5"/>
  </r>
  <r>
    <s v="R023"/>
    <s v="Q013"/>
    <s v="Neutral"/>
    <s v="Enforcement"/>
    <n v="3"/>
    <n v="60"/>
    <n v="0"/>
    <x v="12"/>
    <x v="5"/>
  </r>
  <r>
    <s v="R023"/>
    <s v="Q014"/>
    <s v="Strongly Agree"/>
    <s v="Enforcement"/>
    <n v="5"/>
    <n v="100"/>
    <n v="1"/>
    <x v="13"/>
    <x v="5"/>
  </r>
  <r>
    <s v="R023"/>
    <s v="Q015"/>
    <s v="Agree"/>
    <s v="Enforcement"/>
    <n v="4"/>
    <n v="80"/>
    <n v="1"/>
    <x v="14"/>
    <x v="5"/>
  </r>
  <r>
    <s v="R023"/>
    <s v="Q016"/>
    <s v="Disagree"/>
    <s v="Enforcement"/>
    <n v="2"/>
    <n v="40"/>
    <n v="0"/>
    <x v="15"/>
    <x v="5"/>
  </r>
  <r>
    <s v="R023"/>
    <s v="Q017"/>
    <s v="Neutral"/>
    <s v="Clarity"/>
    <n v="3"/>
    <n v="60"/>
    <n v="0"/>
    <x v="16"/>
    <x v="5"/>
  </r>
  <r>
    <s v="R023"/>
    <s v="Q018"/>
    <s v="Strongly Agree"/>
    <s v="Clarity"/>
    <n v="5"/>
    <n v="100"/>
    <n v="1"/>
    <x v="17"/>
    <x v="5"/>
  </r>
  <r>
    <s v="R023"/>
    <s v="Q019"/>
    <s v="Strongly Agree"/>
    <s v="Clarity"/>
    <n v="5"/>
    <n v="100"/>
    <n v="1"/>
    <x v="18"/>
    <x v="5"/>
  </r>
  <r>
    <s v="R023"/>
    <s v="Q020"/>
    <s v="Agree"/>
    <s v="Clarity"/>
    <n v="4"/>
    <n v="80"/>
    <n v="1"/>
    <x v="19"/>
    <x v="5"/>
  </r>
  <r>
    <s v="R023"/>
    <s v="Q021"/>
    <s v="Agree"/>
    <s v="Transparency"/>
    <n v="4"/>
    <n v="80"/>
    <n v="1"/>
    <x v="20"/>
    <x v="5"/>
  </r>
  <r>
    <s v="R023"/>
    <s v="Q022"/>
    <s v="Agree"/>
    <s v="Transparency"/>
    <n v="4"/>
    <n v="80"/>
    <n v="1"/>
    <x v="21"/>
    <x v="5"/>
  </r>
  <r>
    <s v="R023"/>
    <s v="Q023"/>
    <s v="Neutral"/>
    <s v="Transparency"/>
    <n v="3"/>
    <n v="60"/>
    <n v="0"/>
    <x v="22"/>
    <x v="5"/>
  </r>
  <r>
    <s v="R023"/>
    <s v="Q024"/>
    <s v="Strongly Agree"/>
    <s v="Transparency"/>
    <n v="5"/>
    <n v="100"/>
    <n v="1"/>
    <x v="23"/>
    <x v="5"/>
  </r>
  <r>
    <s v="R023"/>
    <s v="Q025"/>
    <s v="Strongly Agree"/>
    <s v="Commitment"/>
    <n v="5"/>
    <n v="100"/>
    <n v="1"/>
    <x v="24"/>
    <x v="5"/>
  </r>
  <r>
    <s v="R023"/>
    <s v="Q026"/>
    <s v="Agree"/>
    <s v="Commitment"/>
    <n v="4"/>
    <n v="80"/>
    <n v="1"/>
    <x v="25"/>
    <x v="5"/>
  </r>
  <r>
    <s v="R023"/>
    <s v="Q027"/>
    <s v="Agree"/>
    <s v="Commitment"/>
    <n v="4"/>
    <n v="80"/>
    <n v="1"/>
    <x v="26"/>
    <x v="5"/>
  </r>
  <r>
    <s v="R023"/>
    <s v="Q028"/>
    <s v="Agree"/>
    <s v="Commitment"/>
    <n v="4"/>
    <n v="80"/>
    <n v="1"/>
    <x v="27"/>
    <x v="5"/>
  </r>
  <r>
    <s v="R023"/>
    <s v="Q029"/>
    <s v="Disagree"/>
    <s v="Call someone to account"/>
    <n v="2"/>
    <n v="40"/>
    <n v="0"/>
    <x v="28"/>
    <x v="5"/>
  </r>
  <r>
    <s v="R023"/>
    <s v="Q030"/>
    <s v="Neutral"/>
    <s v="Call someone to account"/>
    <n v="3"/>
    <n v="60"/>
    <n v="0"/>
    <x v="29"/>
    <x v="5"/>
  </r>
  <r>
    <s v="R023"/>
    <s v="Q031"/>
    <s v="Strongly Agree"/>
    <s v="Call someone to account"/>
    <n v="5"/>
    <n v="100"/>
    <n v="1"/>
    <x v="30"/>
    <x v="5"/>
  </r>
  <r>
    <s v="R023"/>
    <s v="Q032"/>
    <s v="Agree"/>
    <s v="Call someone to account"/>
    <n v="4"/>
    <n v="80"/>
    <n v="1"/>
    <x v="31"/>
    <x v="5"/>
  </r>
  <r>
    <s v="R024"/>
    <s v="Q001"/>
    <s v="Disagree"/>
    <s v="Role Modelling"/>
    <n v="2"/>
    <n v="40"/>
    <n v="0"/>
    <x v="0"/>
    <x v="5"/>
  </r>
  <r>
    <s v="R024"/>
    <s v="Q002"/>
    <s v="Neutral"/>
    <s v="Role Modelling"/>
    <n v="3"/>
    <n v="60"/>
    <n v="0"/>
    <x v="1"/>
    <x v="5"/>
  </r>
  <r>
    <s v="R024"/>
    <s v="Q003"/>
    <s v="Strongly Agree"/>
    <s v="Role Modelling"/>
    <n v="5"/>
    <n v="100"/>
    <n v="1"/>
    <x v="2"/>
    <x v="5"/>
  </r>
  <r>
    <s v="R024"/>
    <s v="Q004"/>
    <s v="Strongly Agree"/>
    <s v="Role Modelling"/>
    <n v="5"/>
    <n v="100"/>
    <n v="1"/>
    <x v="3"/>
    <x v="5"/>
  </r>
  <r>
    <s v="R024"/>
    <s v="Q005"/>
    <s v="Agree"/>
    <s v="Discussability"/>
    <n v="4"/>
    <n v="80"/>
    <n v="1"/>
    <x v="4"/>
    <x v="5"/>
  </r>
  <r>
    <s v="R024"/>
    <s v="Q006"/>
    <s v="Strongly Agree"/>
    <s v="Discussability"/>
    <n v="5"/>
    <n v="100"/>
    <n v="1"/>
    <x v="5"/>
    <x v="5"/>
  </r>
  <r>
    <s v="R024"/>
    <s v="Q007"/>
    <s v="Agree"/>
    <s v="Discussability"/>
    <n v="4"/>
    <n v="80"/>
    <n v="1"/>
    <x v="6"/>
    <x v="5"/>
  </r>
  <r>
    <s v="R024"/>
    <s v="Q008"/>
    <s v="Agree"/>
    <s v="Discussability"/>
    <n v="4"/>
    <n v="80"/>
    <n v="1"/>
    <x v="7"/>
    <x v="5"/>
  </r>
  <r>
    <s v="R024"/>
    <s v="Q009"/>
    <s v="Agree"/>
    <s v="Achievability"/>
    <n v="4"/>
    <n v="80"/>
    <n v="1"/>
    <x v="8"/>
    <x v="5"/>
  </r>
  <r>
    <s v="R024"/>
    <s v="Q010"/>
    <s v="Agree"/>
    <s v="Achievability"/>
    <n v="4"/>
    <n v="80"/>
    <n v="1"/>
    <x v="9"/>
    <x v="5"/>
  </r>
  <r>
    <s v="R024"/>
    <s v="Q011"/>
    <s v="Agree"/>
    <s v="Achievability"/>
    <n v="4"/>
    <n v="80"/>
    <n v="1"/>
    <x v="10"/>
    <x v="5"/>
  </r>
  <r>
    <s v="R024"/>
    <s v="Q012"/>
    <s v="Agree"/>
    <s v="Achievability"/>
    <n v="4"/>
    <n v="80"/>
    <n v="1"/>
    <x v="11"/>
    <x v="5"/>
  </r>
  <r>
    <s v="R024"/>
    <s v="Q013"/>
    <s v="Agree"/>
    <s v="Enforcement"/>
    <n v="4"/>
    <n v="80"/>
    <n v="1"/>
    <x v="12"/>
    <x v="5"/>
  </r>
  <r>
    <s v="R024"/>
    <s v="Q014"/>
    <s v="Agree"/>
    <s v="Enforcement"/>
    <n v="4"/>
    <n v="80"/>
    <n v="1"/>
    <x v="13"/>
    <x v="5"/>
  </r>
  <r>
    <s v="R024"/>
    <s v="Q015"/>
    <s v="Neutral"/>
    <s v="Enforcement"/>
    <n v="3"/>
    <n v="60"/>
    <n v="0"/>
    <x v="14"/>
    <x v="5"/>
  </r>
  <r>
    <s v="R024"/>
    <s v="Q016"/>
    <s v="Strongly Agree"/>
    <s v="Enforcement"/>
    <n v="5"/>
    <n v="100"/>
    <n v="1"/>
    <x v="15"/>
    <x v="5"/>
  </r>
  <r>
    <s v="R024"/>
    <s v="Q017"/>
    <s v="Strongly Agree"/>
    <s v="Clarity"/>
    <n v="5"/>
    <n v="100"/>
    <n v="1"/>
    <x v="16"/>
    <x v="5"/>
  </r>
  <r>
    <s v="R024"/>
    <s v="Q018"/>
    <s v="Agree"/>
    <s v="Clarity"/>
    <n v="4"/>
    <n v="80"/>
    <n v="1"/>
    <x v="17"/>
    <x v="5"/>
  </r>
  <r>
    <s v="R024"/>
    <s v="Q019"/>
    <s v="Agree"/>
    <s v="Clarity"/>
    <n v="4"/>
    <n v="80"/>
    <n v="1"/>
    <x v="18"/>
    <x v="5"/>
  </r>
  <r>
    <s v="R024"/>
    <s v="Q020"/>
    <s v="Strongly Agree"/>
    <s v="Clarity"/>
    <n v="5"/>
    <n v="100"/>
    <n v="1"/>
    <x v="19"/>
    <x v="5"/>
  </r>
  <r>
    <s v="R024"/>
    <s v="Q021"/>
    <s v="Strongly Agree"/>
    <s v="Transparency"/>
    <n v="5"/>
    <n v="100"/>
    <n v="1"/>
    <x v="20"/>
    <x v="5"/>
  </r>
  <r>
    <s v="R024"/>
    <s v="Q022"/>
    <s v="Strongly Agree"/>
    <s v="Transparency"/>
    <n v="5"/>
    <n v="100"/>
    <n v="1"/>
    <x v="21"/>
    <x v="5"/>
  </r>
  <r>
    <s v="R024"/>
    <s v="Q023"/>
    <s v="Agree"/>
    <s v="Transparency"/>
    <n v="4"/>
    <n v="80"/>
    <n v="1"/>
    <x v="22"/>
    <x v="5"/>
  </r>
  <r>
    <s v="R024"/>
    <s v="Q024"/>
    <s v="Disagree"/>
    <s v="Transparency"/>
    <n v="2"/>
    <n v="40"/>
    <n v="0"/>
    <x v="23"/>
    <x v="5"/>
  </r>
  <r>
    <s v="R024"/>
    <s v="Q025"/>
    <s v="Neutral"/>
    <s v="Commitment"/>
    <n v="3"/>
    <n v="60"/>
    <n v="0"/>
    <x v="24"/>
    <x v="5"/>
  </r>
  <r>
    <s v="R024"/>
    <s v="Q026"/>
    <s v="Strongly Agree"/>
    <s v="Commitment"/>
    <n v="5"/>
    <n v="100"/>
    <n v="1"/>
    <x v="25"/>
    <x v="5"/>
  </r>
  <r>
    <s v="R024"/>
    <s v="Q027"/>
    <s v="Agree"/>
    <s v="Commitment"/>
    <n v="4"/>
    <n v="80"/>
    <n v="1"/>
    <x v="26"/>
    <x v="5"/>
  </r>
  <r>
    <s v="R024"/>
    <s v="Q028"/>
    <s v="Disagree"/>
    <s v="Commitment"/>
    <n v="2"/>
    <n v="40"/>
    <n v="0"/>
    <x v="27"/>
    <x v="5"/>
  </r>
  <r>
    <s v="R024"/>
    <s v="Q029"/>
    <s v="Neutral"/>
    <s v="Call someone to account"/>
    <n v="3"/>
    <n v="60"/>
    <n v="0"/>
    <x v="28"/>
    <x v="5"/>
  </r>
  <r>
    <s v="R024"/>
    <s v="Q030"/>
    <s v="Strongly Agree"/>
    <s v="Call someone to account"/>
    <n v="5"/>
    <n v="100"/>
    <n v="1"/>
    <x v="29"/>
    <x v="5"/>
  </r>
  <r>
    <s v="R024"/>
    <s v="Q031"/>
    <s v="Strongly Agree"/>
    <s v="Call someone to account"/>
    <n v="5"/>
    <n v="100"/>
    <n v="1"/>
    <x v="30"/>
    <x v="5"/>
  </r>
  <r>
    <s v="R024"/>
    <s v="Q032"/>
    <s v="Agree"/>
    <s v="Call someone to account"/>
    <n v="4"/>
    <n v="80"/>
    <n v="1"/>
    <x v="31"/>
    <x v="5"/>
  </r>
  <r>
    <s v="R025"/>
    <s v="Q001"/>
    <s v="Agree"/>
    <s v="Role Modelling"/>
    <n v="4"/>
    <n v="80"/>
    <n v="1"/>
    <x v="0"/>
    <x v="1"/>
  </r>
  <r>
    <s v="R025"/>
    <s v="Q002"/>
    <s v="Agree"/>
    <s v="Role Modelling"/>
    <n v="4"/>
    <n v="80"/>
    <n v="1"/>
    <x v="1"/>
    <x v="1"/>
  </r>
  <r>
    <s v="R025"/>
    <s v="Q003"/>
    <s v="Neutral"/>
    <s v="Role Modelling"/>
    <n v="3"/>
    <n v="60"/>
    <n v="0"/>
    <x v="2"/>
    <x v="1"/>
  </r>
  <r>
    <s v="R025"/>
    <s v="Q004"/>
    <s v="Strongly Agree"/>
    <s v="Role Modelling"/>
    <n v="5"/>
    <n v="100"/>
    <n v="1"/>
    <x v="3"/>
    <x v="1"/>
  </r>
  <r>
    <s v="R025"/>
    <s v="Q005"/>
    <s v="Strongly Agree"/>
    <s v="Discussability"/>
    <n v="5"/>
    <n v="100"/>
    <n v="1"/>
    <x v="4"/>
    <x v="1"/>
  </r>
  <r>
    <s v="R025"/>
    <s v="Q006"/>
    <s v="Agree"/>
    <s v="Discussability"/>
    <n v="4"/>
    <n v="80"/>
    <n v="1"/>
    <x v="5"/>
    <x v="1"/>
  </r>
  <r>
    <s v="R025"/>
    <s v="Q007"/>
    <s v="Agree"/>
    <s v="Discussability"/>
    <n v="4"/>
    <n v="80"/>
    <n v="1"/>
    <x v="6"/>
    <x v="1"/>
  </r>
  <r>
    <s v="R025"/>
    <s v="Q008"/>
    <s v="Strongly Agree"/>
    <s v="Discussability"/>
    <n v="5"/>
    <n v="100"/>
    <n v="1"/>
    <x v="7"/>
    <x v="1"/>
  </r>
  <r>
    <s v="R025"/>
    <s v="Q009"/>
    <s v="Strongly Agree"/>
    <s v="Achievability"/>
    <n v="5"/>
    <n v="100"/>
    <n v="1"/>
    <x v="8"/>
    <x v="1"/>
  </r>
  <r>
    <s v="R025"/>
    <s v="Q010"/>
    <s v="Strongly Agree"/>
    <s v="Achievability"/>
    <n v="5"/>
    <n v="100"/>
    <n v="1"/>
    <x v="9"/>
    <x v="1"/>
  </r>
  <r>
    <s v="R025"/>
    <s v="Q011"/>
    <s v="Agree"/>
    <s v="Achievability"/>
    <n v="4"/>
    <n v="80"/>
    <n v="1"/>
    <x v="10"/>
    <x v="1"/>
  </r>
  <r>
    <s v="R025"/>
    <s v="Q012"/>
    <s v="Disagree"/>
    <s v="Achievability"/>
    <n v="2"/>
    <n v="40"/>
    <n v="0"/>
    <x v="11"/>
    <x v="1"/>
  </r>
  <r>
    <s v="R025"/>
    <s v="Q013"/>
    <s v="Neutral"/>
    <s v="Enforcement"/>
    <n v="3"/>
    <n v="60"/>
    <n v="0"/>
    <x v="12"/>
    <x v="1"/>
  </r>
  <r>
    <s v="R025"/>
    <s v="Q014"/>
    <s v="Strongly Agree"/>
    <s v="Enforcement"/>
    <n v="5"/>
    <n v="100"/>
    <n v="1"/>
    <x v="13"/>
    <x v="1"/>
  </r>
  <r>
    <s v="R025"/>
    <s v="Q015"/>
    <s v="Agree"/>
    <s v="Enforcement"/>
    <n v="4"/>
    <n v="80"/>
    <n v="1"/>
    <x v="14"/>
    <x v="1"/>
  </r>
  <r>
    <s v="R025"/>
    <s v="Q016"/>
    <s v="Disagree"/>
    <s v="Enforcement"/>
    <n v="2"/>
    <n v="40"/>
    <n v="0"/>
    <x v="15"/>
    <x v="1"/>
  </r>
  <r>
    <s v="R025"/>
    <s v="Q017"/>
    <s v="Neutral"/>
    <s v="Clarity"/>
    <n v="3"/>
    <n v="60"/>
    <n v="0"/>
    <x v="16"/>
    <x v="1"/>
  </r>
  <r>
    <s v="R025"/>
    <s v="Q018"/>
    <s v="Agree"/>
    <s v="Clarity"/>
    <n v="4"/>
    <n v="80"/>
    <n v="1"/>
    <x v="17"/>
    <x v="1"/>
  </r>
  <r>
    <s v="R025"/>
    <s v="Q019"/>
    <s v="Agree"/>
    <s v="Clarity"/>
    <n v="4"/>
    <n v="80"/>
    <n v="1"/>
    <x v="18"/>
    <x v="1"/>
  </r>
  <r>
    <s v="R025"/>
    <s v="Q020"/>
    <s v="Neutral"/>
    <s v="Clarity"/>
    <n v="3"/>
    <n v="60"/>
    <n v="0"/>
    <x v="19"/>
    <x v="1"/>
  </r>
  <r>
    <s v="R025"/>
    <s v="Q021"/>
    <s v="Strongly Agree"/>
    <s v="Transparency"/>
    <n v="5"/>
    <n v="100"/>
    <n v="1"/>
    <x v="20"/>
    <x v="1"/>
  </r>
  <r>
    <s v="R025"/>
    <s v="Q022"/>
    <s v="Strongly Agree"/>
    <s v="Transparency"/>
    <n v="5"/>
    <n v="100"/>
    <n v="1"/>
    <x v="21"/>
    <x v="1"/>
  </r>
  <r>
    <s v="R025"/>
    <s v="Q023"/>
    <s v="Agree"/>
    <s v="Transparency"/>
    <n v="4"/>
    <n v="80"/>
    <n v="1"/>
    <x v="22"/>
    <x v="1"/>
  </r>
  <r>
    <s v="R025"/>
    <s v="Q024"/>
    <s v="Agree"/>
    <s v="Transparency"/>
    <n v="4"/>
    <n v="80"/>
    <n v="1"/>
    <x v="23"/>
    <x v="1"/>
  </r>
  <r>
    <s v="R025"/>
    <s v="Q025"/>
    <s v="Strongly Agree"/>
    <s v="Commitment"/>
    <n v="5"/>
    <n v="100"/>
    <n v="1"/>
    <x v="24"/>
    <x v="1"/>
  </r>
  <r>
    <s v="R025"/>
    <s v="Q026"/>
    <s v="Strongly Agree"/>
    <s v="Commitment"/>
    <n v="5"/>
    <n v="100"/>
    <n v="1"/>
    <x v="25"/>
    <x v="1"/>
  </r>
  <r>
    <s v="R025"/>
    <s v="Q027"/>
    <s v="Strongly Agree"/>
    <s v="Commitment"/>
    <n v="5"/>
    <n v="100"/>
    <n v="1"/>
    <x v="26"/>
    <x v="1"/>
  </r>
  <r>
    <s v="R025"/>
    <s v="Q028"/>
    <s v="Agree"/>
    <s v="Commitment"/>
    <n v="4"/>
    <n v="80"/>
    <n v="1"/>
    <x v="27"/>
    <x v="1"/>
  </r>
  <r>
    <s v="R025"/>
    <s v="Q029"/>
    <s v="Disagree"/>
    <s v="Call someone to account"/>
    <n v="2"/>
    <n v="40"/>
    <n v="0"/>
    <x v="28"/>
    <x v="1"/>
  </r>
  <r>
    <s v="R025"/>
    <s v="Q030"/>
    <s v="Neutral"/>
    <s v="Call someone to account"/>
    <n v="3"/>
    <n v="60"/>
    <n v="0"/>
    <x v="29"/>
    <x v="1"/>
  </r>
  <r>
    <s v="R025"/>
    <s v="Q031"/>
    <s v="Strongly Agree"/>
    <s v="Call someone to account"/>
    <n v="5"/>
    <n v="100"/>
    <n v="1"/>
    <x v="30"/>
    <x v="1"/>
  </r>
  <r>
    <s v="R025"/>
    <s v="Q032"/>
    <s v="Agree"/>
    <s v="Call someone to account"/>
    <n v="4"/>
    <n v="80"/>
    <n v="1"/>
    <x v="3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98A80C-B326-4666-8216-ABDF80356CD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mension" colHeaderCaption="Functions">
  <location ref="A3:H37" firstHeaderRow="1" firstDataRow="2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3">
        <item x="5"/>
        <item x="27"/>
        <item x="8"/>
        <item x="18"/>
        <item x="16"/>
        <item x="30"/>
        <item x="7"/>
        <item x="20"/>
        <item x="14"/>
        <item x="26"/>
        <item x="31"/>
        <item x="19"/>
        <item x="1"/>
        <item x="22"/>
        <item x="23"/>
        <item x="2"/>
        <item x="0"/>
        <item x="12"/>
        <item x="3"/>
        <item x="24"/>
        <item x="4"/>
        <item x="6"/>
        <item x="13"/>
        <item x="28"/>
        <item x="10"/>
        <item x="11"/>
        <item x="25"/>
        <item x="15"/>
        <item x="29"/>
        <item x="21"/>
        <item x="17"/>
        <item x="9"/>
        <item t="default"/>
      </items>
    </pivotField>
    <pivotField axis="axisCol" showAll="0">
      <items count="7">
        <item x="3"/>
        <item x="1"/>
        <item x="0"/>
        <item x="4"/>
        <item x="2"/>
        <item x="5"/>
        <item t="default"/>
      </items>
    </pivotField>
  </pivotFields>
  <rowFields count="1">
    <field x="7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Dimension x Functions" fld="5" subtotal="average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78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77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J36" totalsRowShown="0">
  <autoFilter ref="A1:J36" xr:uid="{07E202E1-0E25-44FB-B8E1-15CE95099812}"/>
  <tableColumns count="10">
    <tableColumn id="1" xr3:uid="{A7CE1FCE-C47C-4BEA-9B50-B6B67CB572FA}" name="QuestionID" dataDxfId="76"/>
    <tableColumn id="2" xr3:uid="{FBD52A1C-25D3-403B-ABFE-5238C6F534B8}" name="QuestionText" dataDxfId="75"/>
    <tableColumn id="3" xr3:uid="{773F6C55-890C-42C7-B905-125B55DAA19F}" name="SoftControl"/>
    <tableColumn id="4" xr3:uid="{D4C4D6DD-1EC2-47AE-90AD-094AF32F1694}" name="Dimensions" dataDxfId="74"/>
    <tableColumn id="7" xr3:uid="{D8C45546-2B83-4525-AD8B-7F08BFD0F9CA}" name="What it means to your organization" dataDxfId="73"/>
    <tableColumn id="6" xr3:uid="{4F6975E3-B5D9-496C-A5D9-7C637562C603}" name="Business Impact" dataDxfId="72"/>
    <tableColumn id="11" xr3:uid="{46C71245-8CFA-45B6-B2C9-0ED9B5A41569}" name="High Risk Statements" dataDxfId="71"/>
    <tableColumn id="10" xr3:uid="{12F82FC4-E717-4D55-86FA-290E8E0ED246}" name="Med Risk Statements" dataDxfId="70"/>
    <tableColumn id="9" xr3:uid="{63EF26AD-BCA4-423C-98D4-6EC061277808}" name="Low Risk Statements" dataDxfId="69"/>
    <tableColumn id="5" xr3:uid="{409E55C6-4283-453A-86EE-84D451AF8967}" name="Flagged" dataDxfId="6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67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66">
      <calculatedColumnFormula>VLOOKUP(Table7[[#This Row],[QuestionID]], FinalQuestions!$A:$C, 3, FALSE)</calculatedColumnFormula>
    </tableColumn>
    <tableColumn id="5" xr3:uid="{F1806AF6-39F3-42FE-9270-D88B9066EB86}" name="Scores" dataDxfId="65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64">
      <calculatedColumnFormula>Table7[[#This Row],[Scores]] * 20</calculatedColumnFormula>
    </tableColumn>
    <tableColumn id="7" xr3:uid="{761D57DD-CAC1-4DA2-B464-15E608955B61}" name="FavorableFlag" dataDxfId="63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62">
      <calculatedColumnFormula>_xlfn.XLOOKUP(Table7[[#This Row],[QuestionID]], FinalQuestions!$A:$A, FinalQuestions!$D:$D,"")</calculatedColumnFormula>
    </tableColumn>
    <tableColumn id="11" xr3:uid="{8DE9C44C-CBC1-43F6-93ED-AE1B2217804F}" name="Function" dataDxfId="6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87" dataDxfId="86">
  <autoFilter ref="A1:B6" xr:uid="{81A5D8D7-E6D5-4906-94B5-7A1469EA393D}"/>
  <tableColumns count="2">
    <tableColumn id="1" xr3:uid="{0FC7D137-DE61-4BC1-A5D4-9272A02BD637}" name="Metric" dataDxfId="85"/>
    <tableColumn id="2" xr3:uid="{1C115AC8-7146-4AC8-89EA-FEB391AF7A9C}" name="Value" dataDxfId="84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83">
  <autoFilter ref="A72:B80" xr:uid="{898F1B88-DDB7-4115-BA67-F6713A80B807}"/>
  <tableColumns count="2">
    <tableColumn id="1" xr3:uid="{E9FCA38A-39DF-468A-BC78-1434D765F37D}" name="SoftControl" dataDxfId="82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81" headerRowBorderDxfId="80" tableBorderDxfId="79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0" headerRowBorderDxfId="59" tableBorderDxfId="58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57">
  <autoFilter ref="A1:F201" xr:uid="{30C22BE5-74FF-4576-8392-1D4F5082F494}">
    <filterColumn colId="0">
      <filters>
        <filter val="R00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56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55">
      <calculatedColumnFormula>IFERROR(AVERAGEIFS(Responses!$F:$F,Responses!$A:$A,$A2,Responses!$D:$D,$B2),"")</calculatedColumnFormula>
    </tableColumn>
    <tableColumn id="5" xr3:uid="{8E35B410-3B20-4CD1-B647-75BD97ACAE5E}" name="Favorable%" dataDxfId="54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3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2">
  <autoFilter ref="A1:F9" xr:uid="{465ED236-72F2-4989-AB02-0DC2A897E26F}"/>
  <tableColumns count="6">
    <tableColumn id="1" xr3:uid="{6978587E-CBD2-4D67-8FB8-C4984D6963C3}" name="SoftControl" dataDxfId="51"/>
    <tableColumn id="2" xr3:uid="{7A919D1D-F685-4258-B854-4DD48FD56D3C}" name="Avg Scores" dataDxfId="50">
      <calculatedColumnFormula>AVERAGEIF(Responses!$D:$D, A2, Responses!$E:$E)</calculatedColumnFormula>
    </tableColumn>
    <tableColumn id="3" xr3:uid="{DC929F77-7328-4C59-B9A7-D4ADF18CE340}" name="AvgScore100" dataDxfId="49">
      <calculatedColumnFormula>IFERROR(ROUND(AVERAGEIF(Responses!$D:$D, A2, Responses!$F:$F), 0), "")</calculatedColumnFormula>
    </tableColumn>
    <tableColumn id="4" xr3:uid="{349490FB-6F8E-4AF9-8A1C-3425AC161145}" name="Total_Questions" dataDxfId="48">
      <calculatedColumnFormula>COUNTIF(FinalQuestions!C:C, A2)</calculatedColumnFormula>
    </tableColumn>
    <tableColumn id="5" xr3:uid="{9F8AE413-ECCC-48BE-8DA3-38836F6476E7}" name="Favorable%" dataDxfId="47">
      <calculatedColumnFormula>SUMIFS(Responses!G:G, Responses!D:D, A2) / COUNTIFS(Responses!D:D, A2)*100</calculatedColumnFormula>
    </tableColumn>
    <tableColumn id="6" xr3:uid="{2572CD31-D888-4E6F-92E2-F24F31ECFA27}" name="Risk_Level" dataDxfId="46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9:B27" totalsRowShown="0" headerRowDxfId="45" headerRowBorderDxfId="44">
  <autoFilter ref="A19:B27" xr:uid="{029382FB-2B7A-4D35-B1FF-7597045329EB}"/>
  <tableColumns count="2">
    <tableColumn id="1" xr3:uid="{943B5C5E-1D5A-465E-8A5C-FDC47578426A}" name="SoftControl" dataDxfId="43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42">
  <autoFilter ref="A4:G36" xr:uid="{B0B54383-233C-411E-986F-CCD7664741CE}"/>
  <tableColumns count="7">
    <tableColumn id="7" xr3:uid="{406B1151-F800-430A-BCC2-703BE75D50AA}" name="RespondentID" dataDxfId="41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40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D57" totalsRowShown="0" headerRowDxfId="34" headerRowBorderDxfId="33" tableBorderDxfId="32">
  <autoFilter ref="A1:D57" xr:uid="{61CA5A12-A63F-4999-B91A-B707DD72E539}"/>
  <tableColumns count="4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5" xr3:uid="{2FC7B1D1-219C-4371-84E2-E1C1CDAABE3A}" name="When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J36"/>
  <sheetViews>
    <sheetView topLeftCell="F5" zoomScale="69" zoomScaleNormal="86" workbookViewId="0">
      <selection activeCell="B30" sqref="B30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9" customWidth="1"/>
    <col min="5" max="5" width="76" customWidth="1"/>
    <col min="6" max="6" width="86.54296875" customWidth="1"/>
    <col min="7" max="7" width="190.54296875" customWidth="1"/>
    <col min="8" max="8" width="118.90625" customWidth="1"/>
    <col min="9" max="9" width="195.26953125" customWidth="1"/>
    <col min="10" max="10" width="0" hidden="1" customWidth="1"/>
  </cols>
  <sheetData>
    <row r="1" spans="1:10" x14ac:dyDescent="0.35">
      <c r="A1" t="s">
        <v>11</v>
      </c>
      <c r="B1" t="s">
        <v>12</v>
      </c>
      <c r="C1" t="s">
        <v>1</v>
      </c>
      <c r="D1" t="s">
        <v>221</v>
      </c>
      <c r="E1" t="s">
        <v>366</v>
      </c>
      <c r="F1" t="s">
        <v>367</v>
      </c>
      <c r="G1" t="s">
        <v>433</v>
      </c>
      <c r="H1" t="s">
        <v>434</v>
      </c>
      <c r="I1" t="s">
        <v>435</v>
      </c>
      <c r="J1" t="s">
        <v>360</v>
      </c>
    </row>
    <row r="2" spans="1:10" x14ac:dyDescent="0.35">
      <c r="A2" s="10" t="s">
        <v>13</v>
      </c>
      <c r="B2" s="11" t="s">
        <v>546</v>
      </c>
      <c r="C2" s="11" t="s">
        <v>0</v>
      </c>
      <c r="D2" s="7" t="s">
        <v>253</v>
      </c>
      <c r="E2" s="7" t="s">
        <v>432</v>
      </c>
      <c r="F2" s="7" t="s">
        <v>368</v>
      </c>
      <c r="G2" s="7" t="s">
        <v>436</v>
      </c>
      <c r="H2" s="7" t="s">
        <v>437</v>
      </c>
      <c r="I2" s="7" t="s">
        <v>438</v>
      </c>
      <c r="J2" t="s">
        <v>361</v>
      </c>
    </row>
    <row r="3" spans="1:10" ht="15" customHeight="1" x14ac:dyDescent="0.35">
      <c r="A3" s="46" t="s">
        <v>15</v>
      </c>
      <c r="B3" s="5" t="s">
        <v>522</v>
      </c>
      <c r="C3" s="5" t="s">
        <v>0</v>
      </c>
      <c r="D3" s="7" t="s">
        <v>222</v>
      </c>
      <c r="E3" s="7" t="s">
        <v>369</v>
      </c>
      <c r="F3" s="7" t="s">
        <v>370</v>
      </c>
      <c r="G3" s="7" t="s">
        <v>439</v>
      </c>
      <c r="H3" s="7" t="s">
        <v>440</v>
      </c>
      <c r="I3" s="7" t="s">
        <v>441</v>
      </c>
      <c r="J3" t="s">
        <v>362</v>
      </c>
    </row>
    <row r="4" spans="1:10" x14ac:dyDescent="0.35">
      <c r="A4" s="2" t="s">
        <v>17</v>
      </c>
      <c r="B4" s="3" t="s">
        <v>523</v>
      </c>
      <c r="C4" s="3" t="s">
        <v>0</v>
      </c>
      <c r="D4" s="7" t="s">
        <v>223</v>
      </c>
      <c r="E4" s="7" t="s">
        <v>371</v>
      </c>
      <c r="F4" s="7" t="s">
        <v>372</v>
      </c>
      <c r="G4" s="7" t="s">
        <v>442</v>
      </c>
      <c r="H4" s="7" t="s">
        <v>443</v>
      </c>
      <c r="I4" s="7" t="s">
        <v>444</v>
      </c>
      <c r="J4" t="s">
        <v>361</v>
      </c>
    </row>
    <row r="5" spans="1:10" x14ac:dyDescent="0.35">
      <c r="A5" s="46" t="s">
        <v>19</v>
      </c>
      <c r="B5" s="5" t="s">
        <v>20</v>
      </c>
      <c r="C5" s="5" t="s">
        <v>0</v>
      </c>
      <c r="D5" s="7" t="s">
        <v>224</v>
      </c>
      <c r="E5" s="7" t="s">
        <v>373</v>
      </c>
      <c r="F5" s="7" t="s">
        <v>374</v>
      </c>
      <c r="G5" s="7" t="s">
        <v>445</v>
      </c>
      <c r="H5" s="7" t="s">
        <v>446</v>
      </c>
      <c r="I5" s="7" t="s">
        <v>447</v>
      </c>
      <c r="J5" t="s">
        <v>362</v>
      </c>
    </row>
    <row r="6" spans="1:10" x14ac:dyDescent="0.35">
      <c r="A6" s="47" t="s">
        <v>21</v>
      </c>
      <c r="B6" s="3" t="s">
        <v>524</v>
      </c>
      <c r="C6" s="3" t="s">
        <v>117</v>
      </c>
      <c r="D6" s="7" t="s">
        <v>225</v>
      </c>
      <c r="E6" s="7" t="s">
        <v>375</v>
      </c>
      <c r="F6" s="7" t="s">
        <v>376</v>
      </c>
      <c r="G6" s="7" t="s">
        <v>448</v>
      </c>
      <c r="H6" s="7" t="s">
        <v>449</v>
      </c>
      <c r="I6" s="7" t="s">
        <v>450</v>
      </c>
      <c r="J6" s="7" t="s">
        <v>362</v>
      </c>
    </row>
    <row r="7" spans="1:10" x14ac:dyDescent="0.35">
      <c r="A7" s="4" t="s">
        <v>23</v>
      </c>
      <c r="B7" s="5" t="s">
        <v>525</v>
      </c>
      <c r="C7" s="5" t="s">
        <v>117</v>
      </c>
      <c r="D7" s="7" t="s">
        <v>226</v>
      </c>
      <c r="E7" s="7" t="s">
        <v>429</v>
      </c>
      <c r="F7" s="7" t="s">
        <v>377</v>
      </c>
      <c r="G7" s="7" t="s">
        <v>451</v>
      </c>
      <c r="H7" s="7" t="s">
        <v>452</v>
      </c>
      <c r="I7" s="7" t="s">
        <v>453</v>
      </c>
      <c r="J7" t="s">
        <v>361</v>
      </c>
    </row>
    <row r="8" spans="1:10" x14ac:dyDescent="0.35">
      <c r="A8" s="2" t="s">
        <v>25</v>
      </c>
      <c r="B8" s="3" t="s">
        <v>526</v>
      </c>
      <c r="C8" s="3" t="s">
        <v>117</v>
      </c>
      <c r="D8" s="7" t="s">
        <v>227</v>
      </c>
      <c r="E8" s="7" t="s">
        <v>378</v>
      </c>
      <c r="F8" s="7" t="s">
        <v>379</v>
      </c>
      <c r="G8" s="7" t="s">
        <v>454</v>
      </c>
      <c r="H8" s="7" t="s">
        <v>455</v>
      </c>
      <c r="I8" s="7" t="s">
        <v>456</v>
      </c>
      <c r="J8" t="s">
        <v>362</v>
      </c>
    </row>
    <row r="9" spans="1:10" x14ac:dyDescent="0.35">
      <c r="A9" s="4" t="s">
        <v>27</v>
      </c>
      <c r="B9" s="5" t="s">
        <v>527</v>
      </c>
      <c r="C9" s="5" t="s">
        <v>117</v>
      </c>
      <c r="D9" s="7" t="s">
        <v>228</v>
      </c>
      <c r="E9" s="7" t="s">
        <v>380</v>
      </c>
      <c r="F9" s="7" t="s">
        <v>381</v>
      </c>
      <c r="G9" s="7" t="s">
        <v>457</v>
      </c>
      <c r="H9" s="7" t="s">
        <v>458</v>
      </c>
      <c r="I9" s="7" t="s">
        <v>459</v>
      </c>
      <c r="J9" t="s">
        <v>361</v>
      </c>
    </row>
    <row r="10" spans="1:10" x14ac:dyDescent="0.35">
      <c r="A10" s="47" t="s">
        <v>29</v>
      </c>
      <c r="B10" s="3" t="s">
        <v>528</v>
      </c>
      <c r="C10" s="3" t="s">
        <v>3</v>
      </c>
      <c r="D10" s="7" t="s">
        <v>229</v>
      </c>
      <c r="E10" s="7" t="s">
        <v>382</v>
      </c>
      <c r="F10" s="7" t="s">
        <v>383</v>
      </c>
      <c r="G10" s="7" t="s">
        <v>460</v>
      </c>
      <c r="H10" s="7" t="s">
        <v>461</v>
      </c>
      <c r="I10" s="7" t="s">
        <v>462</v>
      </c>
      <c r="J10" t="s">
        <v>362</v>
      </c>
    </row>
    <row r="11" spans="1:10" x14ac:dyDescent="0.35">
      <c r="A11" s="46" t="s">
        <v>31</v>
      </c>
      <c r="B11" s="5" t="s">
        <v>32</v>
      </c>
      <c r="C11" s="5" t="s">
        <v>3</v>
      </c>
      <c r="D11" s="7" t="s">
        <v>230</v>
      </c>
      <c r="E11" s="7" t="s">
        <v>384</v>
      </c>
      <c r="F11" s="7" t="s">
        <v>385</v>
      </c>
      <c r="G11" s="7" t="s">
        <v>463</v>
      </c>
      <c r="H11" s="7" t="s">
        <v>464</v>
      </c>
      <c r="I11" s="7" t="s">
        <v>465</v>
      </c>
      <c r="J11" s="7" t="s">
        <v>362</v>
      </c>
    </row>
    <row r="12" spans="1:10" x14ac:dyDescent="0.35">
      <c r="A12" s="47" t="s">
        <v>33</v>
      </c>
      <c r="B12" s="3" t="s">
        <v>34</v>
      </c>
      <c r="C12" s="3" t="s">
        <v>3</v>
      </c>
      <c r="D12" s="7" t="s">
        <v>231</v>
      </c>
      <c r="E12" s="7" t="s">
        <v>386</v>
      </c>
      <c r="F12" s="7" t="s">
        <v>387</v>
      </c>
      <c r="G12" s="7" t="s">
        <v>466</v>
      </c>
      <c r="H12" s="7" t="s">
        <v>467</v>
      </c>
      <c r="I12" s="7" t="s">
        <v>468</v>
      </c>
      <c r="J12" s="7" t="s">
        <v>362</v>
      </c>
    </row>
    <row r="13" spans="1:10" x14ac:dyDescent="0.35">
      <c r="A13" s="4" t="s">
        <v>35</v>
      </c>
      <c r="B13" s="5" t="s">
        <v>36</v>
      </c>
      <c r="C13" s="5" t="s">
        <v>3</v>
      </c>
      <c r="D13" s="7" t="s">
        <v>232</v>
      </c>
      <c r="E13" s="7" t="s">
        <v>428</v>
      </c>
      <c r="F13" s="7" t="s">
        <v>388</v>
      </c>
      <c r="G13" s="7" t="s">
        <v>469</v>
      </c>
      <c r="H13" s="7" t="s">
        <v>470</v>
      </c>
      <c r="I13" s="7" t="s">
        <v>471</v>
      </c>
      <c r="J13" t="s">
        <v>361</v>
      </c>
    </row>
    <row r="14" spans="1:10" x14ac:dyDescent="0.35">
      <c r="A14" s="2" t="s">
        <v>37</v>
      </c>
      <c r="B14" s="3" t="s">
        <v>529</v>
      </c>
      <c r="C14" s="3" t="s">
        <v>5</v>
      </c>
      <c r="D14" s="7" t="s">
        <v>233</v>
      </c>
      <c r="E14" s="7" t="s">
        <v>389</v>
      </c>
      <c r="F14" s="7" t="s">
        <v>390</v>
      </c>
      <c r="G14" s="7" t="s">
        <v>472</v>
      </c>
      <c r="H14" s="7" t="s">
        <v>473</v>
      </c>
      <c r="I14" s="7" t="s">
        <v>474</v>
      </c>
      <c r="J14" t="s">
        <v>361</v>
      </c>
    </row>
    <row r="15" spans="1:10" x14ac:dyDescent="0.35">
      <c r="A15" s="46" t="s">
        <v>39</v>
      </c>
      <c r="B15" s="5" t="s">
        <v>530</v>
      </c>
      <c r="C15" s="5" t="s">
        <v>5</v>
      </c>
      <c r="D15" s="7" t="s">
        <v>291</v>
      </c>
      <c r="E15" s="7" t="s">
        <v>391</v>
      </c>
      <c r="F15" s="7" t="s">
        <v>392</v>
      </c>
      <c r="G15" s="7" t="s">
        <v>475</v>
      </c>
      <c r="H15" s="7" t="s">
        <v>476</v>
      </c>
      <c r="I15" s="7" t="s">
        <v>477</v>
      </c>
      <c r="J15" t="s">
        <v>362</v>
      </c>
    </row>
    <row r="16" spans="1:10" x14ac:dyDescent="0.35">
      <c r="A16" s="2" t="s">
        <v>41</v>
      </c>
      <c r="B16" t="s">
        <v>531</v>
      </c>
      <c r="C16" s="3" t="s">
        <v>5</v>
      </c>
      <c r="D16" s="7" t="s">
        <v>235</v>
      </c>
      <c r="E16" s="7" t="s">
        <v>393</v>
      </c>
      <c r="F16" s="7" t="s">
        <v>394</v>
      </c>
      <c r="G16" s="7" t="s">
        <v>478</v>
      </c>
      <c r="H16" s="7" t="s">
        <v>479</v>
      </c>
      <c r="I16" s="7" t="s">
        <v>480</v>
      </c>
      <c r="J16" t="s">
        <v>361</v>
      </c>
    </row>
    <row r="17" spans="1:10" x14ac:dyDescent="0.35">
      <c r="A17" s="46" t="s">
        <v>43</v>
      </c>
      <c r="B17" s="5" t="s">
        <v>532</v>
      </c>
      <c r="C17" s="5" t="s">
        <v>5</v>
      </c>
      <c r="D17" s="7" t="s">
        <v>412</v>
      </c>
      <c r="E17" s="7" t="s">
        <v>430</v>
      </c>
      <c r="F17" s="7" t="s">
        <v>431</v>
      </c>
      <c r="G17" s="7" t="s">
        <v>519</v>
      </c>
      <c r="H17" s="7" t="s">
        <v>520</v>
      </c>
      <c r="I17" s="7" t="s">
        <v>521</v>
      </c>
      <c r="J17" s="7" t="s">
        <v>362</v>
      </c>
    </row>
    <row r="18" spans="1:10" x14ac:dyDescent="0.35">
      <c r="A18" s="48" t="s">
        <v>45</v>
      </c>
      <c r="B18" s="3" t="s">
        <v>533</v>
      </c>
      <c r="C18" s="3" t="s">
        <v>7</v>
      </c>
      <c r="D18" s="7" t="s">
        <v>237</v>
      </c>
      <c r="E18" s="7" t="s">
        <v>395</v>
      </c>
      <c r="F18" s="7" t="s">
        <v>427</v>
      </c>
      <c r="G18" s="7" t="s">
        <v>481</v>
      </c>
      <c r="H18" s="7" t="s">
        <v>482</v>
      </c>
      <c r="I18" s="7" t="s">
        <v>483</v>
      </c>
      <c r="J18" t="s">
        <v>361</v>
      </c>
    </row>
    <row r="19" spans="1:10" x14ac:dyDescent="0.35">
      <c r="A19" s="46" t="s">
        <v>47</v>
      </c>
      <c r="B19" s="5" t="s">
        <v>48</v>
      </c>
      <c r="C19" s="5" t="s">
        <v>7</v>
      </c>
      <c r="D19" s="7" t="s">
        <v>238</v>
      </c>
      <c r="E19" s="7" t="s">
        <v>396</v>
      </c>
      <c r="F19" s="7" t="s">
        <v>397</v>
      </c>
      <c r="G19" s="7" t="s">
        <v>484</v>
      </c>
      <c r="H19" s="7" t="s">
        <v>485</v>
      </c>
      <c r="I19" s="7" t="s">
        <v>486</v>
      </c>
      <c r="J19" s="7" t="s">
        <v>362</v>
      </c>
    </row>
    <row r="20" spans="1:10" x14ac:dyDescent="0.35">
      <c r="A20" s="47" t="s">
        <v>49</v>
      </c>
      <c r="B20" t="s">
        <v>534</v>
      </c>
      <c r="C20" s="3" t="s">
        <v>7</v>
      </c>
      <c r="D20" s="7" t="s">
        <v>239</v>
      </c>
      <c r="E20" s="7" t="s">
        <v>398</v>
      </c>
      <c r="F20" s="7" t="s">
        <v>399</v>
      </c>
      <c r="G20" s="7" t="s">
        <v>487</v>
      </c>
      <c r="H20" s="7" t="s">
        <v>488</v>
      </c>
      <c r="I20" s="7" t="s">
        <v>489</v>
      </c>
      <c r="J20" s="7" t="s">
        <v>362</v>
      </c>
    </row>
    <row r="21" spans="1:10" x14ac:dyDescent="0.35">
      <c r="A21" s="4" t="s">
        <v>51</v>
      </c>
      <c r="B21" s="5" t="s">
        <v>535</v>
      </c>
      <c r="C21" s="5" t="s">
        <v>7</v>
      </c>
      <c r="D21" s="7" t="s">
        <v>240</v>
      </c>
      <c r="E21" s="7" t="s">
        <v>400</v>
      </c>
      <c r="F21" s="7" t="s">
        <v>401</v>
      </c>
      <c r="G21" s="7" t="s">
        <v>489</v>
      </c>
      <c r="H21" s="7" t="s">
        <v>490</v>
      </c>
      <c r="I21" s="7" t="s">
        <v>491</v>
      </c>
      <c r="J21" t="s">
        <v>361</v>
      </c>
    </row>
    <row r="22" spans="1:10" x14ac:dyDescent="0.35">
      <c r="A22" s="2" t="s">
        <v>53</v>
      </c>
      <c r="B22" t="s">
        <v>536</v>
      </c>
      <c r="C22" s="3" t="s">
        <v>8</v>
      </c>
      <c r="D22" s="7" t="s">
        <v>545</v>
      </c>
      <c r="E22" s="7" t="s">
        <v>402</v>
      </c>
      <c r="F22" s="7" t="s">
        <v>403</v>
      </c>
      <c r="G22" s="7" t="s">
        <v>492</v>
      </c>
      <c r="H22" s="7" t="s">
        <v>493</v>
      </c>
      <c r="I22" s="7" t="s">
        <v>494</v>
      </c>
      <c r="J22" t="s">
        <v>361</v>
      </c>
    </row>
    <row r="23" spans="1:10" ht="16.5" x14ac:dyDescent="0.35">
      <c r="A23" s="63" t="s">
        <v>55</v>
      </c>
      <c r="B23" s="65" t="s">
        <v>542</v>
      </c>
      <c r="C23" s="5" t="s">
        <v>8</v>
      </c>
      <c r="D23" s="7" t="s">
        <v>547</v>
      </c>
      <c r="E23" s="7" t="s">
        <v>404</v>
      </c>
      <c r="F23" s="7" t="s">
        <v>405</v>
      </c>
      <c r="G23" s="7" t="s">
        <v>550</v>
      </c>
      <c r="H23" s="68" t="s">
        <v>551</v>
      </c>
      <c r="I23" s="68" t="s">
        <v>552</v>
      </c>
      <c r="J23" s="7" t="s">
        <v>362</v>
      </c>
    </row>
    <row r="24" spans="1:10" ht="16.5" x14ac:dyDescent="0.35">
      <c r="A24" s="64" t="s">
        <v>57</v>
      </c>
      <c r="B24" s="65" t="s">
        <v>543</v>
      </c>
      <c r="C24" s="3" t="s">
        <v>8</v>
      </c>
      <c r="D24" s="7" t="s">
        <v>549</v>
      </c>
      <c r="E24" s="7" t="s">
        <v>406</v>
      </c>
      <c r="F24" s="7" t="s">
        <v>407</v>
      </c>
      <c r="G24" s="7" t="s">
        <v>553</v>
      </c>
      <c r="H24" s="68" t="s">
        <v>554</v>
      </c>
      <c r="I24" s="68" t="s">
        <v>555</v>
      </c>
      <c r="J24" s="7" t="s">
        <v>362</v>
      </c>
    </row>
    <row r="25" spans="1:10" ht="16.5" x14ac:dyDescent="0.35">
      <c r="A25" s="63" t="s">
        <v>59</v>
      </c>
      <c r="B25" s="65" t="s">
        <v>544</v>
      </c>
      <c r="C25" s="5" t="s">
        <v>8</v>
      </c>
      <c r="D25" s="7" t="s">
        <v>548</v>
      </c>
      <c r="E25" s="7" t="s">
        <v>408</v>
      </c>
      <c r="F25" s="7" t="s">
        <v>409</v>
      </c>
      <c r="G25" s="7" t="s">
        <v>556</v>
      </c>
      <c r="H25" s="68" t="s">
        <v>557</v>
      </c>
      <c r="I25" s="68" t="s">
        <v>558</v>
      </c>
      <c r="J25" t="s">
        <v>361</v>
      </c>
    </row>
    <row r="26" spans="1:10" x14ac:dyDescent="0.35">
      <c r="A26" s="2" t="s">
        <v>61</v>
      </c>
      <c r="B26" s="3" t="s">
        <v>537</v>
      </c>
      <c r="C26" s="3" t="s">
        <v>9</v>
      </c>
      <c r="D26" s="7" t="s">
        <v>241</v>
      </c>
      <c r="E26" s="7" t="s">
        <v>426</v>
      </c>
      <c r="F26" s="7" t="s">
        <v>425</v>
      </c>
      <c r="G26" s="7" t="s">
        <v>495</v>
      </c>
      <c r="H26" s="7" t="s">
        <v>496</v>
      </c>
      <c r="I26" s="7" t="s">
        <v>497</v>
      </c>
      <c r="J26" t="s">
        <v>361</v>
      </c>
    </row>
    <row r="27" spans="1:10" x14ac:dyDescent="0.35">
      <c r="A27" s="4" t="s">
        <v>63</v>
      </c>
      <c r="B27" t="s">
        <v>538</v>
      </c>
      <c r="C27" s="5" t="s">
        <v>9</v>
      </c>
      <c r="D27" s="7" t="s">
        <v>242</v>
      </c>
      <c r="E27" s="7" t="s">
        <v>424</v>
      </c>
      <c r="F27" s="7" t="s">
        <v>423</v>
      </c>
      <c r="G27" s="7" t="s">
        <v>498</v>
      </c>
      <c r="H27" s="7" t="s">
        <v>499</v>
      </c>
      <c r="I27" s="7" t="s">
        <v>500</v>
      </c>
      <c r="J27" t="s">
        <v>361</v>
      </c>
    </row>
    <row r="28" spans="1:10" x14ac:dyDescent="0.35">
      <c r="A28" s="47" t="s">
        <v>65</v>
      </c>
      <c r="B28" s="3" t="s">
        <v>66</v>
      </c>
      <c r="C28" s="3" t="s">
        <v>9</v>
      </c>
      <c r="D28" s="7" t="s">
        <v>243</v>
      </c>
      <c r="E28" s="7" t="s">
        <v>422</v>
      </c>
      <c r="F28" s="7" t="s">
        <v>421</v>
      </c>
      <c r="G28" s="7" t="s">
        <v>501</v>
      </c>
      <c r="H28" s="7" t="s">
        <v>502</v>
      </c>
      <c r="I28" s="7" t="s">
        <v>503</v>
      </c>
      <c r="J28" t="s">
        <v>361</v>
      </c>
    </row>
    <row r="29" spans="1:10" x14ac:dyDescent="0.35">
      <c r="A29" s="46" t="s">
        <v>67</v>
      </c>
      <c r="B29" t="s">
        <v>539</v>
      </c>
      <c r="C29" s="5" t="s">
        <v>9</v>
      </c>
      <c r="D29" s="7" t="s">
        <v>244</v>
      </c>
      <c r="E29" s="7" t="s">
        <v>420</v>
      </c>
      <c r="F29" s="7" t="s">
        <v>419</v>
      </c>
      <c r="G29" s="7" t="s">
        <v>504</v>
      </c>
      <c r="H29" s="7" t="s">
        <v>505</v>
      </c>
      <c r="I29" s="7" t="s">
        <v>506</v>
      </c>
      <c r="J29" s="7" t="s">
        <v>362</v>
      </c>
    </row>
    <row r="30" spans="1:10" x14ac:dyDescent="0.35">
      <c r="A30" s="2" t="s">
        <v>69</v>
      </c>
      <c r="B30" t="s">
        <v>540</v>
      </c>
      <c r="C30" s="3" t="s">
        <v>10</v>
      </c>
      <c r="D30" s="7" t="s">
        <v>245</v>
      </c>
      <c r="E30" s="7" t="s">
        <v>418</v>
      </c>
      <c r="F30" s="7" t="s">
        <v>417</v>
      </c>
      <c r="G30" s="7" t="s">
        <v>507</v>
      </c>
      <c r="H30" s="7" t="s">
        <v>508</v>
      </c>
      <c r="I30" s="7" t="s">
        <v>509</v>
      </c>
      <c r="J30" t="s">
        <v>361</v>
      </c>
    </row>
    <row r="31" spans="1:10" x14ac:dyDescent="0.35">
      <c r="A31" s="46" t="s">
        <v>71</v>
      </c>
      <c r="B31" s="5" t="s">
        <v>72</v>
      </c>
      <c r="C31" s="5" t="s">
        <v>10</v>
      </c>
      <c r="D31" s="7" t="s">
        <v>246</v>
      </c>
      <c r="E31" s="7" t="s">
        <v>416</v>
      </c>
      <c r="F31" s="7" t="s">
        <v>415</v>
      </c>
      <c r="G31" s="7" t="s">
        <v>510</v>
      </c>
      <c r="H31" s="7" t="s">
        <v>511</v>
      </c>
      <c r="I31" s="7" t="s">
        <v>512</v>
      </c>
      <c r="J31" s="7" t="s">
        <v>362</v>
      </c>
    </row>
    <row r="32" spans="1:10" x14ac:dyDescent="0.35">
      <c r="A32" s="2" t="s">
        <v>73</v>
      </c>
      <c r="B32" s="3" t="s">
        <v>541</v>
      </c>
      <c r="C32" s="3" t="s">
        <v>10</v>
      </c>
      <c r="D32" s="7" t="s">
        <v>247</v>
      </c>
      <c r="E32" s="7" t="s">
        <v>414</v>
      </c>
      <c r="F32" s="7" t="s">
        <v>413</v>
      </c>
      <c r="G32" s="7" t="s">
        <v>513</v>
      </c>
      <c r="H32" s="7" t="s">
        <v>514</v>
      </c>
      <c r="I32" s="7" t="s">
        <v>515</v>
      </c>
      <c r="J32" s="7" t="s">
        <v>362</v>
      </c>
    </row>
    <row r="33" spans="1:10" x14ac:dyDescent="0.35">
      <c r="A33" s="50" t="s">
        <v>75</v>
      </c>
      <c r="B33" s="49" t="s">
        <v>292</v>
      </c>
      <c r="C33" s="3" t="s">
        <v>10</v>
      </c>
      <c r="D33" s="7" t="s">
        <v>293</v>
      </c>
      <c r="E33" s="7" t="s">
        <v>410</v>
      </c>
      <c r="F33" s="7" t="s">
        <v>411</v>
      </c>
      <c r="G33" s="7" t="s">
        <v>516</v>
      </c>
      <c r="H33" s="7" t="s">
        <v>517</v>
      </c>
      <c r="I33" s="7" t="s">
        <v>518</v>
      </c>
      <c r="J33" t="s">
        <v>362</v>
      </c>
    </row>
    <row r="34" spans="1:10" ht="16.5" x14ac:dyDescent="0.35">
      <c r="A34" s="66"/>
      <c r="B34" s="67"/>
      <c r="C34" s="5"/>
      <c r="D34" s="7"/>
      <c r="E34" s="7"/>
      <c r="F34" s="7"/>
      <c r="G34" s="7"/>
      <c r="H34" s="68"/>
      <c r="I34" s="68"/>
    </row>
    <row r="35" spans="1:10" ht="19.5" customHeight="1" x14ac:dyDescent="0.35">
      <c r="A35" s="4"/>
      <c r="B35" s="5"/>
      <c r="E35" s="7"/>
      <c r="F35" s="7"/>
      <c r="G35" s="7"/>
      <c r="H35" s="68"/>
      <c r="I35" s="68"/>
    </row>
    <row r="36" spans="1:10" ht="16.5" x14ac:dyDescent="0.35">
      <c r="A36" s="66"/>
      <c r="B36" s="65"/>
      <c r="D36" s="7"/>
      <c r="E36" s="7"/>
      <c r="F36" s="7"/>
      <c r="G36" s="7"/>
      <c r="H36" s="68"/>
      <c r="I36" s="68"/>
    </row>
  </sheetData>
  <dataValidations count="1">
    <dataValidation type="list" allowBlank="1" sqref="C2:C36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5671-CAFA-4893-965D-A1E8E25D7EAE}">
  <dimension ref="A3:H37"/>
  <sheetViews>
    <sheetView tabSelected="1" topLeftCell="A6" zoomScale="65" workbookViewId="0">
      <selection activeCell="A5" sqref="A5"/>
    </sheetView>
  </sheetViews>
  <sheetFormatPr defaultRowHeight="14.5" x14ac:dyDescent="0.35"/>
  <cols>
    <col min="1" max="1" width="42.1796875" bestFit="1" customWidth="1"/>
    <col min="2" max="2" width="15.90625" bestFit="1" customWidth="1"/>
    <col min="3" max="3" width="8.81640625" bestFit="1" customWidth="1"/>
    <col min="4" max="4" width="7.81640625" bestFit="1" customWidth="1"/>
    <col min="5" max="5" width="6.81640625" bestFit="1" customWidth="1"/>
    <col min="6" max="6" width="10.1796875" bestFit="1" customWidth="1"/>
    <col min="7" max="7" width="5" bestFit="1" customWidth="1"/>
    <col min="8" max="8" width="11.81640625" bestFit="1" customWidth="1"/>
  </cols>
  <sheetData>
    <row r="3" spans="1:8" x14ac:dyDescent="0.35">
      <c r="A3" s="69" t="s">
        <v>560</v>
      </c>
      <c r="B3" s="69" t="s">
        <v>561</v>
      </c>
    </row>
    <row r="4" spans="1:8" x14ac:dyDescent="0.35">
      <c r="A4" s="69" t="s">
        <v>254</v>
      </c>
      <c r="B4" t="s">
        <v>263</v>
      </c>
      <c r="C4" t="s">
        <v>266</v>
      </c>
      <c r="D4" t="s">
        <v>262</v>
      </c>
      <c r="E4" t="s">
        <v>267</v>
      </c>
      <c r="F4" t="s">
        <v>265</v>
      </c>
      <c r="G4" t="s">
        <v>268</v>
      </c>
      <c r="H4" t="s">
        <v>559</v>
      </c>
    </row>
    <row r="5" spans="1:8" x14ac:dyDescent="0.35">
      <c r="A5" s="70" t="s">
        <v>226</v>
      </c>
      <c r="B5" s="71">
        <v>95</v>
      </c>
      <c r="C5" s="71">
        <v>85</v>
      </c>
      <c r="D5" s="71">
        <v>70</v>
      </c>
      <c r="E5" s="71">
        <v>76</v>
      </c>
      <c r="F5" s="71">
        <v>68</v>
      </c>
      <c r="G5" s="71">
        <v>75</v>
      </c>
      <c r="H5" s="71">
        <v>77.692307692307693</v>
      </c>
    </row>
    <row r="6" spans="1:8" x14ac:dyDescent="0.35">
      <c r="A6" s="70" t="s">
        <v>244</v>
      </c>
      <c r="B6" s="71">
        <v>90</v>
      </c>
      <c r="C6" s="71">
        <v>80</v>
      </c>
      <c r="D6" s="71">
        <v>65</v>
      </c>
      <c r="E6" s="71">
        <v>76</v>
      </c>
      <c r="F6" s="71">
        <v>68</v>
      </c>
      <c r="G6" s="71">
        <v>60</v>
      </c>
      <c r="H6" s="71">
        <v>73.07692307692308</v>
      </c>
    </row>
    <row r="7" spans="1:8" x14ac:dyDescent="0.35">
      <c r="A7" s="70" t="s">
        <v>229</v>
      </c>
      <c r="B7" s="71">
        <v>80</v>
      </c>
      <c r="C7" s="71">
        <v>75</v>
      </c>
      <c r="D7" s="71">
        <v>75</v>
      </c>
      <c r="E7" s="71">
        <v>72</v>
      </c>
      <c r="F7" s="71">
        <v>60</v>
      </c>
      <c r="G7" s="71">
        <v>90</v>
      </c>
      <c r="H7" s="71">
        <v>74.615384615384613</v>
      </c>
    </row>
    <row r="8" spans="1:8" x14ac:dyDescent="0.35">
      <c r="A8" s="70" t="s">
        <v>239</v>
      </c>
      <c r="B8" s="71">
        <v>70</v>
      </c>
      <c r="C8" s="71">
        <v>90</v>
      </c>
      <c r="D8" s="71">
        <v>80</v>
      </c>
      <c r="E8" s="71">
        <v>96</v>
      </c>
      <c r="F8" s="71">
        <v>64</v>
      </c>
      <c r="G8" s="71">
        <v>80</v>
      </c>
      <c r="H8" s="71">
        <v>80</v>
      </c>
    </row>
    <row r="9" spans="1:8" x14ac:dyDescent="0.35">
      <c r="A9" s="70" t="s">
        <v>237</v>
      </c>
      <c r="B9" s="71">
        <v>65</v>
      </c>
      <c r="C9" s="71">
        <v>70</v>
      </c>
      <c r="D9" s="71">
        <v>75</v>
      </c>
      <c r="E9" s="71">
        <v>76</v>
      </c>
      <c r="F9" s="71">
        <v>64</v>
      </c>
      <c r="G9" s="71">
        <v>60</v>
      </c>
      <c r="H9" s="71">
        <v>68.461538461538467</v>
      </c>
    </row>
    <row r="10" spans="1:8" x14ac:dyDescent="0.35">
      <c r="A10" s="70" t="s">
        <v>247</v>
      </c>
      <c r="B10" s="71">
        <v>70</v>
      </c>
      <c r="C10" s="71">
        <v>70</v>
      </c>
      <c r="D10" s="71">
        <v>80</v>
      </c>
      <c r="E10" s="71">
        <v>92</v>
      </c>
      <c r="F10" s="71">
        <v>64</v>
      </c>
      <c r="G10" s="71">
        <v>80</v>
      </c>
      <c r="H10" s="71">
        <v>76.15384615384616</v>
      </c>
    </row>
    <row r="11" spans="1:8" x14ac:dyDescent="0.35">
      <c r="A11" s="70" t="s">
        <v>228</v>
      </c>
      <c r="B11" s="71">
        <v>90</v>
      </c>
      <c r="C11" s="71">
        <v>75</v>
      </c>
      <c r="D11" s="71">
        <v>85</v>
      </c>
      <c r="E11" s="71">
        <v>88</v>
      </c>
      <c r="F11" s="71">
        <v>60</v>
      </c>
      <c r="G11" s="71">
        <v>85</v>
      </c>
      <c r="H11" s="71">
        <v>80</v>
      </c>
    </row>
    <row r="12" spans="1:8" x14ac:dyDescent="0.35">
      <c r="A12" s="70" t="s">
        <v>545</v>
      </c>
      <c r="B12" s="71">
        <v>70</v>
      </c>
      <c r="C12" s="71">
        <v>85</v>
      </c>
      <c r="D12" s="71">
        <v>85</v>
      </c>
      <c r="E12" s="71">
        <v>56</v>
      </c>
      <c r="F12" s="71">
        <v>64</v>
      </c>
      <c r="G12" s="71">
        <v>80</v>
      </c>
      <c r="H12" s="71">
        <v>72.307692307692307</v>
      </c>
    </row>
    <row r="13" spans="1:8" x14ac:dyDescent="0.35">
      <c r="A13" s="70" t="s">
        <v>235</v>
      </c>
      <c r="B13" s="71">
        <v>80</v>
      </c>
      <c r="C13" s="71">
        <v>85</v>
      </c>
      <c r="D13" s="71">
        <v>75</v>
      </c>
      <c r="E13" s="71">
        <v>84</v>
      </c>
      <c r="F13" s="71">
        <v>64</v>
      </c>
      <c r="G13" s="71">
        <v>80</v>
      </c>
      <c r="H13" s="71">
        <v>77.692307692307693</v>
      </c>
    </row>
    <row r="14" spans="1:8" x14ac:dyDescent="0.35">
      <c r="A14" s="70" t="s">
        <v>243</v>
      </c>
      <c r="B14" s="71">
        <v>85</v>
      </c>
      <c r="C14" s="71">
        <v>80</v>
      </c>
      <c r="D14" s="71">
        <v>70</v>
      </c>
      <c r="E14" s="71">
        <v>72</v>
      </c>
      <c r="F14" s="71">
        <v>68</v>
      </c>
      <c r="G14" s="71">
        <v>80</v>
      </c>
      <c r="H14" s="71">
        <v>75.384615384615387</v>
      </c>
    </row>
    <row r="15" spans="1:8" x14ac:dyDescent="0.35">
      <c r="A15" s="70" t="s">
        <v>293</v>
      </c>
      <c r="B15" s="71">
        <v>75</v>
      </c>
      <c r="C15" s="71">
        <v>60</v>
      </c>
      <c r="D15" s="71">
        <v>85</v>
      </c>
      <c r="E15" s="71">
        <v>76</v>
      </c>
      <c r="F15" s="71">
        <v>60</v>
      </c>
      <c r="G15" s="71">
        <v>75</v>
      </c>
      <c r="H15" s="71">
        <v>71.538461538461533</v>
      </c>
    </row>
    <row r="16" spans="1:8" x14ac:dyDescent="0.35">
      <c r="A16" s="70" t="s">
        <v>240</v>
      </c>
      <c r="B16" s="71">
        <v>75</v>
      </c>
      <c r="C16" s="71">
        <v>70</v>
      </c>
      <c r="D16" s="71">
        <v>85</v>
      </c>
      <c r="E16" s="71">
        <v>76</v>
      </c>
      <c r="F16" s="71">
        <v>64</v>
      </c>
      <c r="G16" s="71">
        <v>80</v>
      </c>
      <c r="H16" s="71">
        <v>74.615384615384613</v>
      </c>
    </row>
    <row r="17" spans="1:8" x14ac:dyDescent="0.35">
      <c r="A17" s="70" t="s">
        <v>222</v>
      </c>
      <c r="B17" s="71">
        <v>75</v>
      </c>
      <c r="C17" s="71">
        <v>85</v>
      </c>
      <c r="D17" s="71">
        <v>70</v>
      </c>
      <c r="E17" s="71">
        <v>76</v>
      </c>
      <c r="F17" s="71">
        <v>68</v>
      </c>
      <c r="G17" s="71">
        <v>85</v>
      </c>
      <c r="H17" s="71">
        <v>76.15384615384616</v>
      </c>
    </row>
    <row r="18" spans="1:8" x14ac:dyDescent="0.35">
      <c r="A18" s="70" t="s">
        <v>549</v>
      </c>
      <c r="B18" s="71">
        <v>85</v>
      </c>
      <c r="C18" s="71">
        <v>85</v>
      </c>
      <c r="D18" s="71">
        <v>75</v>
      </c>
      <c r="E18" s="71">
        <v>88</v>
      </c>
      <c r="F18" s="71">
        <v>72</v>
      </c>
      <c r="G18" s="71">
        <v>80</v>
      </c>
      <c r="H18" s="71">
        <v>80.769230769230774</v>
      </c>
    </row>
    <row r="19" spans="1:8" x14ac:dyDescent="0.35">
      <c r="A19" s="70" t="s">
        <v>548</v>
      </c>
      <c r="B19" s="71">
        <v>80</v>
      </c>
      <c r="C19" s="71">
        <v>75</v>
      </c>
      <c r="D19" s="71">
        <v>75</v>
      </c>
      <c r="E19" s="71">
        <v>68</v>
      </c>
      <c r="F19" s="71">
        <v>80</v>
      </c>
      <c r="G19" s="71">
        <v>70</v>
      </c>
      <c r="H19" s="71">
        <v>74.615384615384613</v>
      </c>
    </row>
    <row r="20" spans="1:8" x14ac:dyDescent="0.35">
      <c r="A20" s="70" t="s">
        <v>223</v>
      </c>
      <c r="B20" s="71">
        <v>85</v>
      </c>
      <c r="C20" s="71">
        <v>75</v>
      </c>
      <c r="D20" s="71">
        <v>85</v>
      </c>
      <c r="E20" s="71">
        <v>84</v>
      </c>
      <c r="F20" s="71">
        <v>72</v>
      </c>
      <c r="G20" s="71">
        <v>90</v>
      </c>
      <c r="H20" s="71">
        <v>81.538461538461533</v>
      </c>
    </row>
    <row r="21" spans="1:8" x14ac:dyDescent="0.35">
      <c r="A21" s="70" t="s">
        <v>253</v>
      </c>
      <c r="B21" s="71">
        <v>80</v>
      </c>
      <c r="C21" s="71">
        <v>85</v>
      </c>
      <c r="D21" s="71">
        <v>70</v>
      </c>
      <c r="E21" s="71">
        <v>68</v>
      </c>
      <c r="F21" s="71">
        <v>64</v>
      </c>
      <c r="G21" s="71">
        <v>60</v>
      </c>
      <c r="H21" s="71">
        <v>70.769230769230774</v>
      </c>
    </row>
    <row r="22" spans="1:8" x14ac:dyDescent="0.35">
      <c r="A22" s="70" t="s">
        <v>233</v>
      </c>
      <c r="B22" s="71">
        <v>70</v>
      </c>
      <c r="C22" s="71">
        <v>80</v>
      </c>
      <c r="D22" s="71">
        <v>75</v>
      </c>
      <c r="E22" s="71">
        <v>56</v>
      </c>
      <c r="F22" s="71">
        <v>68</v>
      </c>
      <c r="G22" s="71">
        <v>75</v>
      </c>
      <c r="H22" s="71">
        <v>70</v>
      </c>
    </row>
    <row r="23" spans="1:8" x14ac:dyDescent="0.35">
      <c r="A23" s="70" t="s">
        <v>224</v>
      </c>
      <c r="B23" s="71">
        <v>85</v>
      </c>
      <c r="C23" s="71">
        <v>75</v>
      </c>
      <c r="D23" s="71">
        <v>75</v>
      </c>
      <c r="E23" s="71">
        <v>68</v>
      </c>
      <c r="F23" s="71">
        <v>64</v>
      </c>
      <c r="G23" s="71">
        <v>75</v>
      </c>
      <c r="H23" s="71">
        <v>73.07692307692308</v>
      </c>
    </row>
    <row r="24" spans="1:8" x14ac:dyDescent="0.35">
      <c r="A24" s="70" t="s">
        <v>241</v>
      </c>
      <c r="B24" s="71">
        <v>75</v>
      </c>
      <c r="C24" s="71">
        <v>70</v>
      </c>
      <c r="D24" s="71">
        <v>80</v>
      </c>
      <c r="E24" s="71">
        <v>60</v>
      </c>
      <c r="F24" s="71">
        <v>76</v>
      </c>
      <c r="G24" s="71">
        <v>75</v>
      </c>
      <c r="H24" s="71">
        <v>72.307692307692307</v>
      </c>
    </row>
    <row r="25" spans="1:8" x14ac:dyDescent="0.35">
      <c r="A25" s="70" t="s">
        <v>225</v>
      </c>
      <c r="B25" s="71">
        <v>90</v>
      </c>
      <c r="C25" s="71">
        <v>80</v>
      </c>
      <c r="D25" s="71">
        <v>65</v>
      </c>
      <c r="E25" s="71">
        <v>64</v>
      </c>
      <c r="F25" s="71">
        <v>64</v>
      </c>
      <c r="G25" s="71">
        <v>70</v>
      </c>
      <c r="H25" s="71">
        <v>71.538461538461533</v>
      </c>
    </row>
    <row r="26" spans="1:8" x14ac:dyDescent="0.35">
      <c r="A26" s="70" t="s">
        <v>227</v>
      </c>
      <c r="B26" s="71">
        <v>95</v>
      </c>
      <c r="C26" s="71">
        <v>80</v>
      </c>
      <c r="D26" s="71">
        <v>85</v>
      </c>
      <c r="E26" s="71">
        <v>84</v>
      </c>
      <c r="F26" s="71">
        <v>72</v>
      </c>
      <c r="G26" s="71">
        <v>80</v>
      </c>
      <c r="H26" s="71">
        <v>82.307692307692307</v>
      </c>
    </row>
    <row r="27" spans="1:8" x14ac:dyDescent="0.35">
      <c r="A27" s="70" t="s">
        <v>291</v>
      </c>
      <c r="B27" s="71">
        <v>70</v>
      </c>
      <c r="C27" s="71">
        <v>100</v>
      </c>
      <c r="D27" s="71">
        <v>85</v>
      </c>
      <c r="E27" s="71">
        <v>84</v>
      </c>
      <c r="F27" s="71">
        <v>72</v>
      </c>
      <c r="G27" s="71">
        <v>95</v>
      </c>
      <c r="H27" s="71">
        <v>83.84615384615384</v>
      </c>
    </row>
    <row r="28" spans="1:8" x14ac:dyDescent="0.35">
      <c r="A28" s="70" t="s">
        <v>245</v>
      </c>
      <c r="B28" s="71">
        <v>75</v>
      </c>
      <c r="C28" s="71">
        <v>45</v>
      </c>
      <c r="D28" s="71">
        <v>70</v>
      </c>
      <c r="E28" s="71">
        <v>80</v>
      </c>
      <c r="F28" s="71">
        <v>68</v>
      </c>
      <c r="G28" s="71">
        <v>55</v>
      </c>
      <c r="H28" s="71">
        <v>66.15384615384616</v>
      </c>
    </row>
    <row r="29" spans="1:8" x14ac:dyDescent="0.35">
      <c r="A29" s="70" t="s">
        <v>231</v>
      </c>
      <c r="B29" s="71">
        <v>65</v>
      </c>
      <c r="C29" s="71">
        <v>75</v>
      </c>
      <c r="D29" s="71">
        <v>75</v>
      </c>
      <c r="E29" s="71">
        <v>80</v>
      </c>
      <c r="F29" s="71">
        <v>64</v>
      </c>
      <c r="G29" s="71">
        <v>85</v>
      </c>
      <c r="H29" s="71">
        <v>73.84615384615384</v>
      </c>
    </row>
    <row r="30" spans="1:8" x14ac:dyDescent="0.35">
      <c r="A30" s="70" t="s">
        <v>232</v>
      </c>
      <c r="B30" s="71">
        <v>75</v>
      </c>
      <c r="C30" s="71">
        <v>60</v>
      </c>
      <c r="D30" s="71">
        <v>80</v>
      </c>
      <c r="E30" s="71">
        <v>68</v>
      </c>
      <c r="F30" s="71">
        <v>64</v>
      </c>
      <c r="G30" s="71">
        <v>65</v>
      </c>
      <c r="H30" s="71">
        <v>68.461538461538467</v>
      </c>
    </row>
    <row r="31" spans="1:8" x14ac:dyDescent="0.35">
      <c r="A31" s="70" t="s">
        <v>242</v>
      </c>
      <c r="B31" s="71">
        <v>75</v>
      </c>
      <c r="C31" s="71">
        <v>65</v>
      </c>
      <c r="D31" s="71">
        <v>85</v>
      </c>
      <c r="E31" s="71">
        <v>80</v>
      </c>
      <c r="F31" s="71">
        <v>68</v>
      </c>
      <c r="G31" s="71">
        <v>90</v>
      </c>
      <c r="H31" s="71">
        <v>76.92307692307692</v>
      </c>
    </row>
    <row r="32" spans="1:8" x14ac:dyDescent="0.35">
      <c r="A32" s="70" t="s">
        <v>412</v>
      </c>
      <c r="B32" s="71">
        <v>80</v>
      </c>
      <c r="C32" s="71">
        <v>55</v>
      </c>
      <c r="D32" s="71">
        <v>70</v>
      </c>
      <c r="E32" s="71">
        <v>76</v>
      </c>
      <c r="F32" s="71">
        <v>64</v>
      </c>
      <c r="G32" s="71">
        <v>65</v>
      </c>
      <c r="H32" s="71">
        <v>68.461538461538467</v>
      </c>
    </row>
    <row r="33" spans="1:8" x14ac:dyDescent="0.35">
      <c r="A33" s="70" t="s">
        <v>246</v>
      </c>
      <c r="B33" s="71">
        <v>65</v>
      </c>
      <c r="C33" s="71">
        <v>45</v>
      </c>
      <c r="D33" s="71">
        <v>70</v>
      </c>
      <c r="E33" s="71">
        <v>72</v>
      </c>
      <c r="F33" s="71">
        <v>64</v>
      </c>
      <c r="G33" s="71">
        <v>85</v>
      </c>
      <c r="H33" s="71">
        <v>66.92307692307692</v>
      </c>
    </row>
    <row r="34" spans="1:8" x14ac:dyDescent="0.35">
      <c r="A34" s="70" t="s">
        <v>547</v>
      </c>
      <c r="B34" s="71">
        <v>70</v>
      </c>
      <c r="C34" s="71">
        <v>85</v>
      </c>
      <c r="D34" s="71">
        <v>75</v>
      </c>
      <c r="E34" s="71">
        <v>68</v>
      </c>
      <c r="F34" s="71">
        <v>60</v>
      </c>
      <c r="G34" s="71">
        <v>85</v>
      </c>
      <c r="H34" s="71">
        <v>73.07692307692308</v>
      </c>
    </row>
    <row r="35" spans="1:8" x14ac:dyDescent="0.35">
      <c r="A35" s="70" t="s">
        <v>238</v>
      </c>
      <c r="B35" s="71">
        <v>55</v>
      </c>
      <c r="C35" s="71">
        <v>95</v>
      </c>
      <c r="D35" s="71">
        <v>80</v>
      </c>
      <c r="E35" s="71">
        <v>84</v>
      </c>
      <c r="F35" s="71">
        <v>64</v>
      </c>
      <c r="G35" s="71">
        <v>80</v>
      </c>
      <c r="H35" s="71">
        <v>76.15384615384616</v>
      </c>
    </row>
    <row r="36" spans="1:8" x14ac:dyDescent="0.35">
      <c r="A36" s="70" t="s">
        <v>230</v>
      </c>
      <c r="B36" s="71">
        <v>70</v>
      </c>
      <c r="C36" s="71">
        <v>85</v>
      </c>
      <c r="D36" s="71">
        <v>75</v>
      </c>
      <c r="E36" s="71">
        <v>64</v>
      </c>
      <c r="F36" s="71">
        <v>52</v>
      </c>
      <c r="G36" s="71">
        <v>90</v>
      </c>
      <c r="H36" s="71">
        <v>71.538461538461533</v>
      </c>
    </row>
    <row r="37" spans="1:8" x14ac:dyDescent="0.35">
      <c r="A37" s="70" t="s">
        <v>559</v>
      </c>
      <c r="B37" s="71">
        <v>77.03125</v>
      </c>
      <c r="C37" s="71">
        <v>75.78125</v>
      </c>
      <c r="D37" s="71">
        <v>76.5625</v>
      </c>
      <c r="E37" s="71">
        <v>75.375</v>
      </c>
      <c r="F37" s="71">
        <v>65.875</v>
      </c>
      <c r="G37" s="71">
        <v>77.5</v>
      </c>
      <c r="H37" s="71">
        <v>74.375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M833"/>
  <sheetViews>
    <sheetView topLeftCell="E57" zoomScale="64" workbookViewId="0">
      <selection activeCell="F501" sqref="F501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221</v>
      </c>
      <c r="I1" s="7" t="s">
        <v>264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262</v>
      </c>
    </row>
    <row r="3" spans="1:9" x14ac:dyDescent="0.35">
      <c r="A3" t="s">
        <v>89</v>
      </c>
      <c r="B3" t="s">
        <v>15</v>
      </c>
      <c r="C3" t="s">
        <v>6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2</v>
      </c>
      <c r="F3">
        <f>Table7[[#This Row],[Scores]] * 20</f>
        <v>40</v>
      </c>
      <c r="G3">
        <f>IF(OR(Table7[[#This Row],[Response]]="Strongly Agree",Table7[[#This Row],[Response]]="Agree"),1,0)</f>
        <v>0</v>
      </c>
      <c r="H3" t="str">
        <f>_xlfn.XLOOKUP(Table7[[#This Row],[QuestionID]], FinalQuestions!$A:$A, FinalQuestions!$D:$D,"")</f>
        <v>Executive Commitment to Risk Culture</v>
      </c>
      <c r="I3" t="s">
        <v>262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262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262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262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262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262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262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262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262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262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262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262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262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262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Sense of Ownership</v>
      </c>
      <c r="I17" t="s">
        <v>262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262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262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262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262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>Compliance Confidence in team</v>
      </c>
      <c r="I22" t="s">
        <v>262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Transparency in Decision‑Making</v>
      </c>
      <c r="I23" t="s">
        <v>262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Fairness &amp; Equity of Expectations</v>
      </c>
      <c r="I24" t="s">
        <v>262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Leadership Awareness in the team</v>
      </c>
      <c r="I25" t="s">
        <v>262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262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262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262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262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262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262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262</v>
      </c>
    </row>
    <row r="33" spans="1:13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Call someone to account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Consistency of Conduct Enforcement</v>
      </c>
      <c r="I33" t="s">
        <v>262</v>
      </c>
    </row>
    <row r="34" spans="1:13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266</v>
      </c>
    </row>
    <row r="35" spans="1:13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266</v>
      </c>
    </row>
    <row r="36" spans="1:13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266</v>
      </c>
      <c r="M36" t="s">
        <v>122</v>
      </c>
    </row>
    <row r="37" spans="1:13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266</v>
      </c>
    </row>
    <row r="38" spans="1:13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266</v>
      </c>
    </row>
    <row r="39" spans="1:13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266</v>
      </c>
    </row>
    <row r="40" spans="1:13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266</v>
      </c>
    </row>
    <row r="41" spans="1:13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266</v>
      </c>
    </row>
    <row r="42" spans="1:13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266</v>
      </c>
    </row>
    <row r="43" spans="1:13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266</v>
      </c>
    </row>
    <row r="44" spans="1:13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266</v>
      </c>
    </row>
    <row r="45" spans="1:13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266</v>
      </c>
    </row>
    <row r="46" spans="1:13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266</v>
      </c>
    </row>
    <row r="47" spans="1:13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266</v>
      </c>
    </row>
    <row r="48" spans="1:13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266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Sense of Ownership</v>
      </c>
      <c r="I49" t="s">
        <v>266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266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266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266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266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>Compliance Confidence in team</v>
      </c>
      <c r="I54" t="s">
        <v>266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Transparency in Decision‑Making</v>
      </c>
      <c r="I55" t="s">
        <v>266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Fairness &amp; Equity of Expectations</v>
      </c>
      <c r="I56" t="s">
        <v>266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Leadership Awareness in the team</v>
      </c>
      <c r="I57" t="s">
        <v>266</v>
      </c>
    </row>
    <row r="58" spans="1:9" x14ac:dyDescent="0.35">
      <c r="A58" t="s">
        <v>90</v>
      </c>
      <c r="B58" t="s">
        <v>61</v>
      </c>
      <c r="C58" t="s">
        <v>4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3</v>
      </c>
      <c r="F58">
        <f>Table7[[#This Row],[Scores]] * 20</f>
        <v>60</v>
      </c>
      <c r="G58">
        <f>IF(OR(Table7[[#This Row],[Response]]="Strongly Agree",Table7[[#This Row],[Response]]="Agree"),1,0)</f>
        <v>0</v>
      </c>
      <c r="H58" t="str">
        <f>_xlfn.XLOOKUP(Table7[[#This Row],[QuestionID]], FinalQuestions!$A:$A, FinalQuestions!$D:$D,"")</f>
        <v>Motivation for Risk Ownership</v>
      </c>
      <c r="I58" t="s">
        <v>266</v>
      </c>
    </row>
    <row r="59" spans="1:9" x14ac:dyDescent="0.35">
      <c r="A59" t="s">
        <v>90</v>
      </c>
      <c r="B59" t="s">
        <v>63</v>
      </c>
      <c r="C59" t="s">
        <v>4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3</v>
      </c>
      <c r="F59">
        <f>Table7[[#This Row],[Scores]] * 20</f>
        <v>60</v>
      </c>
      <c r="G59">
        <f>IF(OR(Table7[[#This Row],[Response]]="Strongly Agree",Table7[[#This Row],[Response]]="Agree"),1,0)</f>
        <v>0</v>
      </c>
      <c r="H59" t="str">
        <f>_xlfn.XLOOKUP(Table7[[#This Row],[QuestionID]], FinalQuestions!$A:$A, FinalQuestions!$D:$D,"")</f>
        <v>Sense of Belonging to the Organization</v>
      </c>
      <c r="I59" t="s">
        <v>266</v>
      </c>
    </row>
    <row r="60" spans="1:9" x14ac:dyDescent="0.35">
      <c r="A60" t="s">
        <v>90</v>
      </c>
      <c r="B60" t="s">
        <v>65</v>
      </c>
      <c r="C60" t="s">
        <v>4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3</v>
      </c>
      <c r="F60">
        <f>Table7[[#This Row],[Scores]] * 20</f>
        <v>60</v>
      </c>
      <c r="G60">
        <f>IF(OR(Table7[[#This Row],[Response]]="Strongly Agree",Table7[[#This Row],[Response]]="Agree"),1,0)</f>
        <v>0</v>
      </c>
      <c r="H60" t="str">
        <f>_xlfn.XLOOKUP(Table7[[#This Row],[QuestionID]], FinalQuestions!$A:$A, FinalQuestions!$D:$D,"")</f>
        <v>Consideration of Impact on Others</v>
      </c>
      <c r="I60" t="s">
        <v>266</v>
      </c>
    </row>
    <row r="61" spans="1:9" x14ac:dyDescent="0.35">
      <c r="A61" t="s">
        <v>90</v>
      </c>
      <c r="B61" t="s">
        <v>67</v>
      </c>
      <c r="C61" t="s">
        <v>4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3</v>
      </c>
      <c r="F61">
        <f>Table7[[#This Row],[Scores]] * 20</f>
        <v>60</v>
      </c>
      <c r="G61">
        <f>IF(OR(Table7[[#This Row],[Response]]="Strongly Agree",Table7[[#This Row],[Response]]="Agree"),1,0)</f>
        <v>0</v>
      </c>
      <c r="H61" t="str">
        <f>_xlfn.XLOOKUP(Table7[[#This Row],[QuestionID]], FinalQuestions!$A:$A, FinalQuestions!$D:$D,"")</f>
        <v>Accountability for Risk Actions</v>
      </c>
      <c r="I61" t="s">
        <v>266</v>
      </c>
    </row>
    <row r="62" spans="1:9" x14ac:dyDescent="0.35">
      <c r="A62" t="s">
        <v>90</v>
      </c>
      <c r="B62" t="s">
        <v>69</v>
      </c>
      <c r="C62" t="s">
        <v>4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3</v>
      </c>
      <c r="F62">
        <f>Table7[[#This Row],[Scores]] * 20</f>
        <v>60</v>
      </c>
      <c r="G62">
        <f>IF(OR(Table7[[#This Row],[Response]]="Strongly Agree",Table7[[#This Row],[Response]]="Agree"),1,0)</f>
        <v>0</v>
      </c>
      <c r="H62" t="str">
        <f>_xlfn.XLOOKUP(Table7[[#This Row],[QuestionID]], FinalQuestions!$A:$A, FinalQuestions!$D:$D,"")</f>
        <v xml:space="preserve">Peer to peer Accountability </v>
      </c>
      <c r="I62" t="s">
        <v>266</v>
      </c>
    </row>
    <row r="63" spans="1:9" x14ac:dyDescent="0.35">
      <c r="A63" t="s">
        <v>90</v>
      </c>
      <c r="B63" t="s">
        <v>71</v>
      </c>
      <c r="C63" t="s">
        <v>4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3</v>
      </c>
      <c r="F63">
        <f>Table7[[#This Row],[Scores]] * 20</f>
        <v>60</v>
      </c>
      <c r="G63">
        <f>IF(OR(Table7[[#This Row],[Response]]="Strongly Agree",Table7[[#This Row],[Response]]="Agree"),1,0)</f>
        <v>0</v>
      </c>
      <c r="H63" t="str">
        <f>_xlfn.XLOOKUP(Table7[[#This Row],[QuestionID]], FinalQuestions!$A:$A, FinalQuestions!$D:$D,"")</f>
        <v>Timely Resolution of Accountability Issues</v>
      </c>
      <c r="I63" t="s">
        <v>266</v>
      </c>
    </row>
    <row r="64" spans="1:9" x14ac:dyDescent="0.35">
      <c r="A64" t="s">
        <v>90</v>
      </c>
      <c r="B64" t="s">
        <v>73</v>
      </c>
      <c r="C64" t="s">
        <v>4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3</v>
      </c>
      <c r="F64">
        <f>Table7[[#This Row],[Scores]] * 20</f>
        <v>60</v>
      </c>
      <c r="G64">
        <f>IF(OR(Table7[[#This Row],[Response]]="Strongly Agree",Table7[[#This Row],[Response]]="Agree"),1,0)</f>
        <v>0</v>
      </c>
      <c r="H64" t="str">
        <f>_xlfn.XLOOKUP(Table7[[#This Row],[QuestionID]], FinalQuestions!$A:$A, FinalQuestions!$D:$D,"")</f>
        <v>Comfort for Reporting Non‑Compliance.</v>
      </c>
      <c r="I64" t="s">
        <v>266</v>
      </c>
    </row>
    <row r="65" spans="1:9" x14ac:dyDescent="0.35">
      <c r="A65" t="s">
        <v>90</v>
      </c>
      <c r="B65" t="s">
        <v>75</v>
      </c>
      <c r="C65" t="s">
        <v>4</v>
      </c>
      <c r="D65" t="str">
        <f>VLOOKUP(Table7[[#This Row],[QuestionID]], FinalQuestions!$A:$C, 3, FALSE)</f>
        <v>Call someone to account</v>
      </c>
      <c r="E65">
        <f>IF(Table7[[#This Row],[Response]]="","",CHOOSE(MATCH(Table7[[#This Row],[Response]],{"Strongly Agree","Agree","Neutral","Disagree","Strongly Disagree","Not Applicable"},0),5,4,3,2,1,""))</f>
        <v>3</v>
      </c>
      <c r="F65">
        <f>Table7[[#This Row],[Scores]] * 20</f>
        <v>60</v>
      </c>
      <c r="G65">
        <f>IF(OR(Table7[[#This Row],[Response]]="Strongly Agree",Table7[[#This Row],[Response]]="Agree"),1,0)</f>
        <v>0</v>
      </c>
      <c r="H65" t="str">
        <f>_xlfn.XLOOKUP(Table7[[#This Row],[QuestionID]], FinalQuestions!$A:$A, FinalQuestions!$D:$D,"")</f>
        <v>Consistency of Conduct Enforcement</v>
      </c>
      <c r="I65" t="s">
        <v>266</v>
      </c>
    </row>
    <row r="66" spans="1:9" x14ac:dyDescent="0.35">
      <c r="A66" t="s">
        <v>91</v>
      </c>
      <c r="B66" t="s">
        <v>13</v>
      </c>
      <c r="C66" t="s">
        <v>4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3</v>
      </c>
      <c r="F66">
        <f>Table7[[#This Row],[Scores]] * 20</f>
        <v>60</v>
      </c>
      <c r="G66">
        <f>IF(OR(Table7[[#This Row],[Response]]="Strongly Agree",Table7[[#This Row],[Response]]="Agree"),1,0)</f>
        <v>0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262</v>
      </c>
    </row>
    <row r="67" spans="1:9" x14ac:dyDescent="0.35">
      <c r="A67" t="s">
        <v>91</v>
      </c>
      <c r="B67" t="s">
        <v>15</v>
      </c>
      <c r="C67" t="s">
        <v>4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3</v>
      </c>
      <c r="F67">
        <f>Table7[[#This Row],[Scores]] * 20</f>
        <v>60</v>
      </c>
      <c r="G67">
        <f>IF(OR(Table7[[#This Row],[Response]]="Strongly Agree",Table7[[#This Row],[Response]]="Agree"),1,0)</f>
        <v>0</v>
      </c>
      <c r="H67" t="str">
        <f>_xlfn.XLOOKUP(Table7[[#This Row],[QuestionID]], FinalQuestions!$A:$A, FinalQuestions!$D:$D,"")</f>
        <v>Executive Commitment to Risk Culture</v>
      </c>
      <c r="I67" t="s">
        <v>262</v>
      </c>
    </row>
    <row r="68" spans="1:9" x14ac:dyDescent="0.35">
      <c r="A68" t="s">
        <v>91</v>
      </c>
      <c r="B68" t="s">
        <v>17</v>
      </c>
      <c r="C68" t="s">
        <v>4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3</v>
      </c>
      <c r="F68">
        <f>Table7[[#This Row],[Scores]] * 20</f>
        <v>60</v>
      </c>
      <c r="G68">
        <f>IF(OR(Table7[[#This Row],[Response]]="Strongly Agree",Table7[[#This Row],[Response]]="Agree"),1,0)</f>
        <v>0</v>
      </c>
      <c r="H68" t="str">
        <f>_xlfn.XLOOKUP(Table7[[#This Row],[QuestionID]], FinalQuestions!$A:$A, FinalQuestions!$D:$D,"")</f>
        <v>Leadership Encouragement to Escalate Risks</v>
      </c>
      <c r="I68" t="s">
        <v>262</v>
      </c>
    </row>
    <row r="69" spans="1:9" x14ac:dyDescent="0.35">
      <c r="A69" t="s">
        <v>91</v>
      </c>
      <c r="B69" t="s">
        <v>19</v>
      </c>
      <c r="C69" t="s">
        <v>4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3</v>
      </c>
      <c r="F69">
        <f>Table7[[#This Row],[Scores]] * 20</f>
        <v>60</v>
      </c>
      <c r="G69">
        <f>IF(OR(Table7[[#This Row],[Response]]="Strongly Agree",Table7[[#This Row],[Response]]="Agree"),1,0)</f>
        <v>0</v>
      </c>
      <c r="H69" t="str">
        <f>_xlfn.XLOOKUP(Table7[[#This Row],[QuestionID]], FinalQuestions!$A:$A, FinalQuestions!$D:$D,"")</f>
        <v>Long-Term Decision Awareness</v>
      </c>
      <c r="I69" t="s">
        <v>262</v>
      </c>
    </row>
    <row r="70" spans="1:9" x14ac:dyDescent="0.35">
      <c r="A70" t="s">
        <v>91</v>
      </c>
      <c r="B70" t="s">
        <v>21</v>
      </c>
      <c r="C70" t="s">
        <v>4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3</v>
      </c>
      <c r="F70">
        <f>Table7[[#This Row],[Scores]] * 20</f>
        <v>60</v>
      </c>
      <c r="G70">
        <f>IF(OR(Table7[[#This Row],[Response]]="Strongly Agree",Table7[[#This Row],[Response]]="Agree"),1,0)</f>
        <v>0</v>
      </c>
      <c r="H70" t="str">
        <f>_xlfn.XLOOKUP(Table7[[#This Row],[QuestionID]], FinalQuestions!$A:$A, FinalQuestions!$D:$D,"")</f>
        <v>Openness to Discussions</v>
      </c>
      <c r="I70" t="s">
        <v>262</v>
      </c>
    </row>
    <row r="71" spans="1:9" x14ac:dyDescent="0.35">
      <c r="A71" t="s">
        <v>91</v>
      </c>
      <c r="B71" t="s">
        <v>23</v>
      </c>
      <c r="C71" t="s">
        <v>4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3</v>
      </c>
      <c r="F71">
        <f>Table7[[#This Row],[Scores]] * 20</f>
        <v>60</v>
      </c>
      <c r="G71">
        <f>IF(OR(Table7[[#This Row],[Response]]="Strongly Agree",Table7[[#This Row],[Response]]="Agree"),1,0)</f>
        <v>0</v>
      </c>
      <c r="H71" t="str">
        <f>_xlfn.XLOOKUP(Table7[[#This Row],[QuestionID]], FinalQuestions!$A:$A, FinalQuestions!$D:$D,"")</f>
        <v>Access to Guidance</v>
      </c>
      <c r="I71" t="s">
        <v>262</v>
      </c>
    </row>
    <row r="72" spans="1:9" x14ac:dyDescent="0.35">
      <c r="A72" t="s">
        <v>91</v>
      </c>
      <c r="B72" t="s">
        <v>25</v>
      </c>
      <c r="C72" t="s">
        <v>4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3</v>
      </c>
      <c r="F72">
        <f>Table7[[#This Row],[Scores]] * 20</f>
        <v>60</v>
      </c>
      <c r="G72">
        <f>IF(OR(Table7[[#This Row],[Response]]="Strongly Agree",Table7[[#This Row],[Response]]="Agree"),1,0)</f>
        <v>0</v>
      </c>
      <c r="H72" t="str">
        <f>_xlfn.XLOOKUP(Table7[[#This Row],[QuestionID]], FinalQuestions!$A:$A, FinalQuestions!$D:$D,"")</f>
        <v>Openness to Sharing Opinions</v>
      </c>
      <c r="I72" t="s">
        <v>262</v>
      </c>
    </row>
    <row r="73" spans="1:9" x14ac:dyDescent="0.35">
      <c r="A73" t="s">
        <v>91</v>
      </c>
      <c r="B73" t="s">
        <v>27</v>
      </c>
      <c r="C73" t="s">
        <v>4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3</v>
      </c>
      <c r="F73">
        <f>Table7[[#This Row],[Scores]] * 20</f>
        <v>60</v>
      </c>
      <c r="G73">
        <f>IF(OR(Table7[[#This Row],[Response]]="Strongly Agree",Table7[[#This Row],[Response]]="Agree"),1,0)</f>
        <v>0</v>
      </c>
      <c r="H73" t="str">
        <f>_xlfn.XLOOKUP(Table7[[#This Row],[QuestionID]], FinalQuestions!$A:$A, FinalQuestions!$D:$D,"")</f>
        <v>Comfort in Reporting Risk Dilemmas</v>
      </c>
      <c r="I73" t="s">
        <v>262</v>
      </c>
    </row>
    <row r="74" spans="1:9" x14ac:dyDescent="0.35">
      <c r="A74" t="s">
        <v>91</v>
      </c>
      <c r="B74" t="s">
        <v>29</v>
      </c>
      <c r="C74" t="s">
        <v>4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3</v>
      </c>
      <c r="F74">
        <f>Table7[[#This Row],[Scores]] * 20</f>
        <v>60</v>
      </c>
      <c r="G74">
        <f>IF(OR(Table7[[#This Row],[Response]]="Strongly Agree",Table7[[#This Row],[Response]]="Agree"),1,0)</f>
        <v>0</v>
      </c>
      <c r="H74" t="str">
        <f>_xlfn.XLOOKUP(Table7[[#This Row],[QuestionID]], FinalQuestions!$A:$A, FinalQuestions!$D:$D,"")</f>
        <v>Adequacy of Risk Management Training</v>
      </c>
      <c r="I74" t="s">
        <v>262</v>
      </c>
    </row>
    <row r="75" spans="1:9" x14ac:dyDescent="0.35">
      <c r="A75" t="s">
        <v>91</v>
      </c>
      <c r="B75" t="s">
        <v>31</v>
      </c>
      <c r="C75" t="s">
        <v>4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3</v>
      </c>
      <c r="F75">
        <f>Table7[[#This Row],[Scores]] * 20</f>
        <v>60</v>
      </c>
      <c r="G75">
        <f>IF(OR(Table7[[#This Row],[Response]]="Strongly Agree",Table7[[#This Row],[Response]]="Agree"),1,0)</f>
        <v>0</v>
      </c>
      <c r="H75" t="str">
        <f>_xlfn.XLOOKUP(Table7[[#This Row],[QuestionID]], FinalQuestions!$A:$A, FinalQuestions!$D:$D,"")</f>
        <v>Workload Balance &amp; Resource Sufficiency</v>
      </c>
      <c r="I75" t="s">
        <v>262</v>
      </c>
    </row>
    <row r="76" spans="1:9" x14ac:dyDescent="0.35">
      <c r="A76" t="s">
        <v>91</v>
      </c>
      <c r="B76" t="s">
        <v>33</v>
      </c>
      <c r="C76" t="s">
        <v>4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3</v>
      </c>
      <c r="F76">
        <f>Table7[[#This Row],[Scores]] * 20</f>
        <v>60</v>
      </c>
      <c r="G76">
        <f>IF(OR(Table7[[#This Row],[Response]]="Strongly Agree",Table7[[#This Row],[Response]]="Agree"),1,0)</f>
        <v>0</v>
      </c>
      <c r="H76" t="str">
        <f>_xlfn.XLOOKUP(Table7[[#This Row],[QuestionID]], FinalQuestions!$A:$A, FinalQuestions!$D:$D,"")</f>
        <v>Realistic Target Setting</v>
      </c>
      <c r="I76" t="s">
        <v>262</v>
      </c>
    </row>
    <row r="77" spans="1:9" x14ac:dyDescent="0.35">
      <c r="A77" t="s">
        <v>91</v>
      </c>
      <c r="B77" t="s">
        <v>35</v>
      </c>
      <c r="C77" t="s">
        <v>4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3</v>
      </c>
      <c r="F77">
        <f>Table7[[#This Row],[Scores]] * 20</f>
        <v>60</v>
      </c>
      <c r="G77">
        <f>IF(OR(Table7[[#This Row],[Response]]="Strongly Agree",Table7[[#This Row],[Response]]="Agree"),1,0)</f>
        <v>0</v>
      </c>
      <c r="H77" t="str">
        <f>_xlfn.XLOOKUP(Table7[[#This Row],[QuestionID]], FinalQuestions!$A:$A, FinalQuestions!$D:$D,"")</f>
        <v>Risk Insight in Decision Making</v>
      </c>
      <c r="I77" t="s">
        <v>262</v>
      </c>
    </row>
    <row r="78" spans="1:9" x14ac:dyDescent="0.35">
      <c r="A78" t="s">
        <v>91</v>
      </c>
      <c r="B78" t="s">
        <v>37</v>
      </c>
      <c r="C78" t="s">
        <v>4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3</v>
      </c>
      <c r="F78">
        <f>Table7[[#This Row],[Scores]] * 20</f>
        <v>60</v>
      </c>
      <c r="G78">
        <f>IF(OR(Table7[[#This Row],[Response]]="Strongly Agree",Table7[[#This Row],[Response]]="Agree"),1,0)</f>
        <v>0</v>
      </c>
      <c r="H78" t="str">
        <f>_xlfn.XLOOKUP(Table7[[#This Row],[QuestionID]], FinalQuestions!$A:$A, FinalQuestions!$D:$D,"")</f>
        <v>Learning Culture from Non‑Compliance Cases</v>
      </c>
      <c r="I78" t="s">
        <v>262</v>
      </c>
    </row>
    <row r="79" spans="1:9" x14ac:dyDescent="0.35">
      <c r="A79" t="s">
        <v>91</v>
      </c>
      <c r="B79" t="s">
        <v>39</v>
      </c>
      <c r="C79" t="s">
        <v>4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3</v>
      </c>
      <c r="F79">
        <f>Table7[[#This Row],[Scores]] * 20</f>
        <v>60</v>
      </c>
      <c r="G79">
        <f>IF(OR(Table7[[#This Row],[Response]]="Strongly Agree",Table7[[#This Row],[Response]]="Agree"),1,0)</f>
        <v>0</v>
      </c>
      <c r="H79" t="str">
        <f>_xlfn.XLOOKUP(Table7[[#This Row],[QuestionID]], FinalQuestions!$A:$A, FinalQuestions!$D:$D,"")</f>
        <v>Organizational View on Risk Culture</v>
      </c>
      <c r="I79" t="s">
        <v>262</v>
      </c>
    </row>
    <row r="80" spans="1:9" x14ac:dyDescent="0.35">
      <c r="A80" t="s">
        <v>91</v>
      </c>
      <c r="B80" t="s">
        <v>41</v>
      </c>
      <c r="C80" t="s">
        <v>4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3</v>
      </c>
      <c r="F80">
        <f>Table7[[#This Row],[Scores]] * 20</f>
        <v>60</v>
      </c>
      <c r="G80">
        <f>IF(OR(Table7[[#This Row],[Response]]="Strongly Agree",Table7[[#This Row],[Response]]="Agree"),1,0)</f>
        <v>0</v>
      </c>
      <c r="H80" t="str">
        <f>_xlfn.XLOOKUP(Table7[[#This Row],[QuestionID]], FinalQuestions!$A:$A, FinalQuestions!$D:$D,"")</f>
        <v>Compliance Recognition &amp; enforcement</v>
      </c>
      <c r="I80" t="s">
        <v>262</v>
      </c>
    </row>
    <row r="81" spans="1:9" x14ac:dyDescent="0.35">
      <c r="A81" t="s">
        <v>91</v>
      </c>
      <c r="B81" t="s">
        <v>43</v>
      </c>
      <c r="C81" t="s">
        <v>4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3</v>
      </c>
      <c r="F81">
        <f>Table7[[#This Row],[Scores]] * 20</f>
        <v>60</v>
      </c>
      <c r="G81">
        <f>IF(OR(Table7[[#This Row],[Response]]="Strongly Agree",Table7[[#This Row],[Response]]="Agree"),1,0)</f>
        <v>0</v>
      </c>
      <c r="H81" t="str">
        <f>_xlfn.XLOOKUP(Table7[[#This Row],[QuestionID]], FinalQuestions!$A:$A, FinalQuestions!$D:$D,"")</f>
        <v>Sense of Ownership</v>
      </c>
      <c r="I81" t="s">
        <v>262</v>
      </c>
    </row>
    <row r="82" spans="1:9" x14ac:dyDescent="0.35">
      <c r="A82" t="s">
        <v>91</v>
      </c>
      <c r="B82" t="s">
        <v>45</v>
      </c>
      <c r="C82" t="s">
        <v>4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3</v>
      </c>
      <c r="F82">
        <f>Table7[[#This Row],[Scores]] * 20</f>
        <v>60</v>
      </c>
      <c r="G82">
        <f>IF(OR(Table7[[#This Row],[Response]]="Strongly Agree",Table7[[#This Row],[Response]]="Agree"),1,0)</f>
        <v>0</v>
      </c>
      <c r="H82" t="str">
        <f>_xlfn.XLOOKUP(Table7[[#This Row],[QuestionID]], FinalQuestions!$A:$A, FinalQuestions!$D:$D,"")</f>
        <v>Clarity of Role and Responsibilities</v>
      </c>
      <c r="I82" t="s">
        <v>262</v>
      </c>
    </row>
    <row r="83" spans="1:9" x14ac:dyDescent="0.35">
      <c r="A83" t="s">
        <v>91</v>
      </c>
      <c r="B83" t="s">
        <v>47</v>
      </c>
      <c r="C83" t="s">
        <v>4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3</v>
      </c>
      <c r="F83">
        <f>Table7[[#This Row],[Scores]] * 20</f>
        <v>60</v>
      </c>
      <c r="G83">
        <f>IF(OR(Table7[[#This Row],[Response]]="Strongly Agree",Table7[[#This Row],[Response]]="Agree"),1,0)</f>
        <v>0</v>
      </c>
      <c r="H83" t="str">
        <f>_xlfn.XLOOKUP(Table7[[#This Row],[QuestionID]], FinalQuestions!$A:$A, FinalQuestions!$D:$D,"")</f>
        <v>Understanding of Risk Policies &amp; Procedures</v>
      </c>
      <c r="I83" t="s">
        <v>262</v>
      </c>
    </row>
    <row r="84" spans="1:9" x14ac:dyDescent="0.35">
      <c r="A84" t="s">
        <v>91</v>
      </c>
      <c r="B84" t="s">
        <v>49</v>
      </c>
      <c r="C84" t="s">
        <v>4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3</v>
      </c>
      <c r="F84">
        <f>Table7[[#This Row],[Scores]] * 20</f>
        <v>60</v>
      </c>
      <c r="G84">
        <f>IF(OR(Table7[[#This Row],[Response]]="Strongly Agree",Table7[[#This Row],[Response]]="Agree"),1,0)</f>
        <v>0</v>
      </c>
      <c r="H84" t="str">
        <f>_xlfn.XLOOKUP(Table7[[#This Row],[QuestionID]], FinalQuestions!$A:$A, FinalQuestions!$D:$D,"")</f>
        <v>Clarity of Personal Risk Boundaries</v>
      </c>
      <c r="I84" t="s">
        <v>262</v>
      </c>
    </row>
    <row r="85" spans="1:9" x14ac:dyDescent="0.35">
      <c r="A85" t="s">
        <v>91</v>
      </c>
      <c r="B85" t="s">
        <v>51</v>
      </c>
      <c r="C85" t="s">
        <v>4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3</v>
      </c>
      <c r="F85">
        <f>Table7[[#This Row],[Scores]] * 20</f>
        <v>60</v>
      </c>
      <c r="G85">
        <f>IF(OR(Table7[[#This Row],[Response]]="Strongly Agree",Table7[[#This Row],[Response]]="Agree"),1,0)</f>
        <v>0</v>
      </c>
      <c r="H85" t="str">
        <f>_xlfn.XLOOKUP(Table7[[#This Row],[QuestionID]], FinalQuestions!$A:$A, FinalQuestions!$D:$D,"")</f>
        <v>Effectiveness of Risk Communication &amp; Training</v>
      </c>
      <c r="I85" t="s">
        <v>262</v>
      </c>
    </row>
    <row r="86" spans="1:9" x14ac:dyDescent="0.35">
      <c r="A86" t="s">
        <v>91</v>
      </c>
      <c r="B86" t="s">
        <v>53</v>
      </c>
      <c r="C86" t="s">
        <v>4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3</v>
      </c>
      <c r="F86">
        <f>Table7[[#This Row],[Scores]] * 20</f>
        <v>60</v>
      </c>
      <c r="G86">
        <f>IF(OR(Table7[[#This Row],[Response]]="Strongly Agree",Table7[[#This Row],[Response]]="Agree"),1,0)</f>
        <v>0</v>
      </c>
      <c r="H86" t="str">
        <f>_xlfn.XLOOKUP(Table7[[#This Row],[QuestionID]], FinalQuestions!$A:$A, FinalQuestions!$D:$D,"")</f>
        <v>Compliance Confidence in team</v>
      </c>
      <c r="I86" t="s">
        <v>262</v>
      </c>
    </row>
    <row r="87" spans="1:9" x14ac:dyDescent="0.35">
      <c r="A87" t="s">
        <v>91</v>
      </c>
      <c r="B87" t="s">
        <v>55</v>
      </c>
      <c r="C87" t="s">
        <v>4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3</v>
      </c>
      <c r="F87">
        <f>Table7[[#This Row],[Scores]] * 20</f>
        <v>60</v>
      </c>
      <c r="G87">
        <f>IF(OR(Table7[[#This Row],[Response]]="Strongly Agree",Table7[[#This Row],[Response]]="Agree"),1,0)</f>
        <v>0</v>
      </c>
      <c r="H87" t="str">
        <f>_xlfn.XLOOKUP(Table7[[#This Row],[QuestionID]], FinalQuestions!$A:$A, FinalQuestions!$D:$D,"")</f>
        <v>Transparency in Decision‑Making</v>
      </c>
      <c r="I87" t="s">
        <v>262</v>
      </c>
    </row>
    <row r="88" spans="1:9" x14ac:dyDescent="0.35">
      <c r="A88" t="s">
        <v>91</v>
      </c>
      <c r="B88" t="s">
        <v>57</v>
      </c>
      <c r="C88" t="s">
        <v>4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3</v>
      </c>
      <c r="F88">
        <f>Table7[[#This Row],[Scores]] * 20</f>
        <v>60</v>
      </c>
      <c r="G88">
        <f>IF(OR(Table7[[#This Row],[Response]]="Strongly Agree",Table7[[#This Row],[Response]]="Agree"),1,0)</f>
        <v>0</v>
      </c>
      <c r="H88" t="str">
        <f>_xlfn.XLOOKUP(Table7[[#This Row],[QuestionID]], FinalQuestions!$A:$A, FinalQuestions!$D:$D,"")</f>
        <v>Fairness &amp; Equity of Expectations</v>
      </c>
      <c r="I88" t="s">
        <v>262</v>
      </c>
    </row>
    <row r="89" spans="1:9" x14ac:dyDescent="0.35">
      <c r="A89" t="s">
        <v>91</v>
      </c>
      <c r="B89" t="s">
        <v>59</v>
      </c>
      <c r="C89" t="s">
        <v>4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3</v>
      </c>
      <c r="F89">
        <f>Table7[[#This Row],[Scores]] * 20</f>
        <v>60</v>
      </c>
      <c r="G89">
        <f>IF(OR(Table7[[#This Row],[Response]]="Strongly Agree",Table7[[#This Row],[Response]]="Agree"),1,0)</f>
        <v>0</v>
      </c>
      <c r="H89" t="str">
        <f>_xlfn.XLOOKUP(Table7[[#This Row],[QuestionID]], FinalQuestions!$A:$A, FinalQuestions!$D:$D,"")</f>
        <v>Leadership Awareness in the team</v>
      </c>
      <c r="I89" t="s">
        <v>262</v>
      </c>
    </row>
    <row r="90" spans="1:9" x14ac:dyDescent="0.35">
      <c r="A90" t="s">
        <v>91</v>
      </c>
      <c r="B90" t="s">
        <v>61</v>
      </c>
      <c r="C90" t="s">
        <v>4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3</v>
      </c>
      <c r="F90">
        <f>Table7[[#This Row],[Scores]] * 20</f>
        <v>60</v>
      </c>
      <c r="G90">
        <f>IF(OR(Table7[[#This Row],[Response]]="Strongly Agree",Table7[[#This Row],[Response]]="Agree"),1,0)</f>
        <v>0</v>
      </c>
      <c r="H90" t="str">
        <f>_xlfn.XLOOKUP(Table7[[#This Row],[QuestionID]], FinalQuestions!$A:$A, FinalQuestions!$D:$D,"")</f>
        <v>Motivation for Risk Ownership</v>
      </c>
      <c r="I90" t="s">
        <v>262</v>
      </c>
    </row>
    <row r="91" spans="1:9" x14ac:dyDescent="0.35">
      <c r="A91" t="s">
        <v>91</v>
      </c>
      <c r="B91" t="s">
        <v>63</v>
      </c>
      <c r="C91" t="s">
        <v>4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3</v>
      </c>
      <c r="F91">
        <f>Table7[[#This Row],[Scores]] * 20</f>
        <v>60</v>
      </c>
      <c r="G91">
        <f>IF(OR(Table7[[#This Row],[Response]]="Strongly Agree",Table7[[#This Row],[Response]]="Agree"),1,0)</f>
        <v>0</v>
      </c>
      <c r="H91" t="str">
        <f>_xlfn.XLOOKUP(Table7[[#This Row],[QuestionID]], FinalQuestions!$A:$A, FinalQuestions!$D:$D,"")</f>
        <v>Sense of Belonging to the Organization</v>
      </c>
      <c r="I91" t="s">
        <v>262</v>
      </c>
    </row>
    <row r="92" spans="1:9" x14ac:dyDescent="0.35">
      <c r="A92" t="s">
        <v>91</v>
      </c>
      <c r="B92" t="s">
        <v>65</v>
      </c>
      <c r="C92" t="s">
        <v>4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3</v>
      </c>
      <c r="F92">
        <f>Table7[[#This Row],[Scores]] * 20</f>
        <v>60</v>
      </c>
      <c r="G92">
        <f>IF(OR(Table7[[#This Row],[Response]]="Strongly Agree",Table7[[#This Row],[Response]]="Agree"),1,0)</f>
        <v>0</v>
      </c>
      <c r="H92" t="str">
        <f>_xlfn.XLOOKUP(Table7[[#This Row],[QuestionID]], FinalQuestions!$A:$A, FinalQuestions!$D:$D,"")</f>
        <v>Consideration of Impact on Others</v>
      </c>
      <c r="I92" t="s">
        <v>262</v>
      </c>
    </row>
    <row r="93" spans="1:9" x14ac:dyDescent="0.35">
      <c r="A93" t="s">
        <v>91</v>
      </c>
      <c r="B93" t="s">
        <v>67</v>
      </c>
      <c r="C93" t="s">
        <v>4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3</v>
      </c>
      <c r="F93">
        <f>Table7[[#This Row],[Scores]] * 20</f>
        <v>60</v>
      </c>
      <c r="G93">
        <f>IF(OR(Table7[[#This Row],[Response]]="Strongly Agree",Table7[[#This Row],[Response]]="Agree"),1,0)</f>
        <v>0</v>
      </c>
      <c r="H93" t="str">
        <f>_xlfn.XLOOKUP(Table7[[#This Row],[QuestionID]], FinalQuestions!$A:$A, FinalQuestions!$D:$D,"")</f>
        <v>Accountability for Risk Actions</v>
      </c>
      <c r="I93" t="s">
        <v>262</v>
      </c>
    </row>
    <row r="94" spans="1:9" x14ac:dyDescent="0.35">
      <c r="A94" t="s">
        <v>91</v>
      </c>
      <c r="B94" t="s">
        <v>69</v>
      </c>
      <c r="C94" t="s">
        <v>4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3</v>
      </c>
      <c r="F94">
        <f>Table7[[#This Row],[Scores]] * 20</f>
        <v>60</v>
      </c>
      <c r="G94">
        <f>IF(OR(Table7[[#This Row],[Response]]="Strongly Agree",Table7[[#This Row],[Response]]="Agree"),1,0)</f>
        <v>0</v>
      </c>
      <c r="H94" t="str">
        <f>_xlfn.XLOOKUP(Table7[[#This Row],[QuestionID]], FinalQuestions!$A:$A, FinalQuestions!$D:$D,"")</f>
        <v xml:space="preserve">Peer to peer Accountability </v>
      </c>
      <c r="I94" t="s">
        <v>262</v>
      </c>
    </row>
    <row r="95" spans="1:9" x14ac:dyDescent="0.35">
      <c r="A95" t="s">
        <v>91</v>
      </c>
      <c r="B95" t="s">
        <v>71</v>
      </c>
      <c r="C95" t="s">
        <v>4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3</v>
      </c>
      <c r="F95">
        <f>Table7[[#This Row],[Scores]] * 20</f>
        <v>60</v>
      </c>
      <c r="G95">
        <f>IF(OR(Table7[[#This Row],[Response]]="Strongly Agree",Table7[[#This Row],[Response]]="Agree"),1,0)</f>
        <v>0</v>
      </c>
      <c r="H95" t="str">
        <f>_xlfn.XLOOKUP(Table7[[#This Row],[QuestionID]], FinalQuestions!$A:$A, FinalQuestions!$D:$D,"")</f>
        <v>Timely Resolution of Accountability Issues</v>
      </c>
      <c r="I95" t="s">
        <v>262</v>
      </c>
    </row>
    <row r="96" spans="1:9" x14ac:dyDescent="0.35">
      <c r="A96" t="s">
        <v>91</v>
      </c>
      <c r="B96" t="s">
        <v>73</v>
      </c>
      <c r="C96" t="s">
        <v>4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3</v>
      </c>
      <c r="F96">
        <f>Table7[[#This Row],[Scores]] * 20</f>
        <v>60</v>
      </c>
      <c r="G96">
        <f>IF(OR(Table7[[#This Row],[Response]]="Strongly Agree",Table7[[#This Row],[Response]]="Agree"),1,0)</f>
        <v>0</v>
      </c>
      <c r="H96" t="str">
        <f>_xlfn.XLOOKUP(Table7[[#This Row],[QuestionID]], FinalQuestions!$A:$A, FinalQuestions!$D:$D,"")</f>
        <v>Comfort for Reporting Non‑Compliance.</v>
      </c>
      <c r="I96" t="s">
        <v>262</v>
      </c>
    </row>
    <row r="97" spans="1:9" x14ac:dyDescent="0.35">
      <c r="A97" t="s">
        <v>91</v>
      </c>
      <c r="B97" t="s">
        <v>75</v>
      </c>
      <c r="C97" t="s">
        <v>4</v>
      </c>
      <c r="D97" t="str">
        <f>VLOOKUP(Table7[[#This Row],[QuestionID]], FinalQuestions!$A:$C, 3, FALSE)</f>
        <v>Call someone to account</v>
      </c>
      <c r="E97">
        <f>IF(Table7[[#This Row],[Response]]="","",CHOOSE(MATCH(Table7[[#This Row],[Response]],{"Strongly Agree","Agree","Neutral","Disagree","Strongly Disagree","Not Applicable"},0),5,4,3,2,1,""))</f>
        <v>3</v>
      </c>
      <c r="F97">
        <f>Table7[[#This Row],[Scores]] * 20</f>
        <v>60</v>
      </c>
      <c r="G97">
        <f>IF(OR(Table7[[#This Row],[Response]]="Strongly Agree",Table7[[#This Row],[Response]]="Agree"),1,0)</f>
        <v>0</v>
      </c>
      <c r="H97" t="str">
        <f>_xlfn.XLOOKUP(Table7[[#This Row],[QuestionID]], FinalQuestions!$A:$A, FinalQuestions!$D:$D,"")</f>
        <v>Consistency of Conduct Enforcement</v>
      </c>
      <c r="I97" t="s">
        <v>262</v>
      </c>
    </row>
    <row r="98" spans="1:9" x14ac:dyDescent="0.35">
      <c r="A98" t="s">
        <v>92</v>
      </c>
      <c r="B98" t="s">
        <v>13</v>
      </c>
      <c r="C98" t="s">
        <v>4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3</v>
      </c>
      <c r="F98">
        <f>Table7[[#This Row],[Scores]] * 20</f>
        <v>60</v>
      </c>
      <c r="G98">
        <f>IF(OR(Table7[[#This Row],[Response]]="Strongly Agree",Table7[[#This Row],[Response]]="Agree"),1,0)</f>
        <v>0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265</v>
      </c>
    </row>
    <row r="99" spans="1:9" x14ac:dyDescent="0.35">
      <c r="A99" t="s">
        <v>92</v>
      </c>
      <c r="B99" t="s">
        <v>15</v>
      </c>
      <c r="C99" t="s">
        <v>4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3</v>
      </c>
      <c r="F99">
        <f>Table7[[#This Row],[Scores]] * 20</f>
        <v>60</v>
      </c>
      <c r="G99">
        <f>IF(OR(Table7[[#This Row],[Response]]="Strongly Agree",Table7[[#This Row],[Response]]="Agree"),1,0)</f>
        <v>0</v>
      </c>
      <c r="H99" t="str">
        <f>_xlfn.XLOOKUP(Table7[[#This Row],[QuestionID]], FinalQuestions!$A:$A, FinalQuestions!$D:$D,"")</f>
        <v>Executive Commitment to Risk Culture</v>
      </c>
      <c r="I99" t="s">
        <v>265</v>
      </c>
    </row>
    <row r="100" spans="1:9" x14ac:dyDescent="0.35">
      <c r="A100" t="s">
        <v>92</v>
      </c>
      <c r="B100" t="s">
        <v>17</v>
      </c>
      <c r="C100" t="s">
        <v>4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3</v>
      </c>
      <c r="F100">
        <f>Table7[[#This Row],[Scores]] * 20</f>
        <v>60</v>
      </c>
      <c r="G100">
        <f>IF(OR(Table7[[#This Row],[Response]]="Strongly Agree",Table7[[#This Row],[Response]]="Agree"),1,0)</f>
        <v>0</v>
      </c>
      <c r="H100" t="str">
        <f>_xlfn.XLOOKUP(Table7[[#This Row],[QuestionID]], FinalQuestions!$A:$A, FinalQuestions!$D:$D,"")</f>
        <v>Leadership Encouragement to Escalate Risks</v>
      </c>
      <c r="I100" t="s">
        <v>265</v>
      </c>
    </row>
    <row r="101" spans="1:9" x14ac:dyDescent="0.35">
      <c r="A101" t="s">
        <v>92</v>
      </c>
      <c r="B101" t="s">
        <v>19</v>
      </c>
      <c r="C101" t="s">
        <v>4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3</v>
      </c>
      <c r="F101">
        <f>Table7[[#This Row],[Scores]] * 20</f>
        <v>60</v>
      </c>
      <c r="G101">
        <f>IF(OR(Table7[[#This Row],[Response]]="Strongly Agree",Table7[[#This Row],[Response]]="Agree"),1,0)</f>
        <v>0</v>
      </c>
      <c r="H101" t="str">
        <f>_xlfn.XLOOKUP(Table7[[#This Row],[QuestionID]], FinalQuestions!$A:$A, FinalQuestions!$D:$D,"")</f>
        <v>Long-Term Decision Awareness</v>
      </c>
      <c r="I101" t="s">
        <v>265</v>
      </c>
    </row>
    <row r="102" spans="1:9" x14ac:dyDescent="0.35">
      <c r="A102" t="s">
        <v>92</v>
      </c>
      <c r="B102" t="s">
        <v>21</v>
      </c>
      <c r="C102" t="s">
        <v>4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3</v>
      </c>
      <c r="F102">
        <f>Table7[[#This Row],[Scores]] * 20</f>
        <v>60</v>
      </c>
      <c r="G102">
        <f>IF(OR(Table7[[#This Row],[Response]]="Strongly Agree",Table7[[#This Row],[Response]]="Agree"),1,0)</f>
        <v>0</v>
      </c>
      <c r="H102" t="str">
        <f>_xlfn.XLOOKUP(Table7[[#This Row],[QuestionID]], FinalQuestions!$A:$A, FinalQuestions!$D:$D,"")</f>
        <v>Openness to Discussions</v>
      </c>
      <c r="I102" t="s">
        <v>265</v>
      </c>
    </row>
    <row r="103" spans="1:9" x14ac:dyDescent="0.35">
      <c r="A103" t="s">
        <v>92</v>
      </c>
      <c r="B103" t="s">
        <v>23</v>
      </c>
      <c r="C103" t="s">
        <v>4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3</v>
      </c>
      <c r="F103">
        <f>Table7[[#This Row],[Scores]] * 20</f>
        <v>60</v>
      </c>
      <c r="G103">
        <f>IF(OR(Table7[[#This Row],[Response]]="Strongly Agree",Table7[[#This Row],[Response]]="Agree"),1,0)</f>
        <v>0</v>
      </c>
      <c r="H103" t="str">
        <f>_xlfn.XLOOKUP(Table7[[#This Row],[QuestionID]], FinalQuestions!$A:$A, FinalQuestions!$D:$D,"")</f>
        <v>Access to Guidance</v>
      </c>
      <c r="I103" t="s">
        <v>265</v>
      </c>
    </row>
    <row r="104" spans="1:9" x14ac:dyDescent="0.35">
      <c r="A104" t="s">
        <v>92</v>
      </c>
      <c r="B104" t="s">
        <v>25</v>
      </c>
      <c r="C104" t="s">
        <v>4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3</v>
      </c>
      <c r="F104">
        <f>Table7[[#This Row],[Scores]] * 20</f>
        <v>60</v>
      </c>
      <c r="G104">
        <f>IF(OR(Table7[[#This Row],[Response]]="Strongly Agree",Table7[[#This Row],[Response]]="Agree"),1,0)</f>
        <v>0</v>
      </c>
      <c r="H104" t="str">
        <f>_xlfn.XLOOKUP(Table7[[#This Row],[QuestionID]], FinalQuestions!$A:$A, FinalQuestions!$D:$D,"")</f>
        <v>Openness to Sharing Opinions</v>
      </c>
      <c r="I104" t="s">
        <v>265</v>
      </c>
    </row>
    <row r="105" spans="1:9" x14ac:dyDescent="0.35">
      <c r="A105" t="s">
        <v>92</v>
      </c>
      <c r="B105" t="s">
        <v>27</v>
      </c>
      <c r="C105" t="s">
        <v>4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3</v>
      </c>
      <c r="F105">
        <f>Table7[[#This Row],[Scores]] * 20</f>
        <v>60</v>
      </c>
      <c r="G105">
        <f>IF(OR(Table7[[#This Row],[Response]]="Strongly Agree",Table7[[#This Row],[Response]]="Agree"),1,0)</f>
        <v>0</v>
      </c>
      <c r="H105" t="str">
        <f>_xlfn.XLOOKUP(Table7[[#This Row],[QuestionID]], FinalQuestions!$A:$A, FinalQuestions!$D:$D,"")</f>
        <v>Comfort in Reporting Risk Dilemmas</v>
      </c>
      <c r="I105" t="s">
        <v>265</v>
      </c>
    </row>
    <row r="106" spans="1:9" x14ac:dyDescent="0.35">
      <c r="A106" t="s">
        <v>92</v>
      </c>
      <c r="B106" t="s">
        <v>29</v>
      </c>
      <c r="C106" t="s">
        <v>4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3</v>
      </c>
      <c r="F106">
        <f>Table7[[#This Row],[Scores]] * 20</f>
        <v>60</v>
      </c>
      <c r="G106">
        <f>IF(OR(Table7[[#This Row],[Response]]="Strongly Agree",Table7[[#This Row],[Response]]="Agree"),1,0)</f>
        <v>0</v>
      </c>
      <c r="H106" t="str">
        <f>_xlfn.XLOOKUP(Table7[[#This Row],[QuestionID]], FinalQuestions!$A:$A, FinalQuestions!$D:$D,"")</f>
        <v>Adequacy of Risk Management Training</v>
      </c>
      <c r="I106" t="s">
        <v>265</v>
      </c>
    </row>
    <row r="107" spans="1:9" x14ac:dyDescent="0.35">
      <c r="A107" t="s">
        <v>92</v>
      </c>
      <c r="B107" t="s">
        <v>31</v>
      </c>
      <c r="C107" t="s">
        <v>4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3</v>
      </c>
      <c r="F107">
        <f>Table7[[#This Row],[Scores]] * 20</f>
        <v>60</v>
      </c>
      <c r="G107">
        <f>IF(OR(Table7[[#This Row],[Response]]="Strongly Agree",Table7[[#This Row],[Response]]="Agree"),1,0)</f>
        <v>0</v>
      </c>
      <c r="H107" t="str">
        <f>_xlfn.XLOOKUP(Table7[[#This Row],[QuestionID]], FinalQuestions!$A:$A, FinalQuestions!$D:$D,"")</f>
        <v>Workload Balance &amp; Resource Sufficiency</v>
      </c>
      <c r="I107" t="s">
        <v>265</v>
      </c>
    </row>
    <row r="108" spans="1:9" x14ac:dyDescent="0.35">
      <c r="A108" t="s">
        <v>92</v>
      </c>
      <c r="B108" t="s">
        <v>33</v>
      </c>
      <c r="C108" t="s">
        <v>4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3</v>
      </c>
      <c r="F108">
        <f>Table7[[#This Row],[Scores]] * 20</f>
        <v>60</v>
      </c>
      <c r="G108">
        <f>IF(OR(Table7[[#This Row],[Response]]="Strongly Agree",Table7[[#This Row],[Response]]="Agree"),1,0)</f>
        <v>0</v>
      </c>
      <c r="H108" t="str">
        <f>_xlfn.XLOOKUP(Table7[[#This Row],[QuestionID]], FinalQuestions!$A:$A, FinalQuestions!$D:$D,"")</f>
        <v>Realistic Target Setting</v>
      </c>
      <c r="I108" t="s">
        <v>265</v>
      </c>
    </row>
    <row r="109" spans="1:9" x14ac:dyDescent="0.35">
      <c r="A109" t="s">
        <v>92</v>
      </c>
      <c r="B109" t="s">
        <v>35</v>
      </c>
      <c r="C109" t="s">
        <v>4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3</v>
      </c>
      <c r="F109">
        <f>Table7[[#This Row],[Scores]] * 20</f>
        <v>60</v>
      </c>
      <c r="G109">
        <f>IF(OR(Table7[[#This Row],[Response]]="Strongly Agree",Table7[[#This Row],[Response]]="Agree"),1,0)</f>
        <v>0</v>
      </c>
      <c r="H109" t="str">
        <f>_xlfn.XLOOKUP(Table7[[#This Row],[QuestionID]], FinalQuestions!$A:$A, FinalQuestions!$D:$D,"")</f>
        <v>Risk Insight in Decision Making</v>
      </c>
      <c r="I109" t="s">
        <v>265</v>
      </c>
    </row>
    <row r="110" spans="1:9" x14ac:dyDescent="0.35">
      <c r="A110" t="s">
        <v>92</v>
      </c>
      <c r="B110" t="s">
        <v>37</v>
      </c>
      <c r="C110" t="s">
        <v>4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3</v>
      </c>
      <c r="F110">
        <f>Table7[[#This Row],[Scores]] * 20</f>
        <v>60</v>
      </c>
      <c r="G110">
        <f>IF(OR(Table7[[#This Row],[Response]]="Strongly Agree",Table7[[#This Row],[Response]]="Agree"),1,0)</f>
        <v>0</v>
      </c>
      <c r="H110" t="str">
        <f>_xlfn.XLOOKUP(Table7[[#This Row],[QuestionID]], FinalQuestions!$A:$A, FinalQuestions!$D:$D,"")</f>
        <v>Learning Culture from Non‑Compliance Cases</v>
      </c>
      <c r="I110" t="s">
        <v>265</v>
      </c>
    </row>
    <row r="111" spans="1:9" x14ac:dyDescent="0.35">
      <c r="A111" t="s">
        <v>92</v>
      </c>
      <c r="B111" t="s">
        <v>39</v>
      </c>
      <c r="C111" t="s">
        <v>4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3</v>
      </c>
      <c r="F111">
        <f>Table7[[#This Row],[Scores]] * 20</f>
        <v>60</v>
      </c>
      <c r="G111">
        <f>IF(OR(Table7[[#This Row],[Response]]="Strongly Agree",Table7[[#This Row],[Response]]="Agree"),1,0)</f>
        <v>0</v>
      </c>
      <c r="H111" t="str">
        <f>_xlfn.XLOOKUP(Table7[[#This Row],[QuestionID]], FinalQuestions!$A:$A, FinalQuestions!$D:$D,"")</f>
        <v>Organizational View on Risk Culture</v>
      </c>
      <c r="I111" t="s">
        <v>265</v>
      </c>
    </row>
    <row r="112" spans="1:9" x14ac:dyDescent="0.35">
      <c r="A112" t="s">
        <v>92</v>
      </c>
      <c r="B112" t="s">
        <v>41</v>
      </c>
      <c r="C112" t="s">
        <v>4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3</v>
      </c>
      <c r="F112">
        <f>Table7[[#This Row],[Scores]] * 20</f>
        <v>60</v>
      </c>
      <c r="G112">
        <f>IF(OR(Table7[[#This Row],[Response]]="Strongly Agree",Table7[[#This Row],[Response]]="Agree"),1,0)</f>
        <v>0</v>
      </c>
      <c r="H112" t="str">
        <f>_xlfn.XLOOKUP(Table7[[#This Row],[QuestionID]], FinalQuestions!$A:$A, FinalQuestions!$D:$D,"")</f>
        <v>Compliance Recognition &amp; enforcement</v>
      </c>
      <c r="I112" t="s">
        <v>265</v>
      </c>
    </row>
    <row r="113" spans="1:9" x14ac:dyDescent="0.35">
      <c r="A113" t="s">
        <v>92</v>
      </c>
      <c r="B113" t="s">
        <v>43</v>
      </c>
      <c r="C113" t="s">
        <v>4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3</v>
      </c>
      <c r="F113">
        <f>Table7[[#This Row],[Scores]] * 20</f>
        <v>60</v>
      </c>
      <c r="G113">
        <f>IF(OR(Table7[[#This Row],[Response]]="Strongly Agree",Table7[[#This Row],[Response]]="Agree"),1,0)</f>
        <v>0</v>
      </c>
      <c r="H113" t="str">
        <f>_xlfn.XLOOKUP(Table7[[#This Row],[QuestionID]], FinalQuestions!$A:$A, FinalQuestions!$D:$D,"")</f>
        <v>Sense of Ownership</v>
      </c>
      <c r="I113" t="s">
        <v>265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265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265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265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265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>Compliance Confidence in team</v>
      </c>
      <c r="I118" t="s">
        <v>265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Transparency in Decision‑Making</v>
      </c>
      <c r="I119" t="s">
        <v>265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Fairness &amp; Equity of Expectations</v>
      </c>
      <c r="I120" t="s">
        <v>265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Leadership Awareness in the team</v>
      </c>
      <c r="I121" t="s">
        <v>265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265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265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265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265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265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265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265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Call someone to account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Consistency of Conduct Enforcement</v>
      </c>
      <c r="I129" t="s">
        <v>265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265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265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265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265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265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265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265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265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265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265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265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265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265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265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265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Sense of Ownership</v>
      </c>
      <c r="I145" t="s">
        <v>265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265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265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265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265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>Compliance Confidence in team</v>
      </c>
      <c r="I150" t="s">
        <v>265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Transparency in Decision‑Making</v>
      </c>
      <c r="I151" t="s">
        <v>265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Fairness &amp; Equity of Expectations</v>
      </c>
      <c r="I152" t="s">
        <v>265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Leadership Awareness in the team</v>
      </c>
      <c r="I153" t="s">
        <v>265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265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265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265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265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265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265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265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Call someone to account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Consistency of Conduct Enforcement</v>
      </c>
      <c r="I161" t="s">
        <v>265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265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265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265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265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265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265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265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265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265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265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265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265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265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265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265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Sense of Ownership</v>
      </c>
      <c r="I177" t="s">
        <v>265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265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265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265</v>
      </c>
    </row>
    <row r="181" spans="1:9" x14ac:dyDescent="0.35">
      <c r="A181" t="s">
        <v>93</v>
      </c>
      <c r="B181" t="s">
        <v>51</v>
      </c>
      <c r="C181" t="s">
        <v>2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4</v>
      </c>
      <c r="F181">
        <f>Table7[[#This Row],[Scores]] * 20</f>
        <v>80</v>
      </c>
      <c r="G181">
        <f>IF(OR(Table7[[#This Row],[Response]]="Strongly Agree",Table7[[#This Row],[Response]]="Agree"),1,0)</f>
        <v>1</v>
      </c>
      <c r="H181" t="str">
        <f>_xlfn.XLOOKUP(Table7[[#This Row],[QuestionID]], FinalQuestions!$A:$A, FinalQuestions!$D:$D,"")</f>
        <v>Effectiveness of Risk Communication &amp; Training</v>
      </c>
      <c r="I181" t="s">
        <v>265</v>
      </c>
    </row>
    <row r="182" spans="1:9" x14ac:dyDescent="0.35">
      <c r="A182" t="s">
        <v>93</v>
      </c>
      <c r="B182" t="s">
        <v>53</v>
      </c>
      <c r="C182" t="s">
        <v>2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4</v>
      </c>
      <c r="F182">
        <f>Table7[[#This Row],[Scores]] * 20</f>
        <v>80</v>
      </c>
      <c r="G182">
        <f>IF(OR(Table7[[#This Row],[Response]]="Strongly Agree",Table7[[#This Row],[Response]]="Agree"),1,0)</f>
        <v>1</v>
      </c>
      <c r="H182" t="str">
        <f>_xlfn.XLOOKUP(Table7[[#This Row],[QuestionID]], FinalQuestions!$A:$A, FinalQuestions!$D:$D,"")</f>
        <v>Compliance Confidence in team</v>
      </c>
      <c r="I182" t="s">
        <v>265</v>
      </c>
    </row>
    <row r="183" spans="1:9" x14ac:dyDescent="0.35">
      <c r="A183" t="s">
        <v>93</v>
      </c>
      <c r="B183" t="s">
        <v>55</v>
      </c>
      <c r="C183" t="s">
        <v>2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4</v>
      </c>
      <c r="F183">
        <f>Table7[[#This Row],[Scores]] * 20</f>
        <v>80</v>
      </c>
      <c r="G183">
        <f>IF(OR(Table7[[#This Row],[Response]]="Strongly Agree",Table7[[#This Row],[Response]]="Agree"),1,0)</f>
        <v>1</v>
      </c>
      <c r="H183" t="str">
        <f>_xlfn.XLOOKUP(Table7[[#This Row],[QuestionID]], FinalQuestions!$A:$A, FinalQuestions!$D:$D,"")</f>
        <v>Transparency in Decision‑Making</v>
      </c>
      <c r="I183" t="s">
        <v>265</v>
      </c>
    </row>
    <row r="184" spans="1:9" x14ac:dyDescent="0.35">
      <c r="A184" t="s">
        <v>93</v>
      </c>
      <c r="B184" t="s">
        <v>57</v>
      </c>
      <c r="C184" t="s">
        <v>2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4</v>
      </c>
      <c r="F184">
        <f>Table7[[#This Row],[Scores]] * 20</f>
        <v>80</v>
      </c>
      <c r="G184">
        <f>IF(OR(Table7[[#This Row],[Response]]="Strongly Agree",Table7[[#This Row],[Response]]="Agree"),1,0)</f>
        <v>1</v>
      </c>
      <c r="H184" t="str">
        <f>_xlfn.XLOOKUP(Table7[[#This Row],[QuestionID]], FinalQuestions!$A:$A, FinalQuestions!$D:$D,"")</f>
        <v>Fairness &amp; Equity of Expectations</v>
      </c>
      <c r="I184" t="s">
        <v>265</v>
      </c>
    </row>
    <row r="185" spans="1:9" x14ac:dyDescent="0.35">
      <c r="A185" t="s">
        <v>93</v>
      </c>
      <c r="B185" t="s">
        <v>59</v>
      </c>
      <c r="C185" t="s">
        <v>2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4</v>
      </c>
      <c r="F185">
        <f>Table7[[#This Row],[Scores]] * 20</f>
        <v>80</v>
      </c>
      <c r="G185">
        <f>IF(OR(Table7[[#This Row],[Response]]="Strongly Agree",Table7[[#This Row],[Response]]="Agree"),1,0)</f>
        <v>1</v>
      </c>
      <c r="H185" t="str">
        <f>_xlfn.XLOOKUP(Table7[[#This Row],[QuestionID]], FinalQuestions!$A:$A, FinalQuestions!$D:$D,"")</f>
        <v>Leadership Awareness in the team</v>
      </c>
      <c r="I185" t="s">
        <v>265</v>
      </c>
    </row>
    <row r="186" spans="1:9" x14ac:dyDescent="0.35">
      <c r="A186" t="s">
        <v>93</v>
      </c>
      <c r="B186" t="s">
        <v>61</v>
      </c>
      <c r="C186" t="s">
        <v>2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4</v>
      </c>
      <c r="F186">
        <f>Table7[[#This Row],[Scores]] * 20</f>
        <v>80</v>
      </c>
      <c r="G186">
        <f>IF(OR(Table7[[#This Row],[Response]]="Strongly Agree",Table7[[#This Row],[Response]]="Agree"),1,0)</f>
        <v>1</v>
      </c>
      <c r="H186" t="str">
        <f>_xlfn.XLOOKUP(Table7[[#This Row],[QuestionID]], FinalQuestions!$A:$A, FinalQuestions!$D:$D,"")</f>
        <v>Motivation for Risk Ownership</v>
      </c>
      <c r="I186" t="s">
        <v>265</v>
      </c>
    </row>
    <row r="187" spans="1:9" x14ac:dyDescent="0.35">
      <c r="A187" t="s">
        <v>93</v>
      </c>
      <c r="B187" t="s">
        <v>63</v>
      </c>
      <c r="C187" t="s">
        <v>2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4</v>
      </c>
      <c r="F187">
        <f>Table7[[#This Row],[Scores]] * 20</f>
        <v>80</v>
      </c>
      <c r="G187">
        <f>IF(OR(Table7[[#This Row],[Response]]="Strongly Agree",Table7[[#This Row],[Response]]="Agree"),1,0)</f>
        <v>1</v>
      </c>
      <c r="H187" t="str">
        <f>_xlfn.XLOOKUP(Table7[[#This Row],[QuestionID]], FinalQuestions!$A:$A, FinalQuestions!$D:$D,"")</f>
        <v>Sense of Belonging to the Organization</v>
      </c>
      <c r="I187" t="s">
        <v>265</v>
      </c>
    </row>
    <row r="188" spans="1:9" x14ac:dyDescent="0.35">
      <c r="A188" t="s">
        <v>93</v>
      </c>
      <c r="B188" t="s">
        <v>65</v>
      </c>
      <c r="C188" t="s">
        <v>2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4</v>
      </c>
      <c r="F188">
        <f>Table7[[#This Row],[Scores]] * 20</f>
        <v>80</v>
      </c>
      <c r="G188">
        <f>IF(OR(Table7[[#This Row],[Response]]="Strongly Agree",Table7[[#This Row],[Response]]="Agree"),1,0)</f>
        <v>1</v>
      </c>
      <c r="H188" t="str">
        <f>_xlfn.XLOOKUP(Table7[[#This Row],[QuestionID]], FinalQuestions!$A:$A, FinalQuestions!$D:$D,"")</f>
        <v>Consideration of Impact on Others</v>
      </c>
      <c r="I188" t="s">
        <v>265</v>
      </c>
    </row>
    <row r="189" spans="1:9" x14ac:dyDescent="0.35">
      <c r="A189" t="s">
        <v>93</v>
      </c>
      <c r="B189" t="s">
        <v>67</v>
      </c>
      <c r="C189" t="s">
        <v>2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4</v>
      </c>
      <c r="F189">
        <f>Table7[[#This Row],[Scores]] * 20</f>
        <v>80</v>
      </c>
      <c r="G189">
        <f>IF(OR(Table7[[#This Row],[Response]]="Strongly Agree",Table7[[#This Row],[Response]]="Agree"),1,0)</f>
        <v>1</v>
      </c>
      <c r="H189" t="str">
        <f>_xlfn.XLOOKUP(Table7[[#This Row],[QuestionID]], FinalQuestions!$A:$A, FinalQuestions!$D:$D,"")</f>
        <v>Accountability for Risk Actions</v>
      </c>
      <c r="I189" t="s">
        <v>265</v>
      </c>
    </row>
    <row r="190" spans="1:9" x14ac:dyDescent="0.35">
      <c r="A190" t="s">
        <v>93</v>
      </c>
      <c r="B190" t="s">
        <v>69</v>
      </c>
      <c r="C190" t="s">
        <v>2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4</v>
      </c>
      <c r="F190">
        <f>Table7[[#This Row],[Scores]] * 20</f>
        <v>80</v>
      </c>
      <c r="G190">
        <f>IF(OR(Table7[[#This Row],[Response]]="Strongly Agree",Table7[[#This Row],[Response]]="Agree"),1,0)</f>
        <v>1</v>
      </c>
      <c r="H190" t="str">
        <f>_xlfn.XLOOKUP(Table7[[#This Row],[QuestionID]], FinalQuestions!$A:$A, FinalQuestions!$D:$D,"")</f>
        <v xml:space="preserve">Peer to peer Accountability </v>
      </c>
      <c r="I190" t="s">
        <v>265</v>
      </c>
    </row>
    <row r="191" spans="1:9" x14ac:dyDescent="0.35">
      <c r="A191" t="s">
        <v>93</v>
      </c>
      <c r="B191" t="s">
        <v>71</v>
      </c>
      <c r="C191" t="s">
        <v>2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4</v>
      </c>
      <c r="F191">
        <f>Table7[[#This Row],[Scores]] * 20</f>
        <v>80</v>
      </c>
      <c r="G191">
        <f>IF(OR(Table7[[#This Row],[Response]]="Strongly Agree",Table7[[#This Row],[Response]]="Agree"),1,0)</f>
        <v>1</v>
      </c>
      <c r="H191" t="str">
        <f>_xlfn.XLOOKUP(Table7[[#This Row],[QuestionID]], FinalQuestions!$A:$A, FinalQuestions!$D:$D,"")</f>
        <v>Timely Resolution of Accountability Issues</v>
      </c>
      <c r="I191" t="s">
        <v>265</v>
      </c>
    </row>
    <row r="192" spans="1:9" x14ac:dyDescent="0.35">
      <c r="A192" t="s">
        <v>93</v>
      </c>
      <c r="B192" t="s">
        <v>73</v>
      </c>
      <c r="C192" t="s">
        <v>2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4</v>
      </c>
      <c r="F192">
        <f>Table7[[#This Row],[Scores]] * 20</f>
        <v>80</v>
      </c>
      <c r="G192">
        <f>IF(OR(Table7[[#This Row],[Response]]="Strongly Agree",Table7[[#This Row],[Response]]="Agree"),1,0)</f>
        <v>1</v>
      </c>
      <c r="H192" t="str">
        <f>_xlfn.XLOOKUP(Table7[[#This Row],[QuestionID]], FinalQuestions!$A:$A, FinalQuestions!$D:$D,"")</f>
        <v>Comfort for Reporting Non‑Compliance.</v>
      </c>
      <c r="I192" t="s">
        <v>265</v>
      </c>
    </row>
    <row r="193" spans="1:9" x14ac:dyDescent="0.35">
      <c r="A193" t="s">
        <v>93</v>
      </c>
      <c r="B193" t="s">
        <v>75</v>
      </c>
      <c r="C193" t="s">
        <v>2</v>
      </c>
      <c r="D193" t="str">
        <f>VLOOKUP(Table7[[#This Row],[QuestionID]], FinalQuestions!$A:$C, 3, FALSE)</f>
        <v>Call someone to account</v>
      </c>
      <c r="E193">
        <f>IF(Table7[[#This Row],[Response]]="","",CHOOSE(MATCH(Table7[[#This Row],[Response]],{"Strongly Agree","Agree","Neutral","Disagree","Strongly Disagree","Not Applicable"},0),5,4,3,2,1,""))</f>
        <v>4</v>
      </c>
      <c r="F193">
        <f>Table7[[#This Row],[Scores]] * 20</f>
        <v>80</v>
      </c>
      <c r="G193">
        <f>IF(OR(Table7[[#This Row],[Response]]="Strongly Agree",Table7[[#This Row],[Response]]="Agree"),1,0)</f>
        <v>1</v>
      </c>
      <c r="H193" t="str">
        <f>_xlfn.XLOOKUP(Table7[[#This Row],[QuestionID]], FinalQuestions!$A:$A, FinalQuestions!$D:$D,"")</f>
        <v>Consistency of Conduct Enforcement</v>
      </c>
      <c r="I193" t="s">
        <v>265</v>
      </c>
    </row>
    <row r="194" spans="1:9" x14ac:dyDescent="0.35">
      <c r="A194" t="s">
        <v>94</v>
      </c>
      <c r="B194" t="s">
        <v>13</v>
      </c>
      <c r="C194" t="s">
        <v>2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4</v>
      </c>
      <c r="F194">
        <f>Table7[[#This Row],[Scores]] * 20</f>
        <v>80</v>
      </c>
      <c r="G194">
        <f>IF(OR(Table7[[#This Row],[Response]]="Strongly Agree",Table7[[#This Row],[Response]]="Agree"),1,0)</f>
        <v>1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263</v>
      </c>
    </row>
    <row r="195" spans="1:9" x14ac:dyDescent="0.35">
      <c r="A195" t="s">
        <v>94</v>
      </c>
      <c r="B195" t="s">
        <v>15</v>
      </c>
      <c r="C195" t="s">
        <v>2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4</v>
      </c>
      <c r="F195">
        <f>Table7[[#This Row],[Scores]] * 20</f>
        <v>80</v>
      </c>
      <c r="G195">
        <f>IF(OR(Table7[[#This Row],[Response]]="Strongly Agree",Table7[[#This Row],[Response]]="Agree"),1,0)</f>
        <v>1</v>
      </c>
      <c r="H195" t="str">
        <f>_xlfn.XLOOKUP(Table7[[#This Row],[QuestionID]], FinalQuestions!$A:$A, FinalQuestions!$D:$D,"")</f>
        <v>Executive Commitment to Risk Culture</v>
      </c>
      <c r="I195" t="s">
        <v>263</v>
      </c>
    </row>
    <row r="196" spans="1:9" x14ac:dyDescent="0.35">
      <c r="A196" t="s">
        <v>94</v>
      </c>
      <c r="B196" t="s">
        <v>17</v>
      </c>
      <c r="C196" t="s">
        <v>2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4</v>
      </c>
      <c r="F196">
        <f>Table7[[#This Row],[Scores]] * 20</f>
        <v>80</v>
      </c>
      <c r="G196">
        <f>IF(OR(Table7[[#This Row],[Response]]="Strongly Agree",Table7[[#This Row],[Response]]="Agree"),1,0)</f>
        <v>1</v>
      </c>
      <c r="H196" t="str">
        <f>_xlfn.XLOOKUP(Table7[[#This Row],[QuestionID]], FinalQuestions!$A:$A, FinalQuestions!$D:$D,"")</f>
        <v>Leadership Encouragement to Escalate Risks</v>
      </c>
      <c r="I196" t="s">
        <v>263</v>
      </c>
    </row>
    <row r="197" spans="1:9" x14ac:dyDescent="0.35">
      <c r="A197" t="s">
        <v>94</v>
      </c>
      <c r="B197" t="s">
        <v>19</v>
      </c>
      <c r="C197" t="s">
        <v>2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4</v>
      </c>
      <c r="F197">
        <f>Table7[[#This Row],[Scores]] * 20</f>
        <v>80</v>
      </c>
      <c r="G197">
        <f>IF(OR(Table7[[#This Row],[Response]]="Strongly Agree",Table7[[#This Row],[Response]]="Agree"),1,0)</f>
        <v>1</v>
      </c>
      <c r="H197" t="str">
        <f>_xlfn.XLOOKUP(Table7[[#This Row],[QuestionID]], FinalQuestions!$A:$A, FinalQuestions!$D:$D,"")</f>
        <v>Long-Term Decision Awareness</v>
      </c>
      <c r="I197" t="s">
        <v>263</v>
      </c>
    </row>
    <row r="198" spans="1:9" x14ac:dyDescent="0.35">
      <c r="A198" t="s">
        <v>94</v>
      </c>
      <c r="B198" t="s">
        <v>21</v>
      </c>
      <c r="C198" t="s">
        <v>2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4</v>
      </c>
      <c r="F198">
        <f>Table7[[#This Row],[Scores]] * 20</f>
        <v>80</v>
      </c>
      <c r="G198">
        <f>IF(OR(Table7[[#This Row],[Response]]="Strongly Agree",Table7[[#This Row],[Response]]="Agree"),1,0)</f>
        <v>1</v>
      </c>
      <c r="H198" t="str">
        <f>_xlfn.XLOOKUP(Table7[[#This Row],[QuestionID]], FinalQuestions!$A:$A, FinalQuestions!$D:$D,"")</f>
        <v>Openness to Discussions</v>
      </c>
      <c r="I198" t="s">
        <v>263</v>
      </c>
    </row>
    <row r="199" spans="1:9" x14ac:dyDescent="0.35">
      <c r="A199" t="s">
        <v>94</v>
      </c>
      <c r="B199" t="s">
        <v>23</v>
      </c>
      <c r="C199" t="s">
        <v>2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4</v>
      </c>
      <c r="F199">
        <f>Table7[[#This Row],[Scores]] * 20</f>
        <v>80</v>
      </c>
      <c r="G199">
        <f>IF(OR(Table7[[#This Row],[Response]]="Strongly Agree",Table7[[#This Row],[Response]]="Agree"),1,0)</f>
        <v>1</v>
      </c>
      <c r="H199" t="str">
        <f>_xlfn.XLOOKUP(Table7[[#This Row],[QuestionID]], FinalQuestions!$A:$A, FinalQuestions!$D:$D,"")</f>
        <v>Access to Guidance</v>
      </c>
      <c r="I199" t="s">
        <v>263</v>
      </c>
    </row>
    <row r="200" spans="1:9" x14ac:dyDescent="0.35">
      <c r="A200" t="s">
        <v>94</v>
      </c>
      <c r="B200" t="s">
        <v>25</v>
      </c>
      <c r="C200" t="s">
        <v>2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4</v>
      </c>
      <c r="F200">
        <f>Table7[[#This Row],[Scores]] * 20</f>
        <v>80</v>
      </c>
      <c r="G200">
        <f>IF(OR(Table7[[#This Row],[Response]]="Strongly Agree",Table7[[#This Row],[Response]]="Agree"),1,0)</f>
        <v>1</v>
      </c>
      <c r="H200" t="str">
        <f>_xlfn.XLOOKUP(Table7[[#This Row],[QuestionID]], FinalQuestions!$A:$A, FinalQuestions!$D:$D,"")</f>
        <v>Openness to Sharing Opinions</v>
      </c>
      <c r="I200" t="s">
        <v>263</v>
      </c>
    </row>
    <row r="201" spans="1:9" x14ac:dyDescent="0.35">
      <c r="A201" t="s">
        <v>94</v>
      </c>
      <c r="B201" t="s">
        <v>27</v>
      </c>
      <c r="C201" t="s">
        <v>2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4</v>
      </c>
      <c r="F201">
        <f>Table7[[#This Row],[Scores]] * 20</f>
        <v>80</v>
      </c>
      <c r="G201">
        <f>IF(OR(Table7[[#This Row],[Response]]="Strongly Agree",Table7[[#This Row],[Response]]="Agree"),1,0)</f>
        <v>1</v>
      </c>
      <c r="H201" t="str">
        <f>_xlfn.XLOOKUP(Table7[[#This Row],[QuestionID]], FinalQuestions!$A:$A, FinalQuestions!$D:$D,"")</f>
        <v>Comfort in Reporting Risk Dilemmas</v>
      </c>
      <c r="I201" t="s">
        <v>263</v>
      </c>
    </row>
    <row r="202" spans="1:9" x14ac:dyDescent="0.35">
      <c r="A202" t="s">
        <v>94</v>
      </c>
      <c r="B202" t="s">
        <v>29</v>
      </c>
      <c r="C202" t="s">
        <v>2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4</v>
      </c>
      <c r="F202">
        <f>Table7[[#This Row],[Scores]] * 20</f>
        <v>80</v>
      </c>
      <c r="G202">
        <f>IF(OR(Table7[[#This Row],[Response]]="Strongly Agree",Table7[[#This Row],[Response]]="Agree"),1,0)</f>
        <v>1</v>
      </c>
      <c r="H202" t="str">
        <f>_xlfn.XLOOKUP(Table7[[#This Row],[QuestionID]], FinalQuestions!$A:$A, FinalQuestions!$D:$D,"")</f>
        <v>Adequacy of Risk Management Training</v>
      </c>
      <c r="I202" t="s">
        <v>263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263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263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263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263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263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263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Sense of Ownership</v>
      </c>
      <c r="I209" t="s">
        <v>263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263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263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263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263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>Compliance Confidence in team</v>
      </c>
      <c r="I214" t="s">
        <v>263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Transparency in Decision‑Making</v>
      </c>
      <c r="I215" t="s">
        <v>263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Fairness &amp; Equity of Expectations</v>
      </c>
      <c r="I216" t="s">
        <v>263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Leadership Awareness in the team</v>
      </c>
      <c r="I217" t="s">
        <v>263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263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263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263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263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263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263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263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Call someone to account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Consistency of Conduct Enforcement</v>
      </c>
      <c r="I225" t="s">
        <v>263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266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266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266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266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266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266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266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266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266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266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266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266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266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266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266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Sense of Ownership</v>
      </c>
      <c r="I241" t="s">
        <v>266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266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266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266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266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>Compliance Confidence in team</v>
      </c>
      <c r="I246" t="s">
        <v>266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Transparency in Decision‑Making</v>
      </c>
      <c r="I247" t="s">
        <v>266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Fairness &amp; Equity of Expectations</v>
      </c>
      <c r="I248" t="s">
        <v>266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Leadership Awareness in the team</v>
      </c>
      <c r="I249" t="s">
        <v>266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266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266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266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266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266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266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266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Call someone to account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Consistency of Conduct Enforcement</v>
      </c>
      <c r="I257" t="s">
        <v>266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262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262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262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262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262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262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262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262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262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262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262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262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262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262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262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Sense of Ownership</v>
      </c>
      <c r="I273" t="s">
        <v>262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262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262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262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262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>Compliance Confidence in team</v>
      </c>
      <c r="I278" t="s">
        <v>262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Transparency in Decision‑Making</v>
      </c>
      <c r="I279" t="s">
        <v>262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Fairness &amp; Equity of Expectations</v>
      </c>
      <c r="I280" t="s">
        <v>262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Leadership Awareness in the team</v>
      </c>
      <c r="I281" t="s">
        <v>262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262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262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262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262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262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262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262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Call someone to account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Consistency of Conduct Enforcement</v>
      </c>
      <c r="I289" t="s">
        <v>262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263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263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263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263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263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263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263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263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263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263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263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263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263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263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263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Sense of Ownership</v>
      </c>
      <c r="I305" t="s">
        <v>263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263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263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263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263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>Compliance Confidence in team</v>
      </c>
      <c r="I310" t="s">
        <v>263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Transparency in Decision‑Making</v>
      </c>
      <c r="I311" t="s">
        <v>263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Fairness &amp; Equity of Expectations</v>
      </c>
      <c r="I312" t="s">
        <v>263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Leadership Awareness in the team</v>
      </c>
      <c r="I313" t="s">
        <v>263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263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263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263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263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263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263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263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Call someone to account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Consistency of Conduct Enforcement</v>
      </c>
      <c r="I321" t="s">
        <v>263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267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267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267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267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267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267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267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267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267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267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267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267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267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267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267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Sense of Ownership</v>
      </c>
      <c r="I337" t="s">
        <v>267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267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267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267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267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>Compliance Confidence in team</v>
      </c>
      <c r="I342" t="s">
        <v>267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Transparency in Decision‑Making</v>
      </c>
      <c r="I343" t="s">
        <v>267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Fairness &amp; Equity of Expectations</v>
      </c>
      <c r="I344" t="s">
        <v>267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Leadership Awareness in the team</v>
      </c>
      <c r="I345" t="s">
        <v>267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267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267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267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267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267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267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267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Call someone to account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Consistency of Conduct Enforcement</v>
      </c>
      <c r="I353" t="s">
        <v>267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268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268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268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268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268</v>
      </c>
    </row>
    <row r="359" spans="1:9" x14ac:dyDescent="0.35">
      <c r="A359" t="s">
        <v>99</v>
      </c>
      <c r="B359" t="s">
        <v>23</v>
      </c>
      <c r="C359" t="s">
        <v>6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2</v>
      </c>
      <c r="F359">
        <f>Table7[[#This Row],[Scores]] * 20</f>
        <v>40</v>
      </c>
      <c r="G359">
        <f>IF(OR(Table7[[#This Row],[Response]]="Strongly Agree",Table7[[#This Row],[Response]]="Agree"),1,0)</f>
        <v>0</v>
      </c>
      <c r="H359" t="str">
        <f>_xlfn.XLOOKUP(Table7[[#This Row],[QuestionID]], FinalQuestions!$A:$A, FinalQuestions!$D:$D,"")</f>
        <v>Access to Guidance</v>
      </c>
      <c r="I359" t="s">
        <v>268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268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268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268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268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268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268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268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268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268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Sense of Ownership</v>
      </c>
      <c r="I369" t="s">
        <v>268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268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268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268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268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>Compliance Confidence in team</v>
      </c>
      <c r="I374" t="s">
        <v>268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Transparency in Decision‑Making</v>
      </c>
      <c r="I375" t="s">
        <v>268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Fairness &amp; Equity of Expectations</v>
      </c>
      <c r="I376" t="s">
        <v>268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Leadership Awareness in the team</v>
      </c>
      <c r="I377" t="s">
        <v>268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268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268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268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268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268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268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268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Call someone to account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Consistency of Conduct Enforcement</v>
      </c>
      <c r="I385" t="s">
        <v>268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265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265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265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265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265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265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265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265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265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265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265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265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265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265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265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Sense of Ownership</v>
      </c>
      <c r="I401" t="s">
        <v>265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265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265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265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265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>Compliance Confidence in team</v>
      </c>
      <c r="I406" t="s">
        <v>265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Transparency in Decision‑Making</v>
      </c>
      <c r="I407" t="s">
        <v>265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Fairness &amp; Equity of Expectations</v>
      </c>
      <c r="I408" t="s">
        <v>265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Leadership Awareness in the team</v>
      </c>
      <c r="I409" t="s">
        <v>265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265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265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265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265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265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265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265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Call someone to account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Consistency of Conduct Enforcement</v>
      </c>
      <c r="I417" t="s">
        <v>265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266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266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266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266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266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266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266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266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266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266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266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266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266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266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266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Sense of Ownership</v>
      </c>
      <c r="I433" t="s">
        <v>266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266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266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266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266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>Compliance Confidence in team</v>
      </c>
      <c r="I438" t="s">
        <v>266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Transparency in Decision‑Making</v>
      </c>
      <c r="I439" t="s">
        <v>266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Fairness &amp; Equity of Expectations</v>
      </c>
      <c r="I440" t="s">
        <v>266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Leadership Awareness in the team</v>
      </c>
      <c r="I441" t="s">
        <v>266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266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266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266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266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266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266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266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Call someone to account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Consistency of Conduct Enforcement</v>
      </c>
      <c r="I449" t="s">
        <v>266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267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267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267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267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267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267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267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267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267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267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267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267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267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267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267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Sense of Ownership</v>
      </c>
      <c r="I465" t="s">
        <v>267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267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267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267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267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>Compliance Confidence in team</v>
      </c>
      <c r="I470" t="s">
        <v>267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Transparency in Decision‑Making</v>
      </c>
      <c r="I471" t="s">
        <v>267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Fairness &amp; Equity of Expectations</v>
      </c>
      <c r="I472" t="s">
        <v>267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Leadership Awareness in the team</v>
      </c>
      <c r="I473" t="s">
        <v>267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267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267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267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267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267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267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267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Call someone to account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Consistency of Conduct Enforcement</v>
      </c>
      <c r="I481" t="s">
        <v>267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267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267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267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267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267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267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267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267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267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267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267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267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267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267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267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Sense of Ownership</v>
      </c>
      <c r="I497" t="s">
        <v>267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267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267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267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267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>Compliance Confidence in team</v>
      </c>
      <c r="I502" t="s">
        <v>267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Transparency in Decision‑Making</v>
      </c>
      <c r="I503" t="s">
        <v>267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Fairness &amp; Equity of Expectations</v>
      </c>
      <c r="I504" t="s">
        <v>267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Leadership Awareness in the team</v>
      </c>
      <c r="I505" t="s">
        <v>267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267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267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267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267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267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267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267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Call someone to account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Consistency of Conduct Enforcement</v>
      </c>
      <c r="I513" t="s">
        <v>267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265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265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265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265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265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265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265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265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265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265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265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265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265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265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265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Sense of Ownership</v>
      </c>
      <c r="I529" t="s">
        <v>265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265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265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265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265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>Compliance Confidence in team</v>
      </c>
      <c r="I534" t="s">
        <v>265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Transparency in Decision‑Making</v>
      </c>
      <c r="I535" t="s">
        <v>265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Fairness &amp; Equity of Expectations</v>
      </c>
      <c r="I536" t="s">
        <v>265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Leadership Awareness in the team</v>
      </c>
      <c r="I537" t="s">
        <v>265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265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265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265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265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265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265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265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Call someone to account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Consistency of Conduct Enforcement</v>
      </c>
      <c r="I545" t="s">
        <v>265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262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262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262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262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262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262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262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262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262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262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262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262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262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262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262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Sense of Ownership</v>
      </c>
      <c r="I561" t="s">
        <v>262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262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262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262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262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>Compliance Confidence in team</v>
      </c>
      <c r="I566" t="s">
        <v>262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Transparency in Decision‑Making</v>
      </c>
      <c r="I567" t="s">
        <v>262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Fairness &amp; Equity of Expectations</v>
      </c>
      <c r="I568" t="s">
        <v>262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Leadership Awareness in the team</v>
      </c>
      <c r="I569" t="s">
        <v>262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262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262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262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262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262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262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262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Call someone to account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Consistency of Conduct Enforcement</v>
      </c>
      <c r="I577" t="s">
        <v>262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263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263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263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263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263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263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263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263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263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263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263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263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263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263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263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Sense of Ownership</v>
      </c>
      <c r="I593" t="s">
        <v>263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263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263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263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263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>Compliance Confidence in team</v>
      </c>
      <c r="I598" t="s">
        <v>263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Transparency in Decision‑Making</v>
      </c>
      <c r="I599" t="s">
        <v>263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Fairness &amp; Equity of Expectations</v>
      </c>
      <c r="I600" t="s">
        <v>263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Leadership Awareness in the team</v>
      </c>
      <c r="I601" t="s">
        <v>263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263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263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263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263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263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263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263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Call someone to account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Consistency of Conduct Enforcement</v>
      </c>
      <c r="I609" t="s">
        <v>263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267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267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267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267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267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267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267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267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267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267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267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267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267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267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267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Sense of Ownership</v>
      </c>
      <c r="I625" t="s">
        <v>267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267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267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267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267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>Compliance Confidence in team</v>
      </c>
      <c r="I630" t="s">
        <v>267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Transparency in Decision‑Making</v>
      </c>
      <c r="I631" t="s">
        <v>267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Fairness &amp; Equity of Expectations</v>
      </c>
      <c r="I632" t="s">
        <v>267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Leadership Awareness in the team</v>
      </c>
      <c r="I633" t="s">
        <v>267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267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267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267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267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267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267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267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Call someone to account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Consistency of Conduct Enforcement</v>
      </c>
      <c r="I641" t="s">
        <v>267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263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263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263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263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263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263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263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263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263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263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263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263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263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263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263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Sense of Ownership</v>
      </c>
      <c r="I657" t="s">
        <v>263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263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263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263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263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>Compliance Confidence in team</v>
      </c>
      <c r="I662" t="s">
        <v>263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Transparency in Decision‑Making</v>
      </c>
      <c r="I663" t="s">
        <v>263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Fairness &amp; Equity of Expectations</v>
      </c>
      <c r="I664" t="s">
        <v>263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Leadership Awareness in the team</v>
      </c>
      <c r="I665" t="s">
        <v>263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263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263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263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263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263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263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263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Call someone to account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Consistency of Conduct Enforcement</v>
      </c>
      <c r="I673" t="s">
        <v>263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268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268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268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268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268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268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268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268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268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268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268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268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268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268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268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Sense of Ownership</v>
      </c>
      <c r="I689" t="s">
        <v>268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268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268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268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268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>Compliance Confidence in team</v>
      </c>
      <c r="I694" t="s">
        <v>268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Transparency in Decision‑Making</v>
      </c>
      <c r="I695" t="s">
        <v>268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Fairness &amp; Equity of Expectations</v>
      </c>
      <c r="I696" t="s">
        <v>268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Leadership Awareness in the team</v>
      </c>
      <c r="I697" t="s">
        <v>268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268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268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268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268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268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268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268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Call someone to account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Consistency of Conduct Enforcement</v>
      </c>
      <c r="I705" t="s">
        <v>268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267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267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267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267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267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267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267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267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267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267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267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267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267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267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267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Sense of Ownership</v>
      </c>
      <c r="I721" t="s">
        <v>267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267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267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267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267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>Compliance Confidence in team</v>
      </c>
      <c r="I726" t="s">
        <v>267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Transparency in Decision‑Making</v>
      </c>
      <c r="I727" t="s">
        <v>267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Fairness &amp; Equity of Expectations</v>
      </c>
      <c r="I728" t="s">
        <v>267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Leadership Awareness in the team</v>
      </c>
      <c r="I729" t="s">
        <v>267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267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267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267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267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267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267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267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Call someone to account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Consistency of Conduct Enforcement</v>
      </c>
      <c r="I737" t="s">
        <v>267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268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268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268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268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268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268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268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268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268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268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268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268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268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268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268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Sense of Ownership</v>
      </c>
      <c r="I753" t="s">
        <v>268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268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268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268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268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>Compliance Confidence in team</v>
      </c>
      <c r="I758" t="s">
        <v>268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Transparency in Decision‑Making</v>
      </c>
      <c r="I759" t="s">
        <v>268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Fairness &amp; Equity of Expectations</v>
      </c>
      <c r="I760" t="s">
        <v>268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Leadership Awareness in the team</v>
      </c>
      <c r="I761" t="s">
        <v>268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268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268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268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268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268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268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268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Call someone to account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Consistency of Conduct Enforcement</v>
      </c>
      <c r="I769" t="s">
        <v>268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268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268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268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268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268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268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268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268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268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268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268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268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268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268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268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Sense of Ownership</v>
      </c>
      <c r="I785" t="s">
        <v>268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268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268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268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268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>Compliance Confidence in team</v>
      </c>
      <c r="I790" t="s">
        <v>268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Transparency in Decision‑Making</v>
      </c>
      <c r="I791" t="s">
        <v>268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Fairness &amp; Equity of Expectations</v>
      </c>
      <c r="I792" t="s">
        <v>268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Leadership Awareness in the team</v>
      </c>
      <c r="I793" t="s">
        <v>268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268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268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268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268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268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268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268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Call someone to account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Consistency of Conduct Enforcement</v>
      </c>
      <c r="I801" t="s">
        <v>268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266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266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266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266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266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266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266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266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266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266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266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266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266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266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266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Sense of Ownership</v>
      </c>
      <c r="I817" t="s">
        <v>266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266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266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266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266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>Compliance Confidence in team</v>
      </c>
      <c r="I822" t="s">
        <v>266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Transparency in Decision‑Making</v>
      </c>
      <c r="I823" t="s">
        <v>266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Fairness &amp; Equity of Expectations</v>
      </c>
      <c r="I824" t="s">
        <v>266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Leadership Awareness in the team</v>
      </c>
      <c r="I825" t="s">
        <v>266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266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266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266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266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266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266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266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Call someone to account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Consistency of Conduct Enforcement</v>
      </c>
      <c r="I833" t="s">
        <v>266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zoomScale="104" workbookViewId="0">
      <selection activeCell="B7" sqref="B7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273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72.5</v>
      </c>
      <c r="C2">
        <f>_xlfn.LET(_xlpm.func,$A2,_xlpm.sc,C$1,AVERAGEIFS(Responses!$F:$F,Responses!$I:$I,_xlpm.func,Responses!$D:$D,_xlpm.sc))</f>
        <v>71.25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92.5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81.25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55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73.75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80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76.25</v>
      </c>
      <c r="C4">
        <f>_xlfn.LET(_xlpm.func,$A4,_xlpm.sc,C$1,AVERAGEIFS(Responses!$F:$F,Responses!$I:$I,_xlpm.func,Responses!$D:$D,_xlpm.sc))</f>
        <v>76.25</v>
      </c>
      <c r="D4">
        <f>_xlfn.LET(_xlpm.func,$A4,_xlpm.sc,D$1,AVERAGEIFS(Responses!$F:$F,Responses!$I:$I,_xlpm.func,Responses!$D:$D,_xlpm.sc))</f>
        <v>80</v>
      </c>
      <c r="E4">
        <f>_xlfn.LET(_xlpm.func,$A4,_xlpm.sc,E$1,AVERAGEIFS(Responses!$F:$F,Responses!$I:$I,_xlpm.func,Responses!$D:$D,_xlpm.sc))</f>
        <v>75</v>
      </c>
      <c r="F4">
        <f>_xlfn.LET(_xlpm.func,$A4,_xlpm.sc,F$1,AVERAGEIFS(Responses!$F:$F,Responses!$I:$I,_xlpm.func,Responses!$D:$D,_xlpm.sc))</f>
        <v>76.25</v>
      </c>
      <c r="G4">
        <f>_xlfn.LET(_xlpm.func,$A4,_xlpm.sc,G$1,AVERAGEIFS(Responses!$F:$F,Responses!$I:$I,_xlpm.func,Responses!$D:$D,_xlpm.sc))</f>
        <v>76.25</v>
      </c>
      <c r="H4">
        <f>_xlfn.LET(_xlpm.func,$A4,_xlpm.sc,H$1,AVERAGEIFS(Responses!$F:$F,Responses!$I:$I,_xlpm.func,Responses!$D:$D,_xlpm.sc))</f>
        <v>75</v>
      </c>
      <c r="I4">
        <f>_xlfn.LET(_xlpm.func,$A4,_xlpm.sc,I$1,AVERAGEIFS(Responses!$F:$F,Responses!$I:$I,_xlpm.func,Responses!$D:$D,_xlpm.sc))</f>
        <v>77.5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80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60</v>
      </c>
      <c r="C6">
        <f>_xlfn.LET(_xlpm.func,$A6,_xlpm.sc,C$1,AVERAGEIFS(Responses!$F:$F,Responses!$I:$I,_xlpm.func,Responses!$D:$D,_xlpm.sc))</f>
        <v>64</v>
      </c>
      <c r="D6">
        <f>_xlfn.LET(_xlpm.func,$A6,_xlpm.sc,D$1,AVERAGEIFS(Responses!$F:$F,Responses!$I:$I,_xlpm.func,Responses!$D:$D,_xlpm.sc))</f>
        <v>64</v>
      </c>
      <c r="E6">
        <f>_xlfn.LET(_xlpm.func,$A6,_xlpm.sc,E$1,AVERAGEIFS(Responses!$F:$F,Responses!$I:$I,_xlpm.func,Responses!$D:$D,_xlpm.sc))</f>
        <v>70</v>
      </c>
      <c r="F6">
        <f>_xlfn.LET(_xlpm.func,$A6,_xlpm.sc,F$1,AVERAGEIFS(Responses!$F:$F,Responses!$I:$I,_xlpm.func,Responses!$D:$D,_xlpm.sc))</f>
        <v>66</v>
      </c>
      <c r="G6">
        <f>_xlfn.LET(_xlpm.func,$A6,_xlpm.sc,G$1,AVERAGEIFS(Responses!$F:$F,Responses!$I:$I,_xlpm.func,Responses!$D:$D,_xlpm.sc))</f>
        <v>67</v>
      </c>
      <c r="H6">
        <f>_xlfn.LET(_xlpm.func,$A6,_xlpm.sc,H$1,AVERAGEIFS(Responses!$F:$F,Responses!$I:$I,_xlpm.func,Responses!$D:$D,_xlpm.sc))</f>
        <v>67</v>
      </c>
      <c r="I6">
        <f>_xlfn.LET(_xlpm.func,$A6,_xlpm.sc,I$1,AVERAGEIFS(Responses!$F:$F,Responses!$I:$I,_xlpm.func,Responses!$D:$D,_xlpm.sc))</f>
        <v>69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73.75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77.5</v>
      </c>
      <c r="G7">
        <f>_xlfn.LET(_xlpm.func,$A7,_xlpm.sc,G$1,AVERAGEIFS(Responses!$F:$F,Responses!$I:$I,_xlpm.func,Responses!$D:$D,_xlpm.sc))</f>
        <v>78.75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274</v>
      </c>
      <c r="B10" s="41" t="s">
        <v>275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77</v>
      </c>
    </row>
    <row r="12" spans="1:9" x14ac:dyDescent="0.35">
      <c r="A12" s="42" t="str">
        <v>Finance</v>
      </c>
      <c r="B12">
        <f>IFERROR(ROUND(AVERAGEIFS(Responses!$F:$F,Responses!$I:$I,$A3),0),"")</f>
        <v>76</v>
      </c>
    </row>
    <row r="13" spans="1:9" x14ac:dyDescent="0.35">
      <c r="A13" s="42" t="str">
        <v>HR</v>
      </c>
      <c r="B13">
        <f>IFERROR(ROUND(AVERAGEIFS(Responses!$F:$F,Responses!$I:$I,$A4),0),"")</f>
        <v>77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66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276</v>
      </c>
      <c r="B26" t="s">
        <v>128</v>
      </c>
    </row>
    <row r="27" spans="1:2" x14ac:dyDescent="0.35">
      <c r="A27" t="s">
        <v>277</v>
      </c>
      <c r="B27" t="str">
        <f>INDEX($A$10:$A$16,MATCH(MAX($B$10:$B$16),$B$10:$B$16,0))&amp; "(" &amp; MAX($B$10:$B$16)&amp; ")"</f>
        <v>Sales(78)</v>
      </c>
    </row>
    <row r="28" spans="1:2" x14ac:dyDescent="0.35">
      <c r="A28" t="s">
        <v>278</v>
      </c>
      <c r="B28" t="str">
        <f>INDEX($A$10:$A$16, MATCH(MIN($B$10:$B$16), $B$10:$B$16, 0)) &amp; " (" &amp; MIN($B$10:$B$16) &amp; ")"</f>
        <v>Operations (66)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0633B-AB57-4540-8192-42E07B0495B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topLeftCell="BL1" zoomScale="81" zoomScaleNormal="81" workbookViewId="0">
      <selection activeCell="B2" sqref="B2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259</v>
      </c>
      <c r="B2" s="18">
        <f>IFERROR(AVERAGE(Responses!$F:$F), "")</f>
        <v>74.375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32</v>
      </c>
    </row>
    <row r="5" spans="1:18" ht="37.5" customHeight="1" x14ac:dyDescent="0.35">
      <c r="A5" s="20" t="s">
        <v>131</v>
      </c>
      <c r="B5" s="18">
        <f>SUM(Responses!$G:$G) / COUNTA(Responses!$G:$G)*100</f>
        <v>56.182472989195674</v>
      </c>
      <c r="R5" t="s">
        <v>220</v>
      </c>
    </row>
    <row r="6" spans="1:18" ht="42" customHeight="1" x14ac:dyDescent="0.35">
      <c r="A6" s="19" t="s">
        <v>132</v>
      </c>
      <c r="B6" s="18" t="str">
        <f>IF(B2&gt;=80,"Low",IF(B2&gt;=60,"Medium","High"))</f>
        <v>Medium</v>
      </c>
    </row>
    <row r="9" spans="1:18" ht="21" x14ac:dyDescent="0.5">
      <c r="L9" s="30" t="str">
        <f>"RCI Score: "&amp;TEXT(B2,"0")&amp;"%"</f>
        <v>RCI Score: 74%</v>
      </c>
      <c r="M9" s="29"/>
      <c r="P9" s="44" t="s">
        <v>259</v>
      </c>
    </row>
    <row r="10" spans="1:18" x14ac:dyDescent="0.35">
      <c r="P10">
        <f>IFERROR(AVERAGE(Responses!$F:$F), "")</f>
        <v>74.375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133.875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225.125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75</v>
      </c>
    </row>
    <row r="74" spans="1:2" x14ac:dyDescent="0.35">
      <c r="A74" s="23" t="s">
        <v>117</v>
      </c>
      <c r="B74">
        <f>IFERROR(ROUND(AVERAGEIFS(Responses!$F:$F,Responses!$D:$D,$A74),0),"")</f>
        <v>78</v>
      </c>
    </row>
    <row r="75" spans="1:2" x14ac:dyDescent="0.35">
      <c r="A75" s="22" t="s">
        <v>3</v>
      </c>
      <c r="B75">
        <f>IFERROR(ROUND(AVERAGEIFS(Responses!$F:$F,Responses!$D:$D,$A75),0),"")</f>
        <v>72</v>
      </c>
    </row>
    <row r="76" spans="1:2" x14ac:dyDescent="0.35">
      <c r="A76" s="23" t="s">
        <v>5</v>
      </c>
      <c r="B76">
        <f>IFERROR(ROUND(AVERAGEIFS(Responses!$F:$F,Responses!$D:$D,$A76),0),"")</f>
        <v>75</v>
      </c>
    </row>
    <row r="77" spans="1:2" x14ac:dyDescent="0.35">
      <c r="A77" s="22" t="s">
        <v>7</v>
      </c>
      <c r="B77">
        <f>IFERROR(ROUND(AVERAGEIFS(Responses!$F:$F,Responses!$D:$D,$A77),0),"")</f>
        <v>75</v>
      </c>
    </row>
    <row r="78" spans="1:2" x14ac:dyDescent="0.35">
      <c r="A78" s="23" t="s">
        <v>8</v>
      </c>
      <c r="B78">
        <f>IFERROR(ROUND(AVERAGEIFS(Responses!$F:$F,Responses!$D:$D,$A78),0),"")</f>
        <v>75</v>
      </c>
    </row>
    <row r="79" spans="1:2" x14ac:dyDescent="0.35">
      <c r="A79" s="22" t="s">
        <v>9</v>
      </c>
      <c r="B79">
        <f>IFERROR(ROUND(AVERAGEIFS(Responses!$F:$F,Responses!$D:$D,$A79),0),"")</f>
        <v>74</v>
      </c>
    </row>
    <row r="80" spans="1:2" x14ac:dyDescent="0.35">
      <c r="A80" s="23" t="s">
        <v>10</v>
      </c>
      <c r="B80">
        <f>IFERROR(ROUND(AVERAGEIFS(Responses!$F:$F,Responses!$D:$D,$A80),0),"")</f>
        <v>70</v>
      </c>
    </row>
  </sheetData>
  <conditionalFormatting sqref="B2">
    <cfRule type="cellIs" dxfId="19" priority="7" operator="lessThan">
      <formula>70</formula>
    </cfRule>
    <cfRule type="cellIs" dxfId="18" priority="8" operator="greaterThan">
      <formula>70</formula>
    </cfRule>
    <cfRule type="cellIs" dxfId="17" priority="9" operator="greaterThan">
      <formula>80</formula>
    </cfRule>
  </conditionalFormatting>
  <conditionalFormatting sqref="B5">
    <cfRule type="cellIs" dxfId="16" priority="4" operator="lessThan">
      <formula>70</formula>
    </cfRule>
    <cfRule type="cellIs" dxfId="15" priority="5" operator="greaterThan">
      <formula>80</formula>
    </cfRule>
    <cfRule type="cellIs" dxfId="14" priority="6" operator="greaterThan">
      <formula>70</formula>
    </cfRule>
  </conditionalFormatting>
  <conditionalFormatting sqref="B6">
    <cfRule type="containsText" dxfId="13" priority="1" operator="containsText" text="Low">
      <formula>NOT(ISERROR(SEARCH("Low",B6)))</formula>
    </cfRule>
    <cfRule type="containsText" dxfId="12" priority="2" operator="containsText" text="Medium">
      <formula>NOT(ISERROR(SEARCH("Medium",B6)))</formula>
    </cfRule>
    <cfRule type="containsText" dxfId="11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279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280</v>
      </c>
      <c r="I1" s="31" t="s">
        <v>5</v>
      </c>
    </row>
    <row r="2" spans="1:9" x14ac:dyDescent="0.35">
      <c r="A2" t="s">
        <v>281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282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283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284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285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286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287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288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289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290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A204" sqref="A204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4.25</v>
      </c>
      <c r="D2">
        <f>IFERROR(AVERAGEIFS(Responses!$F:$F,Responses!$A:$A,$A2,Responses!$D:$D,$B2),"")</f>
        <v>85</v>
      </c>
      <c r="E2">
        <f>IFERROR(SUMIFS(Responses!$G:$G,Responses!$A:$A,$A2,Responses!$D:$D,$B2)/COUNTIFS(Responses!$A:$A,$A2,Responses!$D:$D,$B2),0)*100</f>
        <v>75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4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4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4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3</v>
      </c>
      <c r="D16">
        <f>IFERROR(AVERAGEIFS(Responses!$F:$F,Responses!$A:$A,$A16,Responses!$D:$D,$B16),"")</f>
        <v>60</v>
      </c>
      <c r="E16">
        <f>IFERROR(SUMIFS(Responses!$G:$G,Responses!$A:$A,$A16,Responses!$D:$D,$B16)/COUNTIFS(Responses!$A:$A,$A16,Responses!$D:$D,$B16),0)*100</f>
        <v>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3</v>
      </c>
      <c r="D17">
        <f>IFERROR(AVERAGEIFS(Responses!$F:$F,Responses!$A:$A,$A17,Responses!$D:$D,$B17),"")</f>
        <v>60</v>
      </c>
      <c r="E17">
        <f>IFERROR(SUMIFS(Responses!$G:$G,Responses!$A:$A,$A17,Responses!$D:$D,$B17)/COUNTIFS(Responses!$A:$A,$A17,Responses!$D:$D,$B17),0)*100</f>
        <v>0</v>
      </c>
      <c r="F17">
        <f>COUNTIFS(Responses!$A:$A,$A17,Responses!$D:$D,$B17)</f>
        <v>4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3</v>
      </c>
      <c r="D18">
        <f>IFERROR(AVERAGEIFS(Responses!$F:$F,Responses!$A:$A,$A18,Responses!$D:$D,$B18),"")</f>
        <v>60</v>
      </c>
      <c r="E18">
        <f>IFERROR(SUMIFS(Responses!$G:$G,Responses!$A:$A,$A18,Responses!$D:$D,$B18)/COUNTIFS(Responses!$A:$A,$A18,Responses!$D:$D,$B18),0)*100</f>
        <v>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3</v>
      </c>
      <c r="D19">
        <f>IFERROR(AVERAGEIFS(Responses!$F:$F,Responses!$A:$A,$A19,Responses!$D:$D,$B19),"")</f>
        <v>60</v>
      </c>
      <c r="E19">
        <f>IFERROR(SUMIFS(Responses!$G:$G,Responses!$A:$A,$A19,Responses!$D:$D,$B19)/COUNTIFS(Responses!$A:$A,$A19,Responses!$D:$D,$B19),0)*100</f>
        <v>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3</v>
      </c>
      <c r="D20">
        <f>IFERROR(AVERAGEIFS(Responses!$F:$F,Responses!$A:$A,$A20,Responses!$D:$D,$B20),"")</f>
        <v>60</v>
      </c>
      <c r="E20">
        <f>IFERROR(SUMIFS(Responses!$G:$G,Responses!$A:$A,$A20,Responses!$D:$D,$B20)/COUNTIFS(Responses!$A:$A,$A20,Responses!$D:$D,$B20),0)*100</f>
        <v>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3</v>
      </c>
      <c r="D21">
        <f>IFERROR(AVERAGEIFS(Responses!$F:$F,Responses!$A:$A,$A21,Responses!$D:$D,$B21),"")</f>
        <v>60</v>
      </c>
      <c r="E21">
        <f>IFERROR(SUMIFS(Responses!$G:$G,Responses!$A:$A,$A21,Responses!$D:$D,$B21)/COUNTIFS(Responses!$A:$A,$A21,Responses!$D:$D,$B21),0)*100</f>
        <v>0</v>
      </c>
      <c r="F21">
        <f>COUNTIFS(Responses!$A:$A,$A21,Responses!$D:$D,$B21)</f>
        <v>4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3</v>
      </c>
      <c r="D22">
        <f>IFERROR(AVERAGEIFS(Responses!$F:$F,Responses!$A:$A,$A22,Responses!$D:$D,$B22),"")</f>
        <v>60</v>
      </c>
      <c r="E22">
        <f>IFERROR(SUMIFS(Responses!$G:$G,Responses!$A:$A,$A22,Responses!$D:$D,$B22)/COUNTIFS(Responses!$A:$A,$A22,Responses!$D:$D,$B22),0)*100</f>
        <v>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3</v>
      </c>
      <c r="D23">
        <f>IFERROR(AVERAGEIFS(Responses!$F:$F,Responses!$A:$A,$A23,Responses!$D:$D,$B23),"")</f>
        <v>60</v>
      </c>
      <c r="E23">
        <f>IFERROR(SUMIFS(Responses!$G:$G,Responses!$A:$A,$A23,Responses!$D:$D,$B23)/COUNTIFS(Responses!$A:$A,$A23,Responses!$D:$D,$B23),0)*100</f>
        <v>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3</v>
      </c>
      <c r="D24">
        <f>IFERROR(AVERAGEIFS(Responses!$F:$F,Responses!$A:$A,$A24,Responses!$D:$D,$B24),"")</f>
        <v>60</v>
      </c>
      <c r="E24">
        <f>IFERROR(SUMIFS(Responses!$G:$G,Responses!$A:$A,$A24,Responses!$D:$D,$B24)/COUNTIFS(Responses!$A:$A,$A24,Responses!$D:$D,$B24),0)*100</f>
        <v>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3</v>
      </c>
      <c r="D25">
        <f>IFERROR(AVERAGEIFS(Responses!$F:$F,Responses!$A:$A,$A25,Responses!$D:$D,$B25),"")</f>
        <v>60</v>
      </c>
      <c r="E25">
        <f>IFERROR(SUMIFS(Responses!$G:$G,Responses!$A:$A,$A25,Responses!$D:$D,$B25)/COUNTIFS(Responses!$A:$A,$A25,Responses!$D:$D,$B25),0)*100</f>
        <v>0</v>
      </c>
      <c r="F25">
        <f>COUNTIFS(Responses!$A:$A,$A25,Responses!$D:$D,$B25)</f>
        <v>4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3</v>
      </c>
      <c r="D26">
        <f>IFERROR(AVERAGEIFS(Responses!$F:$F,Responses!$A:$A,$A26,Responses!$D:$D,$B26),"")</f>
        <v>60</v>
      </c>
      <c r="E26">
        <f>IFERROR(SUMIFS(Responses!$G:$G,Responses!$A:$A,$A26,Responses!$D:$D,$B26)/COUNTIFS(Responses!$A:$A,$A26,Responses!$D:$D,$B26),0)*100</f>
        <v>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3</v>
      </c>
      <c r="D27">
        <f>IFERROR(AVERAGEIFS(Responses!$F:$F,Responses!$A:$A,$A27,Responses!$D:$D,$B27),"")</f>
        <v>60</v>
      </c>
      <c r="E27">
        <f>IFERROR(SUMIFS(Responses!$G:$G,Responses!$A:$A,$A27,Responses!$D:$D,$B27)/COUNTIFS(Responses!$A:$A,$A27,Responses!$D:$D,$B27),0)*100</f>
        <v>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3</v>
      </c>
      <c r="D28">
        <f>IFERROR(AVERAGEIFS(Responses!$F:$F,Responses!$A:$A,$A28,Responses!$D:$D,$B28),"")</f>
        <v>60</v>
      </c>
      <c r="E28">
        <f>IFERROR(SUMIFS(Responses!$G:$G,Responses!$A:$A,$A28,Responses!$D:$D,$B28)/COUNTIFS(Responses!$A:$A,$A28,Responses!$D:$D,$B28),0)*100</f>
        <v>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3</v>
      </c>
      <c r="D29">
        <f>IFERROR(AVERAGEIFS(Responses!$F:$F,Responses!$A:$A,$A29,Responses!$D:$D,$B29),"")</f>
        <v>60</v>
      </c>
      <c r="E29">
        <f>IFERROR(SUMIFS(Responses!$G:$G,Responses!$A:$A,$A29,Responses!$D:$D,$B29)/COUNTIFS(Responses!$A:$A,$A29,Responses!$D:$D,$B29),0)*100</f>
        <v>0</v>
      </c>
      <c r="F29">
        <f>COUNTIFS(Responses!$A:$A,$A29,Responses!$D:$D,$B29)</f>
        <v>8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8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4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3.25</v>
      </c>
      <c r="D38">
        <f>IFERROR(AVERAGEIFS(Responses!$F:$F,Responses!$A:$A,$A38,Responses!$D:$D,$B38),"")</f>
        <v>65</v>
      </c>
      <c r="E38">
        <f>IFERROR(SUMIFS(Responses!$G:$G,Responses!$A:$A,$A38,Responses!$D:$D,$B38)/COUNTIFS(Responses!$A:$A,$A38,Responses!$D:$D,$B38),0)*100</f>
        <v>25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4</v>
      </c>
      <c r="D39">
        <f>IFERROR(AVERAGEIFS(Responses!$F:$F,Responses!$A:$A,$A39,Responses!$D:$D,$B39),"")</f>
        <v>80</v>
      </c>
      <c r="E39">
        <f>IFERROR(SUMIFS(Responses!$G:$G,Responses!$A:$A,$A39,Responses!$D:$D,$B39)/COUNTIFS(Responses!$A:$A,$A39,Responses!$D:$D,$B39),0)*100</f>
        <v>100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4</v>
      </c>
      <c r="D40">
        <f>IFERROR(AVERAGEIFS(Responses!$F:$F,Responses!$A:$A,$A40,Responses!$D:$D,$B40),"")</f>
        <v>80</v>
      </c>
      <c r="E40">
        <f>IFERROR(SUMIFS(Responses!$G:$G,Responses!$A:$A,$A40,Responses!$D:$D,$B40)/COUNTIFS(Responses!$A:$A,$A40,Responses!$D:$D,$B40),0)*100</f>
        <v>100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4</v>
      </c>
      <c r="D41">
        <f>IFERROR(AVERAGEIFS(Responses!$F:$F,Responses!$A:$A,$A41,Responses!$D:$D,$B41),"")</f>
        <v>80</v>
      </c>
      <c r="E41">
        <f>IFERROR(SUMIFS(Responses!$G:$G,Responses!$A:$A,$A41,Responses!$D:$D,$B41)/COUNTIFS(Responses!$A:$A,$A41,Responses!$D:$D,$B41),0)*100</f>
        <v>100</v>
      </c>
      <c r="F41">
        <f>COUNTIFS(Responses!$A:$A,$A41,Responses!$D:$D,$B41)</f>
        <v>4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4</v>
      </c>
      <c r="D42">
        <f>IFERROR(AVERAGEIFS(Responses!$F:$F,Responses!$A:$A,$A42,Responses!$D:$D,$B42),"")</f>
        <v>80</v>
      </c>
      <c r="E42">
        <f>IFERROR(SUMIFS(Responses!$G:$G,Responses!$A:$A,$A42,Responses!$D:$D,$B42)/COUNTIFS(Responses!$A:$A,$A42,Responses!$D:$D,$B42),0)*100</f>
        <v>100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4</v>
      </c>
      <c r="D43">
        <f>IFERROR(AVERAGEIFS(Responses!$F:$F,Responses!$A:$A,$A43,Responses!$D:$D,$B43),"")</f>
        <v>80</v>
      </c>
      <c r="E43">
        <f>IFERROR(SUMIFS(Responses!$G:$G,Responses!$A:$A,$A43,Responses!$D:$D,$B43)/COUNTIFS(Responses!$A:$A,$A43,Responses!$D:$D,$B43),0)*100</f>
        <v>100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3.25</v>
      </c>
      <c r="D44">
        <f>IFERROR(AVERAGEIFS(Responses!$F:$F,Responses!$A:$A,$A44,Responses!$D:$D,$B44),"")</f>
        <v>65</v>
      </c>
      <c r="E44">
        <f>IFERROR(SUMIFS(Responses!$G:$G,Responses!$A:$A,$A44,Responses!$D:$D,$B44)/COUNTIFS(Responses!$A:$A,$A44,Responses!$D:$D,$B44),0)*100</f>
        <v>25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4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4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3.5</v>
      </c>
      <c r="D53">
        <f>IFERROR(AVERAGEIFS(Responses!$F:$F,Responses!$A:$A,$A53,Responses!$D:$D,$B53),"")</f>
        <v>70</v>
      </c>
      <c r="E53">
        <f>IFERROR(SUMIFS(Responses!$G:$G,Responses!$A:$A,$A53,Responses!$D:$D,$B53)/COUNTIFS(Responses!$A:$A,$A53,Responses!$D:$D,$B53),0)*100</f>
        <v>50</v>
      </c>
      <c r="F53">
        <f>COUNTIFS(Responses!$A:$A,$A53,Responses!$D:$D,$B53)</f>
        <v>4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2</v>
      </c>
      <c r="D57">
        <f>IFERROR(AVERAGEIFS(Responses!$F:$F,Responses!$A:$A,$A57,Responses!$D:$D,$B57),"")</f>
        <v>40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4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2.25</v>
      </c>
      <c r="D61">
        <f>IFERROR(AVERAGEIFS(Responses!$F:$F,Responses!$A:$A,$A61,Responses!$D:$D,$B61),"")</f>
        <v>45</v>
      </c>
      <c r="E61">
        <f>IFERROR(SUMIFS(Responses!$G:$G,Responses!$A:$A,$A61,Responses!$D:$D,$B61)/COUNTIFS(Responses!$A:$A,$A61,Responses!$D:$D,$B61),0)*100</f>
        <v>25</v>
      </c>
      <c r="F61">
        <f>COUNTIFS(Responses!$A:$A,$A61,Responses!$D:$D,$B61)</f>
        <v>4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3</v>
      </c>
      <c r="D65">
        <f>IFERROR(AVERAGEIFS(Responses!$F:$F,Responses!$A:$A,$A65,Responses!$D:$D,$B65),"")</f>
        <v>60</v>
      </c>
      <c r="E65">
        <f>IFERROR(SUMIFS(Responses!$G:$G,Responses!$A:$A,$A65,Responses!$D:$D,$B65)/COUNTIFS(Responses!$A:$A,$A65,Responses!$D:$D,$B65),0)*100</f>
        <v>25</v>
      </c>
      <c r="F65">
        <f>COUNTIFS(Responses!$A:$A,$A65,Responses!$D:$D,$B65)</f>
        <v>4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3.75</v>
      </c>
      <c r="D69">
        <f>IFERROR(AVERAGEIFS(Responses!$F:$F,Responses!$A:$A,$A69,Responses!$D:$D,$B69),"")</f>
        <v>75</v>
      </c>
      <c r="E69">
        <f>IFERROR(SUMIFS(Responses!$G:$G,Responses!$A:$A,$A69,Responses!$D:$D,$B69)/COUNTIFS(Responses!$A:$A,$A69,Responses!$D:$D,$B69),0)*100</f>
        <v>50</v>
      </c>
      <c r="F69">
        <f>COUNTIFS(Responses!$A:$A,$A69,Responses!$D:$D,$B69)</f>
        <v>4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2</v>
      </c>
      <c r="D73">
        <f>IFERROR(AVERAGEIFS(Responses!$F:$F,Responses!$A:$A,$A73,Responses!$D:$D,$B73),"")</f>
        <v>40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4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2.75</v>
      </c>
      <c r="D77">
        <f>IFERROR(AVERAGEIFS(Responses!$F:$F,Responses!$A:$A,$A77,Responses!$D:$D,$B77),"")</f>
        <v>55</v>
      </c>
      <c r="E77">
        <f>IFERROR(SUMIFS(Responses!$G:$G,Responses!$A:$A,$A77,Responses!$D:$D,$B77)/COUNTIFS(Responses!$A:$A,$A77,Responses!$D:$D,$B77),0)*100</f>
        <v>25</v>
      </c>
      <c r="F77">
        <f>COUNTIFS(Responses!$A:$A,$A77,Responses!$D:$D,$B77)</f>
        <v>4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</v>
      </c>
      <c r="D81">
        <f>IFERROR(AVERAGEIFS(Responses!$F:$F,Responses!$A:$A,$A81,Responses!$D:$D,$B81),"")</f>
        <v>80</v>
      </c>
      <c r="E81">
        <f>IFERROR(SUMIFS(Responses!$G:$G,Responses!$A:$A,$A81,Responses!$D:$D,$B81)/COUNTIFS(Responses!$A:$A,$A81,Responses!$D:$D,$B81),0)*100</f>
        <v>75</v>
      </c>
      <c r="F81">
        <f>COUNTIFS(Responses!$A:$A,$A81,Responses!$D:$D,$B81)</f>
        <v>4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2.25</v>
      </c>
      <c r="D83">
        <f>IFERROR(AVERAGEIFS(Responses!$F:$F,Responses!$A:$A,$A83,Responses!$D:$D,$B83),"")</f>
        <v>45</v>
      </c>
      <c r="E83">
        <f>IFERROR(SUMIFS(Responses!$G:$G,Responses!$A:$A,$A83,Responses!$D:$D,$B83)/COUNTIFS(Responses!$A:$A,$A83,Responses!$D:$D,$B83),0)*100</f>
        <v>0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3.5</v>
      </c>
      <c r="D85">
        <f>IFERROR(AVERAGEIFS(Responses!$F:$F,Responses!$A:$A,$A85,Responses!$D:$D,$B85),"")</f>
        <v>70</v>
      </c>
      <c r="E85">
        <f>IFERROR(SUMIFS(Responses!$G:$G,Responses!$A:$A,$A85,Responses!$D:$D,$B85)/COUNTIFS(Responses!$A:$A,$A85,Responses!$D:$D,$B85),0)*100</f>
        <v>50</v>
      </c>
      <c r="F85">
        <f>COUNTIFS(Responses!$A:$A,$A85,Responses!$D:$D,$B85)</f>
        <v>4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2.75</v>
      </c>
      <c r="D89">
        <f>IFERROR(AVERAGEIFS(Responses!$F:$F,Responses!$A:$A,$A89,Responses!$D:$D,$B89),"")</f>
        <v>55</v>
      </c>
      <c r="E89">
        <f>IFERROR(SUMIFS(Responses!$G:$G,Responses!$A:$A,$A89,Responses!$D:$D,$B89)/COUNTIFS(Responses!$A:$A,$A89,Responses!$D:$D,$B89),0)*100</f>
        <v>25</v>
      </c>
      <c r="F89">
        <f>COUNTIFS(Responses!$A:$A,$A89,Responses!$D:$D,$B89)</f>
        <v>4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3.5</v>
      </c>
      <c r="D93">
        <f>IFERROR(AVERAGEIFS(Responses!$F:$F,Responses!$A:$A,$A93,Responses!$D:$D,$B93),"")</f>
        <v>70</v>
      </c>
      <c r="E93">
        <f>IFERROR(SUMIFS(Responses!$G:$G,Responses!$A:$A,$A93,Responses!$D:$D,$B93)/COUNTIFS(Responses!$A:$A,$A93,Responses!$D:$D,$B93),0)*100</f>
        <v>50</v>
      </c>
      <c r="F93">
        <f>COUNTIFS(Responses!$A:$A,$A93,Responses!$D:$D,$B93)</f>
        <v>4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3.5</v>
      </c>
      <c r="D97">
        <f>IFERROR(AVERAGEIFS(Responses!$F:$F,Responses!$A:$A,$A97,Responses!$D:$D,$B97),"")</f>
        <v>70</v>
      </c>
      <c r="E97">
        <f>IFERROR(SUMIFS(Responses!$G:$G,Responses!$A:$A,$A97,Responses!$D:$D,$B97)/COUNTIFS(Responses!$A:$A,$A97,Responses!$D:$D,$B97),0)*100</f>
        <v>50</v>
      </c>
      <c r="F97">
        <f>COUNTIFS(Responses!$A:$A,$A97,Responses!$D:$D,$B97)</f>
        <v>4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4</v>
      </c>
      <c r="D101">
        <f>IFERROR(AVERAGEIFS(Responses!$F:$F,Responses!$A:$A,$A101,Responses!$D:$D,$B101),"")</f>
        <v>80</v>
      </c>
      <c r="E101">
        <f>IFERROR(SUMIFS(Responses!$G:$G,Responses!$A:$A,$A101,Responses!$D:$D,$B101)/COUNTIFS(Responses!$A:$A,$A101,Responses!$D:$D,$B101),0)*100</f>
        <v>75</v>
      </c>
      <c r="F101">
        <f>COUNTIFS(Responses!$A:$A,$A101,Responses!$D:$D,$B101)</f>
        <v>4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2.5</v>
      </c>
      <c r="D105">
        <f>IFERROR(AVERAGEIFS(Responses!$F:$F,Responses!$A:$A,$A105,Responses!$D:$D,$B105),"")</f>
        <v>50</v>
      </c>
      <c r="E105">
        <f>IFERROR(SUMIFS(Responses!$G:$G,Responses!$A:$A,$A105,Responses!$D:$D,$B105)/COUNTIFS(Responses!$A:$A,$A105,Responses!$D:$D,$B105),0)*100</f>
        <v>25</v>
      </c>
      <c r="F105">
        <f>COUNTIFS(Responses!$A:$A,$A105,Responses!$D:$D,$B105)</f>
        <v>4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4.25</v>
      </c>
      <c r="D109">
        <f>IFERROR(AVERAGEIFS(Responses!$F:$F,Responses!$A:$A,$A109,Responses!$D:$D,$B109),"")</f>
        <v>85</v>
      </c>
      <c r="E109">
        <f>IFERROR(SUMIFS(Responses!$G:$G,Responses!$A:$A,$A109,Responses!$D:$D,$B109)/COUNTIFS(Responses!$A:$A,$A109,Responses!$D:$D,$B109),0)*100</f>
        <v>75</v>
      </c>
      <c r="F109">
        <f>COUNTIFS(Responses!$A:$A,$A109,Responses!$D:$D,$B109)</f>
        <v>4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4.25</v>
      </c>
      <c r="D113">
        <f>IFERROR(AVERAGEIFS(Responses!$F:$F,Responses!$A:$A,$A113,Responses!$D:$D,$B113),"")</f>
        <v>85</v>
      </c>
      <c r="E113">
        <f>IFERROR(SUMIFS(Responses!$G:$G,Responses!$A:$A,$A113,Responses!$D:$D,$B113)/COUNTIFS(Responses!$A:$A,$A113,Responses!$D:$D,$B113),0)*100</f>
        <v>75</v>
      </c>
      <c r="F113">
        <f>COUNTIFS(Responses!$A:$A,$A113,Responses!$D:$D,$B113)</f>
        <v>4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3.75</v>
      </c>
      <c r="D117">
        <f>IFERROR(AVERAGEIFS(Responses!$F:$F,Responses!$A:$A,$A117,Responses!$D:$D,$B117),"")</f>
        <v>75</v>
      </c>
      <c r="E117">
        <f>IFERROR(SUMIFS(Responses!$G:$G,Responses!$A:$A,$A117,Responses!$D:$D,$B117)/COUNTIFS(Responses!$A:$A,$A117,Responses!$D:$D,$B117),0)*100</f>
        <v>50</v>
      </c>
      <c r="F117">
        <f>COUNTIFS(Responses!$A:$A,$A117,Responses!$D:$D,$B117)</f>
        <v>4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3.5</v>
      </c>
      <c r="D121">
        <f>IFERROR(AVERAGEIFS(Responses!$F:$F,Responses!$A:$A,$A121,Responses!$D:$D,$B121),"")</f>
        <v>70</v>
      </c>
      <c r="E121">
        <f>IFERROR(SUMIFS(Responses!$G:$G,Responses!$A:$A,$A121,Responses!$D:$D,$B121)/COUNTIFS(Responses!$A:$A,$A121,Responses!$D:$D,$B121),0)*100</f>
        <v>50</v>
      </c>
      <c r="F121">
        <f>COUNTIFS(Responses!$A:$A,$A121,Responses!$D:$D,$B121)</f>
        <v>4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4.25</v>
      </c>
      <c r="D125">
        <f>IFERROR(AVERAGEIFS(Responses!$F:$F,Responses!$A:$A,$A125,Responses!$D:$D,$B125),"")</f>
        <v>85</v>
      </c>
      <c r="E125">
        <f>IFERROR(SUMIFS(Responses!$G:$G,Responses!$A:$A,$A125,Responses!$D:$D,$B125)/COUNTIFS(Responses!$A:$A,$A125,Responses!$D:$D,$B125),0)*100</f>
        <v>75</v>
      </c>
      <c r="F125">
        <f>COUNTIFS(Responses!$A:$A,$A125,Responses!$D:$D,$B125)</f>
        <v>4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2.5</v>
      </c>
      <c r="D129">
        <f>IFERROR(AVERAGEIFS(Responses!$F:$F,Responses!$A:$A,$A129,Responses!$D:$D,$B129),"")</f>
        <v>50</v>
      </c>
      <c r="E129">
        <f>IFERROR(SUMIFS(Responses!$G:$G,Responses!$A:$A,$A129,Responses!$D:$D,$B129)/COUNTIFS(Responses!$A:$A,$A129,Responses!$D:$D,$B129),0)*100</f>
        <v>25</v>
      </c>
      <c r="F129">
        <f>COUNTIFS(Responses!$A:$A,$A129,Responses!$D:$D,$B129)</f>
        <v>4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4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4.25</v>
      </c>
      <c r="D137">
        <f>IFERROR(AVERAGEIFS(Responses!$F:$F,Responses!$A:$A,$A137,Responses!$D:$D,$B137),"")</f>
        <v>85</v>
      </c>
      <c r="E137">
        <f>IFERROR(SUMIFS(Responses!$G:$G,Responses!$A:$A,$A137,Responses!$D:$D,$B137)/COUNTIFS(Responses!$A:$A,$A137,Responses!$D:$D,$B137),0)*100</f>
        <v>75</v>
      </c>
      <c r="F137">
        <f>COUNTIFS(Responses!$A:$A,$A137,Responses!$D:$D,$B137)</f>
        <v>4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4.25</v>
      </c>
      <c r="D141">
        <f>IFERROR(AVERAGEIFS(Responses!$F:$F,Responses!$A:$A,$A141,Responses!$D:$D,$B141),"")</f>
        <v>85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4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4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</v>
      </c>
      <c r="D149">
        <f>IFERROR(AVERAGEIFS(Responses!$F:$F,Responses!$A:$A,$A149,Responses!$D:$D,$B149),"")</f>
        <v>90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4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4.25</v>
      </c>
      <c r="D153">
        <f>IFERROR(AVERAGEIFS(Responses!$F:$F,Responses!$A:$A,$A153,Responses!$D:$D,$B153),"")</f>
        <v>85</v>
      </c>
      <c r="E153">
        <f>IFERROR(SUMIFS(Responses!$G:$G,Responses!$A:$A,$A153,Responses!$D:$D,$B153)/COUNTIFS(Responses!$A:$A,$A153,Responses!$D:$D,$B153),0)*100</f>
        <v>75</v>
      </c>
      <c r="F153">
        <f>COUNTIFS(Responses!$A:$A,$A153,Responses!$D:$D,$B153)</f>
        <v>4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4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4.25</v>
      </c>
      <c r="D161">
        <f>IFERROR(AVERAGEIFS(Responses!$F:$F,Responses!$A:$A,$A161,Responses!$D:$D,$B161),"")</f>
        <v>85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4</v>
      </c>
    </row>
    <row r="162" spans="1:6" hidden="1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hidden="1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hidden="1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hidden="1" x14ac:dyDescent="0.35">
      <c r="A165" t="s">
        <v>109</v>
      </c>
      <c r="B165" s="7" t="s">
        <v>5</v>
      </c>
      <c r="C165">
        <f>IFERROR(AVERAGEIFS(Responses!$E:$E,Responses!$A:$A,$A165,Responses!$D:$D,$B165),"")</f>
        <v>4.75</v>
      </c>
      <c r="D165">
        <f>IFERROR(AVERAGEIFS(Responses!$F:$F,Responses!$A:$A,$A165,Responses!$D:$D,$B165),"")</f>
        <v>95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4</v>
      </c>
    </row>
    <row r="166" spans="1:6" hidden="1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hidden="1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hidden="1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hidden="1" x14ac:dyDescent="0.35">
      <c r="A169" t="s">
        <v>109</v>
      </c>
      <c r="B169" s="7" t="s">
        <v>10</v>
      </c>
      <c r="C169">
        <f>IFERROR(AVERAGEIFS(Responses!$E:$E,Responses!$A:$A,$A169,Responses!$D:$D,$B169),"")</f>
        <v>4.25</v>
      </c>
      <c r="D169">
        <f>IFERROR(AVERAGEIFS(Responses!$F:$F,Responses!$A:$A,$A169,Responses!$D:$D,$B169),"")</f>
        <v>85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4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3.5</v>
      </c>
      <c r="D173">
        <f>IFERROR(AVERAGEIFS(Responses!$F:$F,Responses!$A:$A,$A173,Responses!$D:$D,$B173),"")</f>
        <v>70</v>
      </c>
      <c r="E173">
        <f>IFERROR(SUMIFS(Responses!$G:$G,Responses!$A:$A,$A173,Responses!$D:$D,$B173)/COUNTIFS(Responses!$A:$A,$A173,Responses!$D:$D,$B173),0)*100</f>
        <v>50</v>
      </c>
      <c r="F173">
        <f>COUNTIFS(Responses!$A:$A,$A173,Responses!$D:$D,$B173)</f>
        <v>4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4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3.5</v>
      </c>
      <c r="D181">
        <f>IFERROR(AVERAGEIFS(Responses!$F:$F,Responses!$A:$A,$A181,Responses!$D:$D,$B181),"")</f>
        <v>70</v>
      </c>
      <c r="E181">
        <f>IFERROR(SUMIFS(Responses!$G:$G,Responses!$A:$A,$A181,Responses!$D:$D,$B181)/COUNTIFS(Responses!$A:$A,$A181,Responses!$D:$D,$B181),0)*100</f>
        <v>50</v>
      </c>
      <c r="F181">
        <f>COUNTIFS(Responses!$A:$A,$A181,Responses!$D:$D,$B181)</f>
        <v>4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3.5</v>
      </c>
      <c r="D185">
        <f>IFERROR(AVERAGEIFS(Responses!$F:$F,Responses!$A:$A,$A185,Responses!$D:$D,$B185),"")</f>
        <v>70</v>
      </c>
      <c r="E185">
        <f>IFERROR(SUMIFS(Responses!$G:$G,Responses!$A:$A,$A185,Responses!$D:$D,$B185)/COUNTIFS(Responses!$A:$A,$A185,Responses!$D:$D,$B185),0)*100</f>
        <v>50</v>
      </c>
      <c r="F185">
        <f>COUNTIFS(Responses!$A:$A,$A185,Responses!$D:$D,$B185)</f>
        <v>4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75</v>
      </c>
      <c r="F189">
        <f>COUNTIFS(Responses!$A:$A,$A189,Responses!$D:$D,$B189)</f>
        <v>4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4.25</v>
      </c>
      <c r="D193">
        <f>IFERROR(AVERAGEIFS(Responses!$F:$F,Responses!$A:$A,$A193,Responses!$D:$D,$B193),"")</f>
        <v>85</v>
      </c>
      <c r="E193">
        <f>IFERROR(SUMIFS(Responses!$G:$G,Responses!$A:$A,$A193,Responses!$D:$D,$B193)/COUNTIFS(Responses!$A:$A,$A193,Responses!$D:$D,$B193),0)*100</f>
        <v>75</v>
      </c>
      <c r="F193">
        <f>COUNTIFS(Responses!$A:$A,$A193,Responses!$D:$D,$B193)</f>
        <v>4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3.5</v>
      </c>
      <c r="D197">
        <f>IFERROR(AVERAGEIFS(Responses!$F:$F,Responses!$A:$A,$A197,Responses!$D:$D,$B197),"")</f>
        <v>70</v>
      </c>
      <c r="E197">
        <f>IFERROR(SUMIFS(Responses!$G:$G,Responses!$A:$A,$A197,Responses!$D:$D,$B197)/COUNTIFS(Responses!$A:$A,$A197,Responses!$D:$D,$B197),0)*100</f>
        <v>50</v>
      </c>
      <c r="F197">
        <f>COUNTIFS(Responses!$A:$A,$A197,Responses!$D:$D,$B197)</f>
        <v>4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3.5</v>
      </c>
      <c r="D201">
        <f>IFERROR(AVERAGEIFS(Responses!$F:$F,Responses!$A:$A,$A201,Responses!$D:$D,$B201),"")</f>
        <v>70</v>
      </c>
      <c r="E201">
        <f>IFERROR(SUMIFS(Responses!$G:$G,Responses!$A:$A,$A201,Responses!$D:$D,$B201)/COUNTIFS(Responses!$A:$A,$A201,Responses!$D:$D,$B201),0)*100</f>
        <v>50</v>
      </c>
      <c r="F201">
        <f>COUNTIFS(Responses!$A:$A,$A201,Responses!$D:$D,$B201)</f>
        <v>4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7"/>
  <sheetViews>
    <sheetView topLeftCell="A9" zoomScale="101" workbookViewId="0">
      <selection activeCell="B2" sqref="B2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3.7692307692307692</v>
      </c>
      <c r="C2">
        <f>IFERROR(ROUND(AVERAGEIF(Responses!$D:$D, A2, Responses!$F:$F), 0), "")</f>
        <v>75</v>
      </c>
      <c r="D2">
        <f>COUNTIF(FinalQuestions!C:C, A2)</f>
        <v>4</v>
      </c>
      <c r="E2">
        <f>SUMIFS(Responses!G:G, Responses!D:D, A2) / COUNTIFS(Responses!D:D, A2)*100</f>
        <v>58.653846153846153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3.8942307692307692</v>
      </c>
      <c r="C3">
        <f>IFERROR(ROUND(AVERAGEIF(Responses!$D:$D, A3, Responses!$F:$F), 0), "")</f>
        <v>78</v>
      </c>
      <c r="D3">
        <f>COUNTIF(FinalQuestions!C:C, A3)</f>
        <v>4</v>
      </c>
      <c r="E3">
        <f>SUMIFS(Responses!G:G, Responses!D:D, A3) / COUNTIFS(Responses!D:D, A3)*100</f>
        <v>61.53846153846154</v>
      </c>
      <c r="F3" t="str">
        <f>IF(Table9[[#This Row],[AvgScore100]]&gt;=80,"Low",IF(Table9[[#This Row],[AvgScore100]]&gt;=70,"Medium","High"))</f>
        <v>Medium</v>
      </c>
    </row>
    <row r="4" spans="1:6" x14ac:dyDescent="0.35">
      <c r="A4" s="7" t="s">
        <v>3</v>
      </c>
      <c r="B4">
        <f>AVERAGEIF(Responses!$D:$D, A4, Responses!$E:$E)</f>
        <v>3.6057692307692308</v>
      </c>
      <c r="C4">
        <f>IFERROR(ROUND(AVERAGEIF(Responses!$D:$D, A4, Responses!$F:$F), 0), "")</f>
        <v>72</v>
      </c>
      <c r="D4">
        <f>COUNTIF(FinalQuestions!C:C, A4)</f>
        <v>4</v>
      </c>
      <c r="E4">
        <f>SUMIFS(Responses!G:G, Responses!D:D, A4) / COUNTIFS(Responses!D:D, A4)*100</f>
        <v>53.846153846153847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3.75</v>
      </c>
      <c r="C5">
        <f>IFERROR(ROUND(AVERAGEIF(Responses!$D:$D, A5, Responses!$F:$F), 0), "")</f>
        <v>75</v>
      </c>
      <c r="D5">
        <f>COUNTIF(FinalQuestions!C:C, A5)</f>
        <v>4</v>
      </c>
      <c r="E5">
        <f>SUMIFS(Responses!G:G, Responses!D:D, A5) / COUNTIFS(Responses!D:D, A5)*100</f>
        <v>55.769230769230774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3.7403846153846154</v>
      </c>
      <c r="C6">
        <f>IFERROR(ROUND(AVERAGEIF(Responses!$D:$D, A6, Responses!$F:$F), 0), "")</f>
        <v>75</v>
      </c>
      <c r="D6">
        <f>COUNTIF(FinalQuestions!C:C, A6)</f>
        <v>4</v>
      </c>
      <c r="E6">
        <f>SUMIFS(Responses!G:G, Responses!D:D, A6) / COUNTIFS(Responses!D:D, A6)*100</f>
        <v>54.807692307692314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3.7596153846153846</v>
      </c>
      <c r="C7">
        <f>IFERROR(ROUND(AVERAGEIF(Responses!$D:$D, A7, Responses!$F:$F), 0), "")</f>
        <v>75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3.7211538461538463</v>
      </c>
      <c r="C8">
        <f>IFERROR(ROUND(AVERAGEIF(Responses!$D:$D, A8, Responses!$F:$F), 0), "")</f>
        <v>74</v>
      </c>
      <c r="D8">
        <f>COUNTIF(FinalQuestions!C:C, A8)</f>
        <v>4</v>
      </c>
      <c r="E8">
        <f>SUMIFS(Responses!G:G, Responses!D:D, A8) / COUNTIFS(Responses!D:D, A8)*100</f>
        <v>58.653846153846153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3.5096153846153846</v>
      </c>
      <c r="C9">
        <f>IFERROR(ROUND(AVERAGEIF(Responses!$D:$D, A9, Responses!$F:$F), 0), "")</f>
        <v>70</v>
      </c>
      <c r="D9">
        <f>COUNTIF(FinalQuestions!C:C, A9)</f>
        <v>4</v>
      </c>
      <c r="E9">
        <f>SUMIFS(Responses!G:G, Responses!D:D, A9) / COUNTIFS(Responses!D:D, A9)*100</f>
        <v>49.038461538461533</v>
      </c>
      <c r="F9" t="str">
        <f>IF(Table9[[#This Row],[AvgScore100]]&gt;=80,"Low",IF(Table9[[#This Row],[AvgScore100]]&gt;=70,"Medium","High"))</f>
        <v>Medium</v>
      </c>
    </row>
    <row r="11" spans="1:6" ht="13" customHeight="1" x14ac:dyDescent="0.35"/>
    <row r="19" spans="1:2" ht="15" thickBot="1" x14ac:dyDescent="0.4">
      <c r="A19" s="21" t="s">
        <v>1</v>
      </c>
      <c r="B19" s="43" t="s">
        <v>121</v>
      </c>
    </row>
    <row r="20" spans="1:2" ht="15" thickTop="1" x14ac:dyDescent="0.35">
      <c r="A20" s="22" t="s">
        <v>0</v>
      </c>
      <c r="B20">
        <f>IFERROR(ROUND(AVERAGEIF(Responses!$D:$D, A2, Responses!$F:$F), 0), "")</f>
        <v>75</v>
      </c>
    </row>
    <row r="21" spans="1:2" x14ac:dyDescent="0.35">
      <c r="A21" s="23" t="s">
        <v>117</v>
      </c>
      <c r="B21">
        <f>IFERROR(ROUND(AVERAGEIF(Responses!$D:$D, A3, Responses!$F:$F), 0), "")</f>
        <v>78</v>
      </c>
    </row>
    <row r="22" spans="1:2" x14ac:dyDescent="0.35">
      <c r="A22" s="22" t="s">
        <v>3</v>
      </c>
      <c r="B22">
        <f>IFERROR(ROUND(AVERAGEIF(Responses!$D:$D, A4, Responses!$F:$F), 0), "")</f>
        <v>72</v>
      </c>
    </row>
    <row r="23" spans="1:2" x14ac:dyDescent="0.35">
      <c r="A23" s="23" t="s">
        <v>5</v>
      </c>
      <c r="B23">
        <f>IFERROR(ROUND(AVERAGEIF(Responses!$D:$D, A5, Responses!$F:$F), 0), "")</f>
        <v>75</v>
      </c>
    </row>
    <row r="24" spans="1:2" x14ac:dyDescent="0.35">
      <c r="A24" s="22" t="s">
        <v>7</v>
      </c>
      <c r="B24">
        <f>IFERROR(ROUND(AVERAGEIF(Responses!$D:$D, A6, Responses!$F:$F), 0), "")</f>
        <v>75</v>
      </c>
    </row>
    <row r="25" spans="1:2" x14ac:dyDescent="0.35">
      <c r="A25" s="23" t="s">
        <v>8</v>
      </c>
      <c r="B25">
        <f>IFERROR(ROUND(AVERAGEIF(Responses!$D:$D, A7, Responses!$F:$F), 0), "")</f>
        <v>75</v>
      </c>
    </row>
    <row r="26" spans="1:2" x14ac:dyDescent="0.35">
      <c r="A26" s="22" t="s">
        <v>9</v>
      </c>
      <c r="B26">
        <f>IFERROR(ROUND(AVERAGEIF(Responses!$D:$D, A8, Responses!$F:$F), 0), "")</f>
        <v>74</v>
      </c>
    </row>
    <row r="27" spans="1:2" x14ac:dyDescent="0.35">
      <c r="A27" s="24" t="s">
        <v>118</v>
      </c>
      <c r="B27">
        <f>IFERROR(ROUND(AVERAGEIF(Responses!$D:$D, A9, Responses!$F:$F), 0), "")</f>
        <v>70</v>
      </c>
    </row>
  </sheetData>
  <conditionalFormatting sqref="C2:C9">
    <cfRule type="cellIs" dxfId="10" priority="4" operator="greaterThan">
      <formula>80</formula>
    </cfRule>
    <cfRule type="cellIs" dxfId="9" priority="5" operator="lessThan">
      <formula>70</formula>
    </cfRule>
    <cfRule type="cellIs" dxfId="8" priority="6" operator="greaterThan">
      <formula>70</formula>
    </cfRule>
    <cfRule type="cellIs" dxfId="7" priority="7" operator="greaterThan">
      <formula>80</formula>
    </cfRule>
  </conditionalFormatting>
  <conditionalFormatting sqref="E2:E9">
    <cfRule type="cellIs" dxfId="6" priority="1" operator="lessThan">
      <formula>70</formula>
    </cfRule>
    <cfRule type="cellIs" dxfId="5" priority="2" operator="greaterThan">
      <formula>70</formula>
    </cfRule>
    <cfRule type="cellIs" dxfId="4" priority="3" operator="greaterThan">
      <formula>80</formula>
    </cfRule>
  </conditionalFormatting>
  <conditionalFormatting sqref="F2:F9">
    <cfRule type="containsText" dxfId="3" priority="8" operator="containsText" text="Low">
      <formula>NOT(ISERROR(SEARCH("Low",F2)))</formula>
    </cfRule>
    <cfRule type="containsText" dxfId="2" priority="9" operator="containsText" text="Medium">
      <formula>NOT(ISERROR(SEARCH("Medium",F2)))</formula>
    </cfRule>
    <cfRule type="containsText" dxfId="1" priority="10" operator="containsText" text="High">
      <formula>NOT(ISERROR(SEARCH("High",F2)))</formula>
    </cfRule>
    <cfRule type="cellIs" dxfId="0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topLeftCell="A4" zoomScale="72" workbookViewId="0">
      <selection activeCell="C45" sqref="C45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269</v>
      </c>
    </row>
    <row r="2" spans="1:7" ht="73" customHeight="1" x14ac:dyDescent="0.35">
      <c r="A2" s="15" t="s">
        <v>264</v>
      </c>
      <c r="B2" s="16" t="s">
        <v>266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 managers consistently act as positive role models, also when they are under time pressure or facing difficult trade‑offs.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Leaders openly emphasize the importance of doing things the right way, even under time pressure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the concerns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Differences of opinion are respected during discussions about judgments or decisions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I can openly raise concerns without fear of negative consequences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Colleagues respond constructively when mistakes or concerns are raised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I feel comfortable escalating issues to Risk Management / Ethics &amp; Independence / DPP when needed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I have received enough training to handle job‑related challenges effectively.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I have observed changes implemented as a result of past issues or incidents.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Ways of handling work challenges are followed consistently across the organization.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Good behaviors related to quality and ethics are recognized and appreciated.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I feel confident and supported to make important decisions within my role.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understand the purpose of my roles and responsibilities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 xml:space="preserve">I understand the consequences of not following the firm policies 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guidance and training I receive are clear and help me make good decisions.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I understand what is expected of me and it is clearly available to me in form of a policy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How key decisions are made within my team is transparent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Expectations are applied consistently across team members.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Managers have a good understanding of what is happening within the team.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People in my team feel motivated to handle challenges responsibly.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Feedback from team members is considered when improving ways of working.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feel involved in decisions that affect how work is carried out.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I feel responsible for speaking up if I observe behavior that does not align with my organizations values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Team members are held to the same behavioral standards, no matter who they are.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Call someone to account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topLeftCell="A9"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264</v>
      </c>
    </row>
    <row r="2" spans="1:2" x14ac:dyDescent="0.35">
      <c r="A2" t="s">
        <v>89</v>
      </c>
      <c r="B2" t="s">
        <v>262</v>
      </c>
    </row>
    <row r="3" spans="1:2" x14ac:dyDescent="0.35">
      <c r="A3" t="s">
        <v>90</v>
      </c>
      <c r="B3" t="s">
        <v>266</v>
      </c>
    </row>
    <row r="4" spans="1:2" x14ac:dyDescent="0.35">
      <c r="A4" t="s">
        <v>91</v>
      </c>
      <c r="B4" t="s">
        <v>272</v>
      </c>
    </row>
    <row r="5" spans="1:2" x14ac:dyDescent="0.35">
      <c r="A5" t="s">
        <v>92</v>
      </c>
      <c r="B5" t="s">
        <v>261</v>
      </c>
    </row>
    <row r="6" spans="1:2" x14ac:dyDescent="0.35">
      <c r="A6" t="s">
        <v>93</v>
      </c>
      <c r="B6" t="s">
        <v>261</v>
      </c>
    </row>
    <row r="7" spans="1:2" x14ac:dyDescent="0.35">
      <c r="A7" t="s">
        <v>94</v>
      </c>
      <c r="B7" t="s">
        <v>263</v>
      </c>
    </row>
    <row r="8" spans="1:2" x14ac:dyDescent="0.35">
      <c r="A8" t="s">
        <v>95</v>
      </c>
      <c r="B8" t="s">
        <v>266</v>
      </c>
    </row>
    <row r="9" spans="1:2" x14ac:dyDescent="0.35">
      <c r="A9" t="s">
        <v>96</v>
      </c>
      <c r="B9" t="s">
        <v>262</v>
      </c>
    </row>
    <row r="10" spans="1:2" x14ac:dyDescent="0.35">
      <c r="A10" t="s">
        <v>97</v>
      </c>
      <c r="B10" t="s">
        <v>263</v>
      </c>
    </row>
    <row r="11" spans="1:2" x14ac:dyDescent="0.35">
      <c r="A11" t="s">
        <v>98</v>
      </c>
      <c r="B11" t="s">
        <v>267</v>
      </c>
    </row>
    <row r="12" spans="1:2" x14ac:dyDescent="0.35">
      <c r="A12" t="s">
        <v>99</v>
      </c>
      <c r="B12" t="s">
        <v>268</v>
      </c>
    </row>
    <row r="13" spans="1:2" x14ac:dyDescent="0.35">
      <c r="A13" t="s">
        <v>100</v>
      </c>
      <c r="B13" t="s">
        <v>261</v>
      </c>
    </row>
    <row r="14" spans="1:2" x14ac:dyDescent="0.35">
      <c r="A14" t="s">
        <v>101</v>
      </c>
      <c r="B14" t="s">
        <v>266</v>
      </c>
    </row>
    <row r="15" spans="1:2" x14ac:dyDescent="0.35">
      <c r="A15" t="s">
        <v>102</v>
      </c>
      <c r="B15" t="s">
        <v>267</v>
      </c>
    </row>
    <row r="16" spans="1:2" x14ac:dyDescent="0.35">
      <c r="A16" t="s">
        <v>103</v>
      </c>
      <c r="B16" t="s">
        <v>267</v>
      </c>
    </row>
    <row r="17" spans="1:2" x14ac:dyDescent="0.35">
      <c r="A17" t="s">
        <v>104</v>
      </c>
      <c r="B17" t="s">
        <v>261</v>
      </c>
    </row>
    <row r="18" spans="1:2" x14ac:dyDescent="0.35">
      <c r="A18" t="s">
        <v>105</v>
      </c>
      <c r="B18" t="s">
        <v>262</v>
      </c>
    </row>
    <row r="19" spans="1:2" x14ac:dyDescent="0.35">
      <c r="A19" t="s">
        <v>106</v>
      </c>
      <c r="B19" t="s">
        <v>263</v>
      </c>
    </row>
    <row r="20" spans="1:2" x14ac:dyDescent="0.35">
      <c r="A20" t="s">
        <v>107</v>
      </c>
      <c r="B20" t="s">
        <v>267</v>
      </c>
    </row>
    <row r="21" spans="1:2" x14ac:dyDescent="0.35">
      <c r="A21" t="s">
        <v>108</v>
      </c>
      <c r="B21" t="s">
        <v>263</v>
      </c>
    </row>
    <row r="22" spans="1:2" x14ac:dyDescent="0.35">
      <c r="A22" t="s">
        <v>109</v>
      </c>
      <c r="B22" t="s">
        <v>268</v>
      </c>
    </row>
    <row r="23" spans="1:2" x14ac:dyDescent="0.35">
      <c r="A23" t="s">
        <v>110</v>
      </c>
      <c r="B23" t="s">
        <v>267</v>
      </c>
    </row>
    <row r="24" spans="1:2" x14ac:dyDescent="0.35">
      <c r="A24" t="s">
        <v>111</v>
      </c>
      <c r="B24" t="s">
        <v>268</v>
      </c>
    </row>
    <row r="25" spans="1:2" x14ac:dyDescent="0.35">
      <c r="A25" t="s">
        <v>112</v>
      </c>
      <c r="B25" t="s">
        <v>268</v>
      </c>
    </row>
    <row r="26" spans="1:2" x14ac:dyDescent="0.35">
      <c r="A26" t="s">
        <v>123</v>
      </c>
      <c r="B26" t="s">
        <v>266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zoomScale="82" zoomScaleNormal="76" workbookViewId="0">
      <selection activeCell="B3" sqref="B3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254</v>
      </c>
      <c r="B1" s="7" t="s">
        <v>255</v>
      </c>
      <c r="C1" s="36" t="s">
        <v>116</v>
      </c>
      <c r="D1" s="36" t="s">
        <v>256</v>
      </c>
      <c r="E1" s="36" t="s">
        <v>363</v>
      </c>
      <c r="F1" s="7" t="s">
        <v>257</v>
      </c>
      <c r="G1" s="7" t="s">
        <v>258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71</v>
      </c>
      <c r="C2" s="37">
        <f>IFERROR(SUMIFS(Responses!$G:$G,Responses!$H:$H,$A2)/COUNTIFS(Responses!$H:$H,$A2),0)</f>
        <v>0.46153846153846156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0.42307692307692302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76</v>
      </c>
      <c r="C3" s="37">
        <f>IFERROR(SUMIFS(Responses!$G:$G,Responses!$H:$H,$A3)/COUNTIFS(Responses!$H:$H,$A3),0)</f>
        <v>0.61538461538461542</v>
      </c>
      <c r="D3" s="37">
        <f>IFERROR((COUNTIFS(Responses!$H:$H,$A3,Responses!$C:$C,"Disagree")+COUNTIFS(Responses!$H:$H,$A3,Responses!$C:$C,"Strongly Disagree"))/COUNTIFS(Responses!$H:$H,$A3),0)</f>
        <v>7.6923076923076927E-2</v>
      </c>
      <c r="E3" s="37">
        <f t="shared" si="0"/>
        <v>0.30769230769230765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2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82</v>
      </c>
      <c r="C4" s="37">
        <f>IFERROR(SUMIFS(Responses!$G:$G,Responses!$H:$H,$A4)/COUNTIFS(Responses!$H:$H,$A4),0)</f>
        <v>0.73076923076923073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0.26923076923076927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73</v>
      </c>
      <c r="C5" s="37">
        <f>IFERROR(SUMIFS(Responses!$G:$G,Responses!$H:$H,$A5)/COUNTIFS(Responses!$H:$H,$A5),0)</f>
        <v>0.53846153846153844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0.30769230769230771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72</v>
      </c>
      <c r="C6" s="37">
        <f>IFERROR(SUMIFS(Responses!$G:$G,Responses!$H:$H,$A6)/COUNTIFS(Responses!$H:$H,$A6),0)</f>
        <v>0.5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0.38461538461538458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78</v>
      </c>
      <c r="C7" s="37">
        <f>IFERROR(SUMIFS(Responses!$G:$G,Responses!$H:$H,$A7)/COUNTIFS(Responses!$H:$H,$A7),0)</f>
        <v>0.53846153846153844</v>
      </c>
      <c r="D7" s="37">
        <f>IFERROR((COUNTIFS(Responses!$H:$H,$A7,Responses!$C:$C,"Disagree")+COUNTIFS(Responses!$H:$H,$A7,Responses!$C:$C,"Strongly Disagree"))/COUNTIFS(Responses!$H:$H,$A7),0)</f>
        <v>3.8461538461538464E-2</v>
      </c>
      <c r="E7" s="37">
        <f t="shared" si="0"/>
        <v>0.42307692307692313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82</v>
      </c>
      <c r="C8" s="37">
        <f>IFERROR(SUMIFS(Responses!$G:$G,Responses!$H:$H,$A8)/COUNTIFS(Responses!$H:$H,$A8),0)</f>
        <v>0.73076923076923073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0.23076923076923081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80</v>
      </c>
      <c r="C9" s="37">
        <f>IFERROR(SUMIFS(Responses!$G:$G,Responses!$H:$H,$A9)/COUNTIFS(Responses!$H:$H,$A9),0)</f>
        <v>0.69230769230769229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0.23076923076923078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75</v>
      </c>
      <c r="C10" s="37">
        <f>IFERROR(SUMIFS(Responses!$G:$G,Responses!$H:$H,$A10)/COUNTIFS(Responses!$H:$H,$A10),0)</f>
        <v>0.57692307692307687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0.19230769230769235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72</v>
      </c>
      <c r="C11" s="37">
        <f>IFERROR(SUMIFS(Responses!$G:$G,Responses!$H:$H,$A11)/COUNTIFS(Responses!$H:$H,$A11),0)</f>
        <v>0.5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0.38461538461538458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74</v>
      </c>
      <c r="C12" s="37">
        <f>IFERROR(SUMIFS(Responses!$G:$G,Responses!$H:$H,$A12)/COUNTIFS(Responses!$H:$H,$A12),0)</f>
        <v>0.61538461538461542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0.23076923076923073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68</v>
      </c>
      <c r="C13" s="37">
        <f>IFERROR(SUMIFS(Responses!$G:$G,Responses!$H:$H,$A13)/COUNTIFS(Responses!$H:$H,$A13),0)</f>
        <v>0.46153846153846156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0.26923076923076922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70</v>
      </c>
      <c r="C14" s="37">
        <f>IFERROR(SUMIFS(Responses!$G:$G,Responses!$H:$H,$A14)/COUNTIFS(Responses!$H:$H,$A14),0)</f>
        <v>0.38461538461538464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0.46153846153846156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84</v>
      </c>
      <c r="C15" s="37">
        <f>IFERROR(SUMIFS(Responses!$G:$G,Responses!$H:$H,$A15)/COUNTIFS(Responses!$H:$H,$A15),0)</f>
        <v>0.73076923076923073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0.26923076923076927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78</v>
      </c>
      <c r="C16" s="37">
        <f>IFERROR(SUMIFS(Responses!$G:$G,Responses!$H:$H,$A16)/COUNTIFS(Responses!$H:$H,$A16),0)</f>
        <v>0.65384615384615385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0.23076923076923075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Sense of Ownership</v>
      </c>
      <c r="B17">
        <f>IFERROR(ROUND(AVERAGEIFS(Responses!$F:$F,Responses!$H:$H,$A17),0),0)</f>
        <v>68</v>
      </c>
      <c r="C17" s="37">
        <f>IFERROR(SUMIFS(Responses!$G:$G,Responses!$H:$H,$A17)/COUNTIFS(Responses!$H:$H,$A17),0)</f>
        <v>0.46153846153846156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0.26923076923076922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68</v>
      </c>
      <c r="C18" s="37">
        <f>IFERROR(SUMIFS(Responses!$G:$G,Responses!$H:$H,$A18)/COUNTIFS(Responses!$H:$H,$A18),0)</f>
        <v>0.38461538461538464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0.38461538461538464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76</v>
      </c>
      <c r="C19" s="37">
        <f>IFERROR(SUMIFS(Responses!$G:$G,Responses!$H:$H,$A19)/COUNTIFS(Responses!$H:$H,$A19),0)</f>
        <v>0.53846153846153844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0.42307692307692313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80</v>
      </c>
      <c r="C20" s="37">
        <f>IFERROR(SUMIFS(Responses!$G:$G,Responses!$H:$H,$A20)/COUNTIFS(Responses!$H:$H,$A20),0)</f>
        <v>0.65384615384615385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0.23076923076923075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>Compliance Confidence in team</v>
      </c>
      <c r="B22">
        <f>IFERROR(ROUND(AVERAGEIFS(Responses!$F:$F,Responses!$H:$H,$A22),0),0)</f>
        <v>72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Transparency in Decision‑Making</v>
      </c>
      <c r="B23">
        <f>IFERROR(ROUND(AVERAGEIFS(Responses!$F:$F,Responses!$H:$H,$A23),0),0)</f>
        <v>73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Fairness &amp; Equity of Expectations</v>
      </c>
      <c r="B24">
        <f>IFERROR(ROUND(AVERAGEIFS(Responses!$F:$F,Responses!$H:$H,$A24),0),0)</f>
        <v>81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Leadership Awareness in the team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72</v>
      </c>
      <c r="C26" s="37">
        <f>IFERROR(SUMIFS(Responses!$G:$G,Responses!$H:$H,$A26)/COUNTIFS(Responses!$H:$H,$A26),0)</f>
        <v>0.53846153846153844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0.34615384615384615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77</v>
      </c>
      <c r="C27" s="37">
        <f>IFERROR(SUMIFS(Responses!$G:$G,Responses!$H:$H,$A27)/COUNTIFS(Responses!$H:$H,$A27),0)</f>
        <v>0.61538461538461542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0.34615384615384615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75</v>
      </c>
      <c r="C28" s="37">
        <f>IFERROR(SUMIFS(Responses!$G:$G,Responses!$H:$H,$A28)/COUNTIFS(Responses!$H:$H,$A28),0)</f>
        <v>0.61538461538461542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0.23076923076923073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73</v>
      </c>
      <c r="C29" s="37">
        <f>IFERROR(SUMIFS(Responses!$G:$G,Responses!$H:$H,$A29)/COUNTIFS(Responses!$H:$H,$A29),0)</f>
        <v>0.57692307692307687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0.30769230769230771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66</v>
      </c>
      <c r="C30" s="37">
        <f>IFERROR(SUMIFS(Responses!$G:$G,Responses!$H:$H,$A30)/COUNTIFS(Responses!$H:$H,$A30),0)</f>
        <v>0.42307692307692307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0.23076923076923073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67</v>
      </c>
      <c r="C31" s="37">
        <f>IFERROR(SUMIFS(Responses!$G:$G,Responses!$H:$H,$A31)/COUNTIFS(Responses!$H:$H,$A31),0)</f>
        <v>0.38461538461538464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0.46153846153846156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76</v>
      </c>
      <c r="C32" s="37">
        <f>IFERROR(SUMIFS(Responses!$G:$G,Responses!$H:$H,$A32)/COUNTIFS(Responses!$H:$H,$A32),0)</f>
        <v>0.61538461538461542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0.23076923076923073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Consistency of Conduct Enforcement</v>
      </c>
      <c r="B33">
        <f>IFERROR(ROUND(AVERAGEIFS(Responses!$F:$F,Responses!$H:$H,$A33),0),0)</f>
        <v>72</v>
      </c>
      <c r="C33" s="37">
        <f>IFERROR(SUMIFS(Responses!$G:$G,Responses!$H:$H,$A33)/COUNTIFS(Responses!$H:$H,$A33),0)</f>
        <v>0.53846153846153844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0.34615384615384615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Risk Insight in Decision Making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Risk Insight in Decision Making.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928-BF71-4B65-85A7-FD38AE44DDFF}">
  <dimension ref="A1:E18"/>
  <sheetViews>
    <sheetView workbookViewId="0">
      <selection activeCell="G16" sqref="G16"/>
    </sheetView>
  </sheetViews>
  <sheetFormatPr defaultRowHeight="14.5" x14ac:dyDescent="0.35"/>
  <cols>
    <col min="1" max="1" width="11.26953125" customWidth="1"/>
    <col min="2" max="2" width="19.54296875" customWidth="1"/>
    <col min="3" max="3" width="16" customWidth="1"/>
    <col min="4" max="4" width="17.26953125" customWidth="1"/>
    <col min="5" max="5" width="13.26953125" customWidth="1"/>
  </cols>
  <sheetData>
    <row r="1" spans="1:5" x14ac:dyDescent="0.35">
      <c r="A1" s="59" t="s">
        <v>11</v>
      </c>
      <c r="B1" s="59" t="s">
        <v>359</v>
      </c>
      <c r="C1" s="59" t="s">
        <v>364</v>
      </c>
      <c r="D1" s="59" t="s">
        <v>365</v>
      </c>
      <c r="E1" s="62"/>
    </row>
    <row r="2" spans="1:5" x14ac:dyDescent="0.35">
      <c r="A2" s="14" t="e" cm="1" vm="1">
        <f t="array" ref="A2">_xlfn._xlws.FILTER(FinalQuestions!$A$2:$A$198,FinalQuestions!$H$2:$H$198="Yes")</f>
        <v>#VALUE!</v>
      </c>
      <c r="B2" s="14" t="str">
        <f>IFERROR(ROUND(AVERAGEIFS(Responses!$F:$F,Responses!$B:$B,$A2),0),"")</f>
        <v/>
      </c>
      <c r="C2" s="42">
        <f>IFERROR(AVERAGEIFS(Responses!$G:$G,Responses!$B:$B,$A2),0)*100</f>
        <v>0</v>
      </c>
      <c r="D2" s="61">
        <f>IFERROR((COUNTIFS(Responses!$B:$B,$A2,Responses!$C:$C,"Disagree")+COUNTIFS(Responses!$B:$B,$A2,Responses!$C:$C,"Strongly Disagree"))/COUNTIF(Responses!$B:$B,$A2),0)*100</f>
        <v>0</v>
      </c>
      <c r="E2" s="60"/>
    </row>
    <row r="3" spans="1:5" x14ac:dyDescent="0.35">
      <c r="A3" s="14"/>
      <c r="B3" s="14" t="str">
        <f>IFERROR(ROUND(AVERAGEIFS(Responses!$F:$F,Responses!$B:$B,$A3),0),"")</f>
        <v/>
      </c>
      <c r="C3" s="42">
        <f>IFERROR(AVERAGEIFS(Responses!$G:$G,Responses!$B:$B,$A3),0)*100</f>
        <v>0</v>
      </c>
      <c r="D3" s="61">
        <f>IFERROR((COUNTIFS(Responses!$B:$B,$A3,Responses!$C:$C,"Disagree")+COUNTIFS(Responses!$B:$B,$A3,Responses!$C:$C,"Strongly Disagree"))/COUNTIF(Responses!$B:$B,$A3),0)*100</f>
        <v>0</v>
      </c>
    </row>
    <row r="4" spans="1:5" x14ac:dyDescent="0.35">
      <c r="A4" s="14"/>
      <c r="B4" s="14" t="str">
        <f>IFERROR(ROUND(AVERAGEIFS(Responses!$F:$F,Responses!$B:$B,$A4),0),"")</f>
        <v/>
      </c>
      <c r="C4" s="42">
        <f>IFERROR(AVERAGEIFS(Responses!$G:$G,Responses!$B:$B,$A4),0)*100</f>
        <v>0</v>
      </c>
      <c r="D4" s="61">
        <f>IFERROR((COUNTIFS(Responses!$B:$B,$A4,Responses!$C:$C,"Disagree")+COUNTIFS(Responses!$B:$B,$A4,Responses!$C:$C,"Strongly Disagree"))/COUNTIF(Responses!$B:$B,$A4),0)*100</f>
        <v>0</v>
      </c>
    </row>
    <row r="5" spans="1:5" x14ac:dyDescent="0.35">
      <c r="A5" s="14"/>
      <c r="B5" s="14" t="str">
        <f>IFERROR(ROUND(AVERAGEIFS(Responses!$F:$F,Responses!$B:$B,$A5),0),"")</f>
        <v/>
      </c>
      <c r="C5" s="42">
        <f>IFERROR(AVERAGEIFS(Responses!$G:$G,Responses!$B:$B,$A5),0)*100</f>
        <v>0</v>
      </c>
      <c r="D5" s="61">
        <f>IFERROR((COUNTIFS(Responses!$B:$B,$A5,Responses!$C:$C,"Disagree")+COUNTIFS(Responses!$B:$B,$A5,Responses!$C:$C,"Strongly Disagree"))/COUNTIF(Responses!$B:$B,$A5),0)*100</f>
        <v>0</v>
      </c>
    </row>
    <row r="6" spans="1:5" x14ac:dyDescent="0.35">
      <c r="A6" s="14"/>
      <c r="B6" s="14" t="str">
        <f>IFERROR(ROUND(AVERAGEIFS(Responses!$F:$F,Responses!$B:$B,$A6),0),"")</f>
        <v/>
      </c>
      <c r="C6" s="42">
        <f>IFERROR(AVERAGEIFS(Responses!$G:$G,Responses!$B:$B,$A6),0)*100</f>
        <v>0</v>
      </c>
      <c r="D6" s="61">
        <f>IFERROR((COUNTIFS(Responses!$B:$B,$A6,Responses!$C:$C,"Disagree")+COUNTIFS(Responses!$B:$B,$A6,Responses!$C:$C,"Strongly Disagree"))/COUNTIF(Responses!$B:$B,$A6),0)*100</f>
        <v>0</v>
      </c>
    </row>
    <row r="7" spans="1:5" x14ac:dyDescent="0.35">
      <c r="A7" s="14"/>
      <c r="B7" s="14" t="str">
        <f>IFERROR(ROUND(AVERAGEIFS(Responses!$F:$F,Responses!$B:$B,$A7),0),"")</f>
        <v/>
      </c>
      <c r="C7" s="42">
        <f>IFERROR(AVERAGEIFS(Responses!$G:$G,Responses!$B:$B,$A7),0)*100</f>
        <v>0</v>
      </c>
      <c r="D7" s="61">
        <f>IFERROR((COUNTIFS(Responses!$B:$B,$A7,Responses!$C:$C,"Disagree")+COUNTIFS(Responses!$B:$B,$A7,Responses!$C:$C,"Strongly Disagree"))/COUNTIF(Responses!$B:$B,$A7),0)*100</f>
        <v>0</v>
      </c>
    </row>
    <row r="8" spans="1:5" x14ac:dyDescent="0.35">
      <c r="A8" s="14"/>
      <c r="B8" s="14" t="str">
        <f>IFERROR(ROUND(AVERAGEIFS(Responses!$F:$F,Responses!$B:$B,$A8),0),"")</f>
        <v/>
      </c>
      <c r="C8" s="42">
        <f>IFERROR(AVERAGEIFS(Responses!$G:$G,Responses!$B:$B,$A8),0)*100</f>
        <v>0</v>
      </c>
      <c r="D8" s="61">
        <f>IFERROR((COUNTIFS(Responses!$B:$B,$A8,Responses!$C:$C,"Disagree")+COUNTIFS(Responses!$B:$B,$A8,Responses!$C:$C,"Strongly Disagree"))/COUNTIF(Responses!$B:$B,$A8),0)*100</f>
        <v>0</v>
      </c>
    </row>
    <row r="9" spans="1:5" x14ac:dyDescent="0.35">
      <c r="A9" s="14"/>
      <c r="B9" s="14" t="str">
        <f>IFERROR(ROUND(AVERAGEIFS(Responses!$F:$F,Responses!$B:$B,$A9),0),"")</f>
        <v/>
      </c>
      <c r="C9" s="42">
        <f>IFERROR(AVERAGEIFS(Responses!$G:$G,Responses!$B:$B,$A9),0)*100</f>
        <v>0</v>
      </c>
      <c r="D9" s="61">
        <f>IFERROR((COUNTIFS(Responses!$B:$B,$A9,Responses!$C:$C,"Disagree")+COUNTIFS(Responses!$B:$B,$A9,Responses!$C:$C,"Strongly Disagree"))/COUNTIF(Responses!$B:$B,$A9),0)*100</f>
        <v>0</v>
      </c>
    </row>
    <row r="10" spans="1:5" x14ac:dyDescent="0.35">
      <c r="A10" s="14"/>
      <c r="B10" s="14" t="str">
        <f>IFERROR(ROUND(AVERAGEIFS(Responses!$F:$F,Responses!$B:$B,$A10),0),"")</f>
        <v/>
      </c>
      <c r="C10" s="42">
        <f>IFERROR(AVERAGEIFS(Responses!$G:$G,Responses!$B:$B,$A10),0)*100</f>
        <v>0</v>
      </c>
      <c r="D10" s="61">
        <f>IFERROR((COUNTIFS(Responses!$B:$B,$A10,Responses!$C:$C,"Disagree")+COUNTIFS(Responses!$B:$B,$A10,Responses!$C:$C,"Strongly Disagree"))/COUNTIF(Responses!$B:$B,$A10),0)*100</f>
        <v>0</v>
      </c>
    </row>
    <row r="11" spans="1:5" x14ac:dyDescent="0.35">
      <c r="A11" s="14"/>
      <c r="B11" s="14" t="str">
        <f>IFERROR(ROUND(AVERAGEIFS(Responses!$F:$F,Responses!$B:$B,$A11),0),"")</f>
        <v/>
      </c>
      <c r="C11" s="42">
        <f>IFERROR(AVERAGEIFS(Responses!$G:$G,Responses!$B:$B,$A11),0)*100</f>
        <v>0</v>
      </c>
      <c r="D11" s="61">
        <f>IFERROR((COUNTIFS(Responses!$B:$B,$A11,Responses!$C:$C,"Disagree")+COUNTIFS(Responses!$B:$B,$A11,Responses!$C:$C,"Strongly Disagree"))/COUNTIF(Responses!$B:$B,$A11),0)*100</f>
        <v>0</v>
      </c>
    </row>
    <row r="12" spans="1:5" x14ac:dyDescent="0.35">
      <c r="A12" s="14"/>
      <c r="B12" s="14" t="str">
        <f>IFERROR(ROUND(AVERAGEIFS(Responses!$F:$F,Responses!$B:$B,$A12),0),"")</f>
        <v/>
      </c>
      <c r="C12" s="42">
        <f>IFERROR(AVERAGEIFS(Responses!$G:$G,Responses!$B:$B,$A12),0)*100</f>
        <v>0</v>
      </c>
      <c r="D12" s="61">
        <f>IFERROR((COUNTIFS(Responses!$B:$B,$A12,Responses!$C:$C,"Disagree")+COUNTIFS(Responses!$B:$B,$A12,Responses!$C:$C,"Strongly Disagree"))/COUNTIF(Responses!$B:$B,$A12),0)*100</f>
        <v>0</v>
      </c>
    </row>
    <row r="13" spans="1:5" x14ac:dyDescent="0.35">
      <c r="A13" s="14"/>
      <c r="B13" s="14" t="str">
        <f>IFERROR(ROUND(AVERAGEIFS(Responses!$F:$F,Responses!$B:$B,$A13),0),"")</f>
        <v/>
      </c>
      <c r="C13" s="42">
        <f>IFERROR(AVERAGEIFS(Responses!$G:$G,Responses!$B:$B,$A13),0)*100</f>
        <v>0</v>
      </c>
      <c r="D13" s="61">
        <f>IFERROR((COUNTIFS(Responses!$B:$B,$A13,Responses!$C:$C,"Disagree")+COUNTIFS(Responses!$B:$B,$A13,Responses!$C:$C,"Strongly Disagree"))/COUNTIF(Responses!$B:$B,$A13),0)*100</f>
        <v>0</v>
      </c>
    </row>
    <row r="14" spans="1:5" x14ac:dyDescent="0.35">
      <c r="A14" s="14"/>
      <c r="B14" s="14" t="str">
        <f>IFERROR(ROUND(AVERAGEIFS(Responses!$F:$F,Responses!$B:$B,$A14),0),"")</f>
        <v/>
      </c>
      <c r="C14" s="42">
        <f>IFERROR(AVERAGEIFS(Responses!$G:$G,Responses!$B:$B,$A14),0)*100</f>
        <v>0</v>
      </c>
      <c r="D14" s="61">
        <f>IFERROR((COUNTIFS(Responses!$B:$B,$A14,Responses!$C:$C,"Disagree")+COUNTIFS(Responses!$B:$B,$A14,Responses!$C:$C,"Strongly Disagree"))/COUNTIF(Responses!$B:$B,$A14),0)*100</f>
        <v>0</v>
      </c>
    </row>
    <row r="15" spans="1:5" x14ac:dyDescent="0.35">
      <c r="A15" s="14"/>
      <c r="B15" s="14" t="str">
        <f>IFERROR(ROUND(AVERAGEIFS(Responses!$F:$F,Responses!$B:$B,$A15),0),"")</f>
        <v/>
      </c>
      <c r="C15" s="42">
        <f>IFERROR(AVERAGEIFS(Responses!$G:$G,Responses!$B:$B,$A15),0)*100</f>
        <v>0</v>
      </c>
      <c r="D15" s="61">
        <f>IFERROR((COUNTIFS(Responses!$B:$B,$A15,Responses!$C:$C,"Disagree")+COUNTIFS(Responses!$B:$B,$A15,Responses!$C:$C,"Strongly Disagree"))/COUNTIF(Responses!$B:$B,$A15),0)*100</f>
        <v>0</v>
      </c>
    </row>
    <row r="16" spans="1:5" x14ac:dyDescent="0.35">
      <c r="A16" s="14"/>
      <c r="B16" s="14" t="str">
        <f>IFERROR(ROUND(AVERAGEIFS(Responses!$F:$F,Responses!$B:$B,$A16),0),"")</f>
        <v/>
      </c>
      <c r="C16" s="42">
        <f>IFERROR(AVERAGEIFS(Responses!$G:$G,Responses!$B:$B,$A16),0)*100</f>
        <v>0</v>
      </c>
      <c r="D16" s="61">
        <f>IFERROR((COUNTIFS(Responses!$B:$B,$A16,Responses!$C:$C,"Disagree")+COUNTIFS(Responses!$B:$B,$A16,Responses!$C:$C,"Strongly Disagree"))/COUNTIF(Responses!$B:$B,$A16),0)*100</f>
        <v>0</v>
      </c>
    </row>
    <row r="17" spans="1:4" x14ac:dyDescent="0.35">
      <c r="A17" s="14"/>
      <c r="B17" s="14" t="str">
        <f>IFERROR(ROUND(AVERAGEIFS(Responses!$F:$F,Responses!$B:$B,$A17),0),"")</f>
        <v/>
      </c>
      <c r="C17" s="42">
        <f>IFERROR(AVERAGEIFS(Responses!$G:$G,Responses!$B:$B,$A17),0)*100</f>
        <v>0</v>
      </c>
      <c r="D17" s="61">
        <f>IFERROR((COUNTIFS(Responses!$B:$B,$A17,Responses!$C:$C,"Disagree")+COUNTIFS(Responses!$B:$B,$A17,Responses!$C:$C,"Strongly Disagree"))/COUNTIF(Responses!$B:$B,$A17),0)*100</f>
        <v>0</v>
      </c>
    </row>
    <row r="18" spans="1:4" x14ac:dyDescent="0.35">
      <c r="A18" s="14"/>
      <c r="B18" s="14" t="str">
        <f>IFERROR(ROUND(AVERAGEIFS(Responses!$F:$F,Responses!$B:$B,$A18),0),"")</f>
        <v/>
      </c>
      <c r="C18" s="42">
        <f>IFERROR(AVERAGEIFS(Responses!$G:$G,Responses!$B:$B,$A18),0)*100</f>
        <v>0</v>
      </c>
      <c r="D18" s="61">
        <f>IFERROR((COUNTIFS(Responses!$B:$B,$A18,Responses!$C:$C,"Disagree")+COUNTIFS(Responses!$B:$B,$A18,Responses!$C:$C,"Strongly Disagree"))/COUNTIF(Responses!$B:$B,$A18),0)*100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D57"/>
  <sheetViews>
    <sheetView zoomScale="75" workbookViewId="0">
      <selection activeCell="E1" sqref="E1:E1048576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43.90625" hidden="1" customWidth="1"/>
  </cols>
  <sheetData>
    <row r="1" spans="1:4" x14ac:dyDescent="0.35">
      <c r="A1" s="31" t="s">
        <v>1</v>
      </c>
      <c r="B1" s="31" t="s">
        <v>146</v>
      </c>
      <c r="C1" s="31" t="s">
        <v>147</v>
      </c>
      <c r="D1" s="31" t="s">
        <v>148</v>
      </c>
    </row>
    <row r="2" spans="1:4" x14ac:dyDescent="0.35">
      <c r="A2" t="s">
        <v>149</v>
      </c>
      <c r="B2" t="s">
        <v>150</v>
      </c>
      <c r="C2" t="s">
        <v>151</v>
      </c>
      <c r="D2" t="s">
        <v>152</v>
      </c>
    </row>
    <row r="3" spans="1:4" x14ac:dyDescent="0.35">
      <c r="A3" t="s">
        <v>149</v>
      </c>
      <c r="B3" t="s">
        <v>153</v>
      </c>
      <c r="C3" t="s">
        <v>154</v>
      </c>
      <c r="D3" t="s">
        <v>155</v>
      </c>
    </row>
    <row r="4" spans="1:4" x14ac:dyDescent="0.35">
      <c r="A4" t="s">
        <v>149</v>
      </c>
      <c r="B4" t="s">
        <v>156</v>
      </c>
      <c r="C4" t="s">
        <v>157</v>
      </c>
      <c r="D4" t="s">
        <v>158</v>
      </c>
    </row>
    <row r="5" spans="1:4" x14ac:dyDescent="0.35">
      <c r="A5" t="s">
        <v>8</v>
      </c>
      <c r="B5" t="s">
        <v>159</v>
      </c>
      <c r="C5" t="s">
        <v>160</v>
      </c>
      <c r="D5" t="s">
        <v>161</v>
      </c>
    </row>
    <row r="6" spans="1:4" x14ac:dyDescent="0.35">
      <c r="A6" t="s">
        <v>8</v>
      </c>
      <c r="B6" t="s">
        <v>162</v>
      </c>
      <c r="C6" t="s">
        <v>163</v>
      </c>
      <c r="D6" t="s">
        <v>164</v>
      </c>
    </row>
    <row r="7" spans="1:4" x14ac:dyDescent="0.35">
      <c r="A7" t="s">
        <v>8</v>
      </c>
      <c r="B7" t="s">
        <v>165</v>
      </c>
      <c r="C7" t="s">
        <v>166</v>
      </c>
      <c r="D7" t="s">
        <v>167</v>
      </c>
    </row>
    <row r="8" spans="1:4" x14ac:dyDescent="0.35">
      <c r="A8" t="s">
        <v>10</v>
      </c>
      <c r="B8" t="s">
        <v>168</v>
      </c>
      <c r="C8" t="s">
        <v>169</v>
      </c>
      <c r="D8" t="s">
        <v>170</v>
      </c>
    </row>
    <row r="9" spans="1:4" x14ac:dyDescent="0.35">
      <c r="A9" t="s">
        <v>10</v>
      </c>
      <c r="B9" t="s">
        <v>171</v>
      </c>
      <c r="C9" t="s">
        <v>172</v>
      </c>
      <c r="D9" t="s">
        <v>173</v>
      </c>
    </row>
    <row r="10" spans="1:4" x14ac:dyDescent="0.35">
      <c r="A10" t="s">
        <v>10</v>
      </c>
      <c r="B10" t="s">
        <v>174</v>
      </c>
      <c r="C10" t="s">
        <v>175</v>
      </c>
      <c r="D10" t="s">
        <v>161</v>
      </c>
    </row>
    <row r="11" spans="1:4" x14ac:dyDescent="0.35">
      <c r="A11" t="s">
        <v>3</v>
      </c>
      <c r="B11" t="s">
        <v>176</v>
      </c>
      <c r="C11" t="s">
        <v>177</v>
      </c>
      <c r="D11" t="s">
        <v>178</v>
      </c>
    </row>
    <row r="12" spans="1:4" x14ac:dyDescent="0.35">
      <c r="A12" t="s">
        <v>3</v>
      </c>
      <c r="B12" t="s">
        <v>179</v>
      </c>
      <c r="C12" t="s">
        <v>180</v>
      </c>
      <c r="D12" t="s">
        <v>181</v>
      </c>
    </row>
    <row r="13" spans="1:4" x14ac:dyDescent="0.35">
      <c r="A13" t="s">
        <v>3</v>
      </c>
      <c r="B13" t="s">
        <v>182</v>
      </c>
      <c r="C13" t="s">
        <v>183</v>
      </c>
      <c r="D13" t="s">
        <v>184</v>
      </c>
    </row>
    <row r="14" spans="1:4" x14ac:dyDescent="0.35">
      <c r="A14" t="s">
        <v>5</v>
      </c>
      <c r="B14" t="s">
        <v>185</v>
      </c>
      <c r="C14" t="s">
        <v>186</v>
      </c>
      <c r="D14" t="s">
        <v>187</v>
      </c>
    </row>
    <row r="15" spans="1:4" x14ac:dyDescent="0.35">
      <c r="A15" t="s">
        <v>5</v>
      </c>
      <c r="B15" t="s">
        <v>188</v>
      </c>
      <c r="C15" t="s">
        <v>189</v>
      </c>
      <c r="D15" t="s">
        <v>190</v>
      </c>
    </row>
    <row r="16" spans="1:4" x14ac:dyDescent="0.35">
      <c r="A16" t="s">
        <v>5</v>
      </c>
      <c r="B16" t="s">
        <v>191</v>
      </c>
      <c r="C16" t="s">
        <v>192</v>
      </c>
      <c r="D16" t="s">
        <v>193</v>
      </c>
    </row>
    <row r="17" spans="1:4" x14ac:dyDescent="0.35">
      <c r="A17" t="s">
        <v>7</v>
      </c>
      <c r="B17" t="s">
        <v>194</v>
      </c>
      <c r="C17" t="s">
        <v>195</v>
      </c>
      <c r="D17" t="s">
        <v>196</v>
      </c>
    </row>
    <row r="18" spans="1:4" x14ac:dyDescent="0.35">
      <c r="A18" t="s">
        <v>7</v>
      </c>
      <c r="B18" t="s">
        <v>197</v>
      </c>
      <c r="C18" t="s">
        <v>198</v>
      </c>
      <c r="D18" t="s">
        <v>187</v>
      </c>
    </row>
    <row r="19" spans="1:4" x14ac:dyDescent="0.35">
      <c r="A19" t="s">
        <v>7</v>
      </c>
      <c r="B19" t="s">
        <v>199</v>
      </c>
      <c r="C19" t="s">
        <v>200</v>
      </c>
      <c r="D19" t="s">
        <v>161</v>
      </c>
    </row>
    <row r="20" spans="1:4" x14ac:dyDescent="0.35">
      <c r="A20" t="s">
        <v>201</v>
      </c>
      <c r="B20" t="s">
        <v>202</v>
      </c>
      <c r="C20" t="s">
        <v>203</v>
      </c>
      <c r="D20" t="s">
        <v>204</v>
      </c>
    </row>
    <row r="21" spans="1:4" x14ac:dyDescent="0.35">
      <c r="A21" t="s">
        <v>201</v>
      </c>
      <c r="B21" t="s">
        <v>205</v>
      </c>
      <c r="C21" t="s">
        <v>206</v>
      </c>
      <c r="D21" t="s">
        <v>207</v>
      </c>
    </row>
    <row r="22" spans="1:4" x14ac:dyDescent="0.35">
      <c r="A22" t="s">
        <v>201</v>
      </c>
      <c r="B22" t="s">
        <v>208</v>
      </c>
      <c r="C22" t="s">
        <v>209</v>
      </c>
      <c r="D22" t="s">
        <v>210</v>
      </c>
    </row>
    <row r="23" spans="1:4" x14ac:dyDescent="0.35">
      <c r="A23" t="s">
        <v>9</v>
      </c>
      <c r="B23" t="s">
        <v>211</v>
      </c>
      <c r="C23" t="s">
        <v>212</v>
      </c>
      <c r="D23" t="s">
        <v>213</v>
      </c>
    </row>
    <row r="24" spans="1:4" x14ac:dyDescent="0.35">
      <c r="A24" t="s">
        <v>9</v>
      </c>
      <c r="B24" t="s">
        <v>214</v>
      </c>
      <c r="C24" t="s">
        <v>215</v>
      </c>
      <c r="D24" t="s">
        <v>216</v>
      </c>
    </row>
    <row r="25" spans="1:4" x14ac:dyDescent="0.35">
      <c r="A25" t="s">
        <v>9</v>
      </c>
      <c r="B25" t="s">
        <v>217</v>
      </c>
      <c r="C25" t="s">
        <v>218</v>
      </c>
      <c r="D25" t="s">
        <v>219</v>
      </c>
    </row>
    <row r="26" spans="1:4" x14ac:dyDescent="0.35">
      <c r="A26" t="s">
        <v>3</v>
      </c>
      <c r="B26" s="45" t="s">
        <v>294</v>
      </c>
      <c r="C26" s="45" t="s">
        <v>295</v>
      </c>
    </row>
    <row r="27" spans="1:4" x14ac:dyDescent="0.35">
      <c r="A27" t="s">
        <v>3</v>
      </c>
      <c r="B27" s="45" t="s">
        <v>296</v>
      </c>
      <c r="C27" s="45" t="s">
        <v>297</v>
      </c>
    </row>
    <row r="28" spans="1:4" x14ac:dyDescent="0.35">
      <c r="A28" t="s">
        <v>3</v>
      </c>
      <c r="B28" s="45" t="s">
        <v>298</v>
      </c>
      <c r="C28" s="45" t="s">
        <v>299</v>
      </c>
    </row>
    <row r="29" spans="1:4" x14ac:dyDescent="0.35">
      <c r="A29" t="s">
        <v>3</v>
      </c>
      <c r="B29" s="45" t="s">
        <v>300</v>
      </c>
      <c r="C29" s="45" t="s">
        <v>301</v>
      </c>
    </row>
    <row r="30" spans="1:4" ht="29" x14ac:dyDescent="0.35">
      <c r="A30" t="s">
        <v>10</v>
      </c>
      <c r="B30" s="45" t="s">
        <v>302</v>
      </c>
      <c r="C30" s="45" t="s">
        <v>303</v>
      </c>
    </row>
    <row r="31" spans="1:4" x14ac:dyDescent="0.35">
      <c r="A31" t="s">
        <v>10</v>
      </c>
      <c r="B31" s="45" t="s">
        <v>304</v>
      </c>
      <c r="C31" s="45" t="s">
        <v>305</v>
      </c>
    </row>
    <row r="32" spans="1:4" x14ac:dyDescent="0.35">
      <c r="A32" t="s">
        <v>10</v>
      </c>
      <c r="B32" s="45" t="s">
        <v>306</v>
      </c>
      <c r="C32" s="45" t="s">
        <v>307</v>
      </c>
    </row>
    <row r="33" spans="1:3" x14ac:dyDescent="0.35">
      <c r="A33" t="s">
        <v>10</v>
      </c>
      <c r="B33" s="45" t="s">
        <v>308</v>
      </c>
      <c r="C33" s="45" t="s">
        <v>309</v>
      </c>
    </row>
    <row r="34" spans="1:3" x14ac:dyDescent="0.35">
      <c r="A34" t="s">
        <v>7</v>
      </c>
      <c r="B34" s="45" t="s">
        <v>310</v>
      </c>
      <c r="C34" s="45" t="s">
        <v>311</v>
      </c>
    </row>
    <row r="35" spans="1:3" x14ac:dyDescent="0.35">
      <c r="A35" t="s">
        <v>7</v>
      </c>
      <c r="B35" s="45" t="s">
        <v>312</v>
      </c>
      <c r="C35" s="45" t="s">
        <v>313</v>
      </c>
    </row>
    <row r="36" spans="1:3" x14ac:dyDescent="0.35">
      <c r="A36" t="s">
        <v>7</v>
      </c>
      <c r="B36" s="45" t="s">
        <v>314</v>
      </c>
      <c r="C36" s="45" t="s">
        <v>315</v>
      </c>
    </row>
    <row r="37" spans="1:3" x14ac:dyDescent="0.35">
      <c r="A37" t="s">
        <v>7</v>
      </c>
      <c r="B37" s="45" t="s">
        <v>316</v>
      </c>
      <c r="C37" s="45" t="s">
        <v>317</v>
      </c>
    </row>
    <row r="38" spans="1:3" x14ac:dyDescent="0.35">
      <c r="A38" t="s">
        <v>9</v>
      </c>
      <c r="B38" s="45" t="s">
        <v>318</v>
      </c>
      <c r="C38" s="45" t="s">
        <v>319</v>
      </c>
    </row>
    <row r="39" spans="1:3" x14ac:dyDescent="0.35">
      <c r="A39" t="s">
        <v>9</v>
      </c>
      <c r="B39" s="45" t="s">
        <v>320</v>
      </c>
      <c r="C39" s="45" t="s">
        <v>321</v>
      </c>
    </row>
    <row r="40" spans="1:3" x14ac:dyDescent="0.35">
      <c r="A40" t="s">
        <v>9</v>
      </c>
      <c r="B40" s="45" t="s">
        <v>322</v>
      </c>
      <c r="C40" s="45" t="s">
        <v>323</v>
      </c>
    </row>
    <row r="41" spans="1:3" x14ac:dyDescent="0.35">
      <c r="A41" t="s">
        <v>9</v>
      </c>
      <c r="B41" s="45" t="s">
        <v>324</v>
      </c>
      <c r="C41" s="45" t="s">
        <v>325</v>
      </c>
    </row>
    <row r="42" spans="1:3" ht="29" x14ac:dyDescent="0.35">
      <c r="A42" t="s">
        <v>117</v>
      </c>
      <c r="B42" s="45" t="s">
        <v>326</v>
      </c>
      <c r="C42" s="45" t="s">
        <v>327</v>
      </c>
    </row>
    <row r="43" spans="1:3" ht="29" x14ac:dyDescent="0.35">
      <c r="A43" t="s">
        <v>117</v>
      </c>
      <c r="B43" s="45" t="s">
        <v>328</v>
      </c>
      <c r="C43" s="45" t="s">
        <v>329</v>
      </c>
    </row>
    <row r="44" spans="1:3" x14ac:dyDescent="0.35">
      <c r="A44" t="s">
        <v>117</v>
      </c>
      <c r="B44" s="45" t="s">
        <v>330</v>
      </c>
      <c r="C44" s="45" t="s">
        <v>331</v>
      </c>
    </row>
    <row r="45" spans="1:3" x14ac:dyDescent="0.35">
      <c r="A45" t="s">
        <v>117</v>
      </c>
      <c r="B45" s="45" t="s">
        <v>332</v>
      </c>
      <c r="C45" s="45" t="s">
        <v>333</v>
      </c>
    </row>
    <row r="46" spans="1:3" x14ac:dyDescent="0.35">
      <c r="A46" t="s">
        <v>5</v>
      </c>
      <c r="B46" s="45" t="s">
        <v>334</v>
      </c>
      <c r="C46" s="45" t="s">
        <v>335</v>
      </c>
    </row>
    <row r="47" spans="1:3" x14ac:dyDescent="0.35">
      <c r="A47" t="s">
        <v>5</v>
      </c>
      <c r="B47" s="45" t="s">
        <v>336</v>
      </c>
      <c r="C47" s="45" t="s">
        <v>337</v>
      </c>
    </row>
    <row r="48" spans="1:3" x14ac:dyDescent="0.35">
      <c r="A48" t="s">
        <v>5</v>
      </c>
      <c r="B48" s="45" t="s">
        <v>338</v>
      </c>
      <c r="C48" s="45" t="s">
        <v>339</v>
      </c>
    </row>
    <row r="49" spans="1:3" x14ac:dyDescent="0.35">
      <c r="A49" t="s">
        <v>5</v>
      </c>
      <c r="B49" s="45" t="s">
        <v>340</v>
      </c>
      <c r="C49" s="45" t="s">
        <v>341</v>
      </c>
    </row>
    <row r="50" spans="1:3" x14ac:dyDescent="0.35">
      <c r="A50" t="s">
        <v>201</v>
      </c>
      <c r="B50" s="45" t="s">
        <v>342</v>
      </c>
      <c r="C50" s="45" t="s">
        <v>343</v>
      </c>
    </row>
    <row r="51" spans="1:3" x14ac:dyDescent="0.35">
      <c r="A51" t="s">
        <v>201</v>
      </c>
      <c r="B51" s="45" t="s">
        <v>344</v>
      </c>
      <c r="C51" s="45" t="s">
        <v>345</v>
      </c>
    </row>
    <row r="52" spans="1:3" x14ac:dyDescent="0.35">
      <c r="A52" t="s">
        <v>201</v>
      </c>
      <c r="B52" s="45" t="s">
        <v>346</v>
      </c>
      <c r="C52" s="45" t="s">
        <v>347</v>
      </c>
    </row>
    <row r="53" spans="1:3" x14ac:dyDescent="0.35">
      <c r="A53" t="s">
        <v>201</v>
      </c>
      <c r="B53" s="45" t="s">
        <v>348</v>
      </c>
      <c r="C53" s="45" t="s">
        <v>349</v>
      </c>
    </row>
    <row r="54" spans="1:3" x14ac:dyDescent="0.35">
      <c r="A54" t="s">
        <v>8</v>
      </c>
      <c r="B54" s="45" t="s">
        <v>350</v>
      </c>
      <c r="C54" s="45" t="s">
        <v>351</v>
      </c>
    </row>
    <row r="55" spans="1:3" x14ac:dyDescent="0.35">
      <c r="A55" t="s">
        <v>8</v>
      </c>
      <c r="B55" s="45" t="s">
        <v>352</v>
      </c>
      <c r="C55" s="45" t="s">
        <v>353</v>
      </c>
    </row>
    <row r="56" spans="1:3" x14ac:dyDescent="0.35">
      <c r="A56" t="s">
        <v>8</v>
      </c>
      <c r="B56" s="45" t="s">
        <v>354</v>
      </c>
      <c r="C56" s="45" t="s">
        <v>355</v>
      </c>
    </row>
    <row r="57" spans="1:3" x14ac:dyDescent="0.35">
      <c r="A57" t="s">
        <v>8</v>
      </c>
      <c r="B57" s="45" t="s">
        <v>356</v>
      </c>
      <c r="C57" s="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E56"/>
  <sheetViews>
    <sheetView zoomScale="69" workbookViewId="0">
      <selection activeCell="F1" sqref="F1:F1048576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</cols>
  <sheetData>
    <row r="1" spans="1:5" ht="15" thickBot="1" x14ac:dyDescent="0.4">
      <c r="A1" s="53" t="s">
        <v>1</v>
      </c>
      <c r="B1" s="54" t="s">
        <v>358</v>
      </c>
      <c r="C1" s="54" t="s">
        <v>83</v>
      </c>
      <c r="D1" s="54" t="s">
        <v>146</v>
      </c>
      <c r="E1" s="54" t="s">
        <v>147</v>
      </c>
    </row>
    <row r="2" spans="1:5" ht="15" thickTop="1" x14ac:dyDescent="0.35">
      <c r="A2" s="55" t="s">
        <v>0</v>
      </c>
      <c r="B2" s="56">
        <f>VLOOKUP($A2,'SOFT CONTROL SCORECARD'!$A:$F,3,FALSE)</f>
        <v>75</v>
      </c>
      <c r="C2" s="56" t="str">
        <f>VLOOKUP($A2,'SOFT CONTROL SCORECARD'!$A:$F,6,FALSE)</f>
        <v>Medium</v>
      </c>
      <c r="D2" s="56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</row>
    <row r="3" spans="1:5" x14ac:dyDescent="0.35">
      <c r="A3" s="57"/>
      <c r="B3" s="28"/>
      <c r="C3" s="28"/>
      <c r="D3" s="28" t="str">
        <v>Let selected employees observe key meetings and debrief behaviours.</v>
      </c>
      <c r="E3" s="58" t="str">
        <v>1 meeting/month; 15‑min debrief on listening, respect, and inviting challenge.</v>
      </c>
    </row>
    <row r="4" spans="1:5" x14ac:dyDescent="0.35">
      <c r="A4" s="51"/>
      <c r="B4" s="52"/>
      <c r="C4" s="52"/>
      <c r="D4" s="52" t="str">
        <v>Provide simple 360° behaviour feedback to leaders.</v>
      </c>
      <c r="E4" s="14" t="str">
        <v>5–7 questions on listening, inclusion, inviting challenge; agree 2–3 actions.</v>
      </c>
    </row>
    <row r="5" spans="1:5" x14ac:dyDescent="0.35">
      <c r="A5" s="51"/>
      <c r="B5" s="52"/>
      <c r="C5" s="52"/>
      <c r="D5" s="52" t="str">
        <v>Start monthly ‘Leader Reality Checks’.</v>
      </c>
      <c r="E5" s="14" t="str">
        <v>Leaders visit one team (virtual/on‑site) for 20 min; ask 3 fixed questions; share learnings.</v>
      </c>
    </row>
    <row r="6" spans="1:5" x14ac:dyDescent="0.35">
      <c r="A6" s="51"/>
      <c r="B6" s="52"/>
      <c r="C6" s="52"/>
      <c r="D6" s="52" t="str">
        <v>Introduce ‘Show Your Work’ leadership notes.</v>
      </c>
      <c r="E6" s="14" t="str">
        <v>Leaders publish short notes after key decisions showing risks considered and trade‑offs.</v>
      </c>
    </row>
    <row r="7" spans="1:5" x14ac:dyDescent="0.35">
      <c r="A7" s="51"/>
      <c r="B7" s="52"/>
      <c r="C7" s="52"/>
      <c r="D7" s="52" t="str">
        <v>Set up a rotating leader Q&amp;A carousel.</v>
      </c>
      <c r="E7" s="14" t="str">
        <v>Each month a different leader hosts a 15‑min open Q&amp;A; anonymous submissions.</v>
      </c>
    </row>
    <row r="8" spans="1:5" x14ac:dyDescent="0.35">
      <c r="A8" s="57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</row>
    <row r="9" spans="1:5" x14ac:dyDescent="0.35">
      <c r="A9" s="57" t="s">
        <v>117</v>
      </c>
      <c r="B9" s="28">
        <f>VLOOKUP($A9,'SOFT CONTROL SCORECARD'!$A:$F,3,FALSE)</f>
        <v>78</v>
      </c>
      <c r="C9" s="28" t="str">
        <f>VLOOKUP($A9,'SOFT CONTROL SCORECARD'!$A:$F,6,FALSE)</f>
        <v>Medium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</row>
    <row r="10" spans="1:5" x14ac:dyDescent="0.35">
      <c r="A10" s="51"/>
      <c r="B10" s="52"/>
      <c r="C10" s="52"/>
      <c r="D10" s="52" t="str">
        <v>Introduce ‘anonymous dilemma slips’ in team meetings.</v>
      </c>
      <c r="E10" s="52" t="str">
        <v>Set up a quick QR form; manager picks 1 dilemma each week and explains how it would be handled; share guidance note.</v>
      </c>
    </row>
    <row r="11" spans="1:5" x14ac:dyDescent="0.35">
      <c r="A11" s="57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</row>
    <row r="12" spans="1:5" x14ac:dyDescent="0.35">
      <c r="A12" s="51"/>
      <c r="B12" s="52"/>
      <c r="C12" s="52"/>
      <c r="D12" s="52" t="str">
        <v>Launch ‘What Would You Do?’ shorts.</v>
      </c>
      <c r="E12" s="52" t="str">
        <v>Upload a 60‑second case video bi‑weekly; employees vote on options; publish the correct escalation path.</v>
      </c>
    </row>
    <row r="13" spans="1:5" x14ac:dyDescent="0.35">
      <c r="A13" s="57"/>
      <c r="B13" s="28"/>
      <c r="C13" s="28"/>
      <c r="D13" s="28"/>
      <c r="E13" s="28"/>
    </row>
    <row r="14" spans="1:5" x14ac:dyDescent="0.35">
      <c r="A14" s="51" t="s">
        <v>3</v>
      </c>
      <c r="B14" s="52">
        <f>VLOOKUP($A14,'SOFT CONTROL SCORECARD'!$A:$F,3,FALSE)</f>
        <v>72</v>
      </c>
      <c r="C14" s="52" t="str">
        <f>VLOOKUP($A14,'SOFT CONTROL SCORECARD'!$A:$F,6,FALSE)</f>
        <v>Medium</v>
      </c>
      <c r="D14" s="52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2" t="str" cm="1">
        <f t="array" ref="E14:E20">IF(OR($C14="Low",$C14="Medium"),_xlfn._xlws.FILTER(Recommendations!$C:$C,Recommendations!$A:$A=$A14),"")</f>
        <v>Check workload, skills, resources; adjust targets or add support.</v>
      </c>
    </row>
    <row r="15" spans="1:5" x14ac:dyDescent="0.35">
      <c r="A15" s="57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</row>
    <row r="16" spans="1:5" x14ac:dyDescent="0.35">
      <c r="A16" s="51"/>
      <c r="B16" s="52"/>
      <c r="C16" s="52"/>
      <c r="D16" s="52" t="str">
        <v>Add a short ‘pressure check’ to performance conversations.</v>
      </c>
      <c r="E16" s="52" t="str">
        <v>Ask about blockers, deadlines, support needed; note 1–2 actions.</v>
      </c>
    </row>
    <row r="17" spans="1:5" x14ac:dyDescent="0.35">
      <c r="A17" s="57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</row>
    <row r="18" spans="1:5" x14ac:dyDescent="0.35">
      <c r="A18" s="57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</row>
    <row r="19" spans="1:5" x14ac:dyDescent="0.35">
      <c r="A19" s="57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</row>
    <row r="20" spans="1:5" x14ac:dyDescent="0.35">
      <c r="A20" s="51"/>
      <c r="B20" s="52"/>
      <c r="C20" s="52"/>
      <c r="D20" s="52" t="str">
        <v>Create a monthly resourcing checkpoint.</v>
      </c>
      <c r="E20" s="52" t="str">
        <v>BU reviews capacity, backlog, and blockers with HR; temporarily redistribute resources.</v>
      </c>
    </row>
    <row r="21" spans="1:5" x14ac:dyDescent="0.35">
      <c r="A21" s="57" t="s">
        <v>5</v>
      </c>
      <c r="B21" s="28">
        <f>VLOOKUP($A21,'SOFT CONTROL SCORECARD'!$A:$F,3,FALSE)</f>
        <v>75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</row>
    <row r="22" spans="1:5" x14ac:dyDescent="0.35">
      <c r="A22" s="51"/>
      <c r="B22" s="52"/>
      <c r="C22" s="52"/>
      <c r="D22" s="52" t="str">
        <v>Create a small network of trained ethics helpers.</v>
      </c>
      <c r="E22" s="52" t="str">
        <v>1–2 per BU who can explain policies and direct people to the right channel.</v>
      </c>
    </row>
    <row r="23" spans="1:5" x14ac:dyDescent="0.35">
      <c r="A23" s="57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</row>
    <row r="24" spans="1:5" x14ac:dyDescent="0.35">
      <c r="A24" s="57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</row>
    <row r="25" spans="1:5" x14ac:dyDescent="0.35">
      <c r="A25" s="51"/>
      <c r="B25" s="52"/>
      <c r="C25" s="52"/>
      <c r="D25" s="52" t="str">
        <v>Launch ‘Check‑in after closure’ protocol.</v>
      </c>
      <c r="E25" s="52" t="str">
        <v>After each resolved case, manager explains process (no names) and controls strengthened.</v>
      </c>
    </row>
    <row r="26" spans="1:5" x14ac:dyDescent="0.35">
      <c r="A26" s="51"/>
      <c r="B26" s="52"/>
      <c r="C26" s="52"/>
      <c r="D26" s="52" t="str">
        <v>Add SLA timers for case handling.</v>
      </c>
      <c r="E26" s="52" t="str">
        <v>Case system alerts when steps exceed defined timelines; monthly review for delays.</v>
      </c>
    </row>
    <row r="27" spans="1:5" x14ac:dyDescent="0.35">
      <c r="A27" s="57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</row>
    <row r="28" spans="1:5" x14ac:dyDescent="0.35">
      <c r="A28" s="51" t="s">
        <v>7</v>
      </c>
      <c r="B28" s="52">
        <f>VLOOKUP($A28,'SOFT CONTROL SCORECARD'!$A:$F,3,FALSE)</f>
        <v>75</v>
      </c>
      <c r="C28" s="52" t="str">
        <f>VLOOKUP($A28,'SOFT CONTROL SCORECARD'!$A:$F,6,FALSE)</f>
        <v>Medium</v>
      </c>
      <c r="D28" s="52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2" t="str" cm="1">
        <f t="array" ref="E28:E34">IF(OR($C28="Low",$C28="Medium"),_xlfn._xlws.FILTER(Recommendations!$C:$C,Recommendations!$A:$A=$A28),"")</f>
        <v>Create a simple responsibility map (RACI) and agree on handoffs.</v>
      </c>
    </row>
    <row r="29" spans="1:5" x14ac:dyDescent="0.35">
      <c r="A29" s="57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</row>
    <row r="30" spans="1:5" x14ac:dyDescent="0.35">
      <c r="A30" s="51"/>
      <c r="B30" s="52"/>
      <c r="C30" s="52"/>
      <c r="D30" s="52" t="str">
        <v>Hold a monthly ‘ask anything’ hour with department heads.</v>
      </c>
      <c r="E30" s="52" t="str">
        <v>45‑min session; allow anonymous questions; post a written summary.</v>
      </c>
    </row>
    <row r="31" spans="1:5" x14ac:dyDescent="0.35">
      <c r="A31" s="51"/>
      <c r="B31" s="52"/>
      <c r="C31" s="52"/>
      <c r="D31" s="52" t="str">
        <v>Publish ‘Role Boundaries Cheat Sheets’.</v>
      </c>
      <c r="E31" s="52" t="str">
        <v>One‑pager per role listing 5 decisions they can make and 5 they cannot; share yearly.</v>
      </c>
    </row>
    <row r="32" spans="1:5" x14ac:dyDescent="0.35">
      <c r="A32" s="51"/>
      <c r="B32" s="52"/>
      <c r="C32" s="52"/>
      <c r="D32" s="52" t="str">
        <v>Use ‘Fast FAQs’ for any new process.</v>
      </c>
      <c r="E32" s="52" t="str">
        <v>On launch, publish 5 FAQs + 5 Do’s/Don’ts; share in team chats.</v>
      </c>
    </row>
    <row r="33" spans="1:5" x14ac:dyDescent="0.35">
      <c r="A33" s="57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</row>
    <row r="34" spans="1:5" x14ac:dyDescent="0.35">
      <c r="A34" s="51"/>
      <c r="B34" s="52"/>
      <c r="C34" s="52"/>
      <c r="D34" s="52" t="str">
        <v>Create cross‑BU walkthrough recordings.</v>
      </c>
      <c r="E34" s="52" t="str">
        <v>10‑minute videos explaining steps, common confusions, and contacts; host on intranet.</v>
      </c>
    </row>
    <row r="35" spans="1:5" x14ac:dyDescent="0.35">
      <c r="A35" s="57" t="s">
        <v>8</v>
      </c>
      <c r="B35" s="28">
        <f>VLOOKUP($A35,'SOFT CONTROL SCORECARD'!$A:$F,3,FALSE)</f>
        <v>75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</row>
    <row r="36" spans="1:5" x14ac:dyDescent="0.35">
      <c r="A36" s="51"/>
      <c r="B36" s="52"/>
      <c r="C36" s="52"/>
      <c r="D36" s="52" t="str">
        <v>Publish answers to common employee questions.</v>
      </c>
      <c r="E36" s="52" t="str">
        <v>Collect questions (anonymous allowed), group them, and post clear answers in one place.</v>
      </c>
    </row>
    <row r="37" spans="1:5" x14ac:dyDescent="0.35">
      <c r="A37" s="57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</row>
    <row r="38" spans="1:5" x14ac:dyDescent="0.35">
      <c r="A38" s="51"/>
      <c r="B38" s="52"/>
      <c r="C38" s="52"/>
      <c r="D38" s="52" t="str">
        <v>Publish ‘This Month in Decisions’ micro‑updates.</v>
      </c>
      <c r="E38" s="52" t="str">
        <v>Bullet 5 key decisions (no names); add what changed for teams and link to updated docs.</v>
      </c>
    </row>
    <row r="39" spans="1:5" x14ac:dyDescent="0.35">
      <c r="A39" s="51"/>
      <c r="B39" s="52"/>
      <c r="C39" s="52"/>
      <c r="D39" s="52" t="str">
        <v>Create a simple ‘policy‑on‑a‑page’ hub.</v>
      </c>
      <c r="E39" s="52" t="str">
        <v>Convert key policies into 1‑page visuals; upload and tag; notify teams of monthly additions.</v>
      </c>
    </row>
    <row r="40" spans="1:5" x14ac:dyDescent="0.35">
      <c r="A40" s="51"/>
      <c r="B40" s="52"/>
      <c r="C40" s="52"/>
      <c r="D40" s="52" t="str">
        <v>Add quarterly ‘Open Data Hour’ sessions.</v>
      </c>
      <c r="E40" s="52" t="str">
        <v>BI team walks employees through dashboards (risks, trends, SLA metrics); take Q&amp;A and publish summary.</v>
      </c>
    </row>
    <row r="41" spans="1:5" x14ac:dyDescent="0.35">
      <c r="A41" s="57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</row>
    <row r="42" spans="1:5" x14ac:dyDescent="0.35">
      <c r="A42" s="51" t="s">
        <v>9</v>
      </c>
      <c r="B42" s="52">
        <f>VLOOKUP($A42,'SOFT CONTROL SCORECARD'!$A:$F,3,FALSE)</f>
        <v>74</v>
      </c>
      <c r="C42" s="52" t="str">
        <f>VLOOKUP($A42,'SOFT CONTROL SCORECARD'!$A:$F,6,FALSE)</f>
        <v>Medium</v>
      </c>
      <c r="D42" s="52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2" t="str" cm="1">
        <f t="array" ref="E42:E48">IF(OR($C42="Low",$C42="Medium"),_xlfn._xlws.FILTER(Recommendations!$C:$C,Recommendations!$A:$A=$A42),"")</f>
        <v>Define milestones; review progress at the executive meeting each month.</v>
      </c>
    </row>
    <row r="43" spans="1:5" x14ac:dyDescent="0.35">
      <c r="A43" s="57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</row>
    <row r="44" spans="1:5" x14ac:dyDescent="0.35">
      <c r="A44" s="51"/>
      <c r="B44" s="52"/>
      <c r="C44" s="52"/>
      <c r="D44" s="52" t="str">
        <v>Add culture metrics to leader scorecards and reviews.</v>
      </c>
      <c r="E44" s="52" t="str">
        <v>Track speak‑up usage, leader‑employee gap, and sentiment trend each quarter.</v>
      </c>
    </row>
    <row r="45" spans="1:5" x14ac:dyDescent="0.35">
      <c r="A45" s="57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</row>
    <row r="46" spans="1:5" x14ac:dyDescent="0.35">
      <c r="A46" s="57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</row>
    <row r="47" spans="1:5" x14ac:dyDescent="0.35">
      <c r="A47" s="57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</row>
    <row r="48" spans="1:5" x14ac:dyDescent="0.35">
      <c r="A48" s="51"/>
      <c r="B48" s="52"/>
      <c r="C48" s="52"/>
      <c r="D48" s="52" t="str">
        <v>Hold quarterly ‘What’s Working Well’ share‑outs.</v>
      </c>
      <c r="E48" s="52" t="str">
        <v>Teams present 3 positive behaviours that improved collaboration or ethics; capture playbook items.</v>
      </c>
    </row>
    <row r="49" spans="1:5" x14ac:dyDescent="0.35">
      <c r="A49" s="57" t="s">
        <v>10</v>
      </c>
      <c r="B49" s="28">
        <f>VLOOKUP($A49,'SOFT CONTROL SCORECARD'!$A:$F,3,FALSE)</f>
        <v>70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</row>
    <row r="50" spans="1:5" x14ac:dyDescent="0.35">
      <c r="A50" s="51"/>
      <c r="B50" s="52"/>
      <c r="C50" s="52"/>
      <c r="D50" s="52" t="str">
        <v>Publish a simple ‘how to escalate’ guide.</v>
      </c>
      <c r="E50" s="52" t="str">
        <v>What to raise, when, to whom, expected timelines; include examples.</v>
      </c>
    </row>
    <row r="51" spans="1:5" x14ac:dyDescent="0.35">
      <c r="A51" s="57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</row>
    <row r="52" spans="1:5" x14ac:dyDescent="0.35">
      <c r="A52" s="51"/>
      <c r="B52" s="52"/>
      <c r="C52" s="52"/>
      <c r="D52" s="52" t="str">
        <v>Add ‘Team Norm Reviews’ to monthly check‑ins.</v>
      </c>
      <c r="E52" s="52" t="str">
        <v>Teams rate themselves on 3 norms (ownership, honesty, follow‑through); manager summarizes 1 improvement action.</v>
      </c>
    </row>
    <row r="53" spans="1:5" x14ac:dyDescent="0.35">
      <c r="A53" s="51"/>
      <c r="B53" s="52"/>
      <c r="C53" s="52"/>
      <c r="D53" s="52" t="str">
        <v>Introduce micro‑escalation cards.</v>
      </c>
      <c r="E53" s="52" t="str">
        <v>Provide a card/listing of ‘what to escalate’, timelines, and the right role; share in all team meetings.</v>
      </c>
    </row>
    <row r="54" spans="1:5" x14ac:dyDescent="0.35">
      <c r="A54" s="51"/>
      <c r="B54" s="52"/>
      <c r="C54" s="52"/>
      <c r="D54" s="52" t="str">
        <v>Run 15‑min ‘Case Replay’ exercises.</v>
      </c>
      <c r="E54" s="52" t="str">
        <v>Manager picks a sanitized situation, explains what should have happened, and clarifies expectations.</v>
      </c>
    </row>
    <row r="55" spans="1:5" x14ac:dyDescent="0.35">
      <c r="A55" s="51"/>
      <c r="B55" s="52"/>
      <c r="C55" s="52"/>
      <c r="D55" s="52" t="str">
        <v>Launch quick ‘Stop/Start/Continue’ monthly peer feedback.</v>
      </c>
      <c r="E55" s="52" t="str">
        <v>Each member submits 1 behaviour under each category; manager consolidates themes anonymously.</v>
      </c>
    </row>
    <row r="56" spans="1:5" x14ac:dyDescent="0.35">
      <c r="A56" s="57"/>
      <c r="B56" s="28"/>
      <c r="C56" s="28"/>
      <c r="D56" s="28"/>
      <c r="E56" s="2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zoomScale="72" workbookViewId="0">
      <selection activeCell="D1" sqref="D1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221</v>
      </c>
      <c r="L1" t="s">
        <v>260</v>
      </c>
    </row>
    <row r="2" spans="1:12" x14ac:dyDescent="0.35">
      <c r="A2" t="s">
        <v>269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269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269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269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269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269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269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269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269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269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269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269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269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269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269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269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Sense of Ownership</v>
      </c>
    </row>
    <row r="18" spans="1:12" x14ac:dyDescent="0.35">
      <c r="A18" t="s">
        <v>269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269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269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269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269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>Compliance Confidence in team</v>
      </c>
    </row>
    <row r="23" spans="1:12" x14ac:dyDescent="0.35">
      <c r="A23" t="s">
        <v>269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Transparency in Decision‑Making</v>
      </c>
    </row>
    <row r="24" spans="1:12" x14ac:dyDescent="0.35">
      <c r="A24" t="s">
        <v>269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Fairness &amp; Equity of Expectations</v>
      </c>
    </row>
    <row r="25" spans="1:12" x14ac:dyDescent="0.35">
      <c r="A25" t="s">
        <v>269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Leadership Awareness in the team</v>
      </c>
    </row>
    <row r="26" spans="1:12" x14ac:dyDescent="0.35">
      <c r="A26" t="s">
        <v>269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269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269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269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269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269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269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269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Consistency of Conduct Enforcement</v>
      </c>
    </row>
    <row r="34" spans="1:12" x14ac:dyDescent="0.35">
      <c r="A34" t="s">
        <v>269</v>
      </c>
      <c r="B34" t="s">
        <v>270</v>
      </c>
      <c r="C34" t="s">
        <v>270</v>
      </c>
      <c r="G34" t="s">
        <v>271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253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222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223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224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225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226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227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228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229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230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231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232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233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234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235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236</v>
      </c>
      <c r="L50" t="str">
        <f>_xlfn.XLOOKUP(AllResponses[[#This Row],[QuestionID]], FinalQuestions!$A:$A, FinalQuestions!$D:$D,"")</f>
        <v>Sense of Ownership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237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238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239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240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249</v>
      </c>
      <c r="L55" t="str">
        <f>_xlfn.XLOOKUP(AllResponses[[#This Row],[QuestionID]], FinalQuestions!$A:$A, FinalQuestions!$D:$D,"")</f>
        <v>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250</v>
      </c>
      <c r="L56" t="str">
        <f>_xlfn.XLOOKUP(AllResponses[[#This Row],[QuestionID]], FinalQuestions!$A:$A, FinalQuestions!$D:$D,"")</f>
        <v>Transparency in Decision‑Making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251</v>
      </c>
      <c r="L57" t="str">
        <f>_xlfn.XLOOKUP(AllResponses[[#This Row],[QuestionID]], FinalQuestions!$A:$A, FinalQuestions!$D:$D,"")</f>
        <v>Fairness &amp; Equity of Expectations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252</v>
      </c>
      <c r="L58" t="str">
        <f>_xlfn.XLOOKUP(AllResponses[[#This Row],[QuestionID]], FinalQuestions!$A:$A, FinalQuestions!$D:$D,"")</f>
        <v>Leadership Awareness in the team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241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242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243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244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245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246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247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248</v>
      </c>
      <c r="L66" t="str">
        <f>_xlfn.XLOOKUP(AllResponses[[#This Row],[QuestionID]], FinalQuestions!$A:$A, FinalQuestions!$D:$D,"")</f>
        <v>Consistency of Conduct Enforcement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253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222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223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224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225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226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227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228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229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230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231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232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233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234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235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236</v>
      </c>
      <c r="L82" t="str">
        <f>_xlfn.XLOOKUP(AllResponses[[#This Row],[QuestionID]], FinalQuestions!$A:$A, FinalQuestions!$D:$D,"")</f>
        <v>Sense of Ownership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237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238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239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240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249</v>
      </c>
      <c r="L87" t="str">
        <f>_xlfn.XLOOKUP(AllResponses[[#This Row],[QuestionID]], FinalQuestions!$A:$A, FinalQuestions!$D:$D,"")</f>
        <v>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250</v>
      </c>
      <c r="L88" t="str">
        <f>_xlfn.XLOOKUP(AllResponses[[#This Row],[QuestionID]], FinalQuestions!$A:$A, FinalQuestions!$D:$D,"")</f>
        <v>Transparency in Decision‑Making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251</v>
      </c>
      <c r="L89" t="str">
        <f>_xlfn.XLOOKUP(AllResponses[[#This Row],[QuestionID]], FinalQuestions!$A:$A, FinalQuestions!$D:$D,"")</f>
        <v>Fairness &amp; Equity of Expectations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252</v>
      </c>
      <c r="L90" t="str">
        <f>_xlfn.XLOOKUP(AllResponses[[#This Row],[QuestionID]], FinalQuestions!$A:$A, FinalQuestions!$D:$D,"")</f>
        <v>Leadership Awareness in the team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241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242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243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244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245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246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247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248</v>
      </c>
      <c r="L98" t="str">
        <f>_xlfn.XLOOKUP(AllResponses[[#This Row],[QuestionID]], FinalQuestions!$A:$A, FinalQuestions!$D:$D,"")</f>
        <v>Consistency of Conduct Enforcement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253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222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223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224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225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226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227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228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229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230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231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232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233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234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235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236</v>
      </c>
      <c r="L114" t="str">
        <f>_xlfn.XLOOKUP(AllResponses[[#This Row],[QuestionID]], FinalQuestions!$A:$A, FinalQuestions!$D:$D,"")</f>
        <v>Sense of Ownership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237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238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239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240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249</v>
      </c>
      <c r="L119" t="str">
        <f>_xlfn.XLOOKUP(AllResponses[[#This Row],[QuestionID]], FinalQuestions!$A:$A, FinalQuestions!$D:$D,"")</f>
        <v>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250</v>
      </c>
      <c r="L120" t="str">
        <f>_xlfn.XLOOKUP(AllResponses[[#This Row],[QuestionID]], FinalQuestions!$A:$A, FinalQuestions!$D:$D,"")</f>
        <v>Transparency in Decision‑Making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251</v>
      </c>
      <c r="L121" t="str">
        <f>_xlfn.XLOOKUP(AllResponses[[#This Row],[QuestionID]], FinalQuestions!$A:$A, FinalQuestions!$D:$D,"")</f>
        <v>Fairness &amp; Equity of Expectations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252</v>
      </c>
      <c r="L122" t="str">
        <f>_xlfn.XLOOKUP(AllResponses[[#This Row],[QuestionID]], FinalQuestions!$A:$A, FinalQuestions!$D:$D,"")</f>
        <v>Leadership Awareness in the team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241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242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243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244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245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246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247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248</v>
      </c>
      <c r="L130" t="str">
        <f>_xlfn.XLOOKUP(AllResponses[[#This Row],[QuestionID]], FinalQuestions!$A:$A, FinalQuestions!$D:$D,"")</f>
        <v>Consistency of Conduct Enforcement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253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222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223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224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225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226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227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228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229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230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231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232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233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234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235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236</v>
      </c>
      <c r="L146" t="str">
        <f>_xlfn.XLOOKUP(AllResponses[[#This Row],[QuestionID]], FinalQuestions!$A:$A, FinalQuestions!$D:$D,"")</f>
        <v>Sense of Ownership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237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238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239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240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249</v>
      </c>
      <c r="L151" t="str">
        <f>_xlfn.XLOOKUP(AllResponses[[#This Row],[QuestionID]], FinalQuestions!$A:$A, FinalQuestions!$D:$D,"")</f>
        <v>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250</v>
      </c>
      <c r="L152" t="str">
        <f>_xlfn.XLOOKUP(AllResponses[[#This Row],[QuestionID]], FinalQuestions!$A:$A, FinalQuestions!$D:$D,"")</f>
        <v>Transparency in Decision‑Making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251</v>
      </c>
      <c r="L153" t="str">
        <f>_xlfn.XLOOKUP(AllResponses[[#This Row],[QuestionID]], FinalQuestions!$A:$A, FinalQuestions!$D:$D,"")</f>
        <v>Fairness &amp; Equity of Expectations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252</v>
      </c>
      <c r="L154" t="str">
        <f>_xlfn.XLOOKUP(AllResponses[[#This Row],[QuestionID]], FinalQuestions!$A:$A, FinalQuestions!$D:$D,"")</f>
        <v>Leadership Awareness in the team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241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242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243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244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245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246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247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248</v>
      </c>
      <c r="L162" t="str">
        <f>_xlfn.XLOOKUP(AllResponses[[#This Row],[QuestionID]], FinalQuestions!$A:$A, FinalQuestions!$D:$D,"")</f>
        <v>Consistency of Conduct Enforcement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253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222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223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224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225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226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227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228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229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230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231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232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233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234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235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236</v>
      </c>
      <c r="L178" t="str">
        <f>_xlfn.XLOOKUP(AllResponses[[#This Row],[QuestionID]], FinalQuestions!$A:$A, FinalQuestions!$D:$D,"")</f>
        <v>Sense of Ownership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237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238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239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240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249</v>
      </c>
      <c r="L183" t="str">
        <f>_xlfn.XLOOKUP(AllResponses[[#This Row],[QuestionID]], FinalQuestions!$A:$A, FinalQuestions!$D:$D,"")</f>
        <v>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250</v>
      </c>
      <c r="L184" t="str">
        <f>_xlfn.XLOOKUP(AllResponses[[#This Row],[QuestionID]], FinalQuestions!$A:$A, FinalQuestions!$D:$D,"")</f>
        <v>Transparency in Decision‑Making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251</v>
      </c>
      <c r="L185" t="str">
        <f>_xlfn.XLOOKUP(AllResponses[[#This Row],[QuestionID]], FinalQuestions!$A:$A, FinalQuestions!$D:$D,"")</f>
        <v>Fairness &amp; Equity of Expectations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252</v>
      </c>
      <c r="L186" t="str">
        <f>_xlfn.XLOOKUP(AllResponses[[#This Row],[QuestionID]], FinalQuestions!$A:$A, FinalQuestions!$D:$D,"")</f>
        <v>Leadership Awareness in the team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241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242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243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244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245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246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247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248</v>
      </c>
      <c r="L194" t="str">
        <f>_xlfn.XLOOKUP(AllResponses[[#This Row],[QuestionID]], FinalQuestions!$A:$A, FinalQuestions!$D:$D,"")</f>
        <v>Consistency of Conduct Enforcement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253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222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223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224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225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226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227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228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229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230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231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232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233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234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235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236</v>
      </c>
      <c r="L210" t="str">
        <f>_xlfn.XLOOKUP(AllResponses[[#This Row],[QuestionID]], FinalQuestions!$A:$A, FinalQuestions!$D:$D,"")</f>
        <v>Sense of Ownership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237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238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239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240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249</v>
      </c>
      <c r="L215" t="str">
        <f>_xlfn.XLOOKUP(AllResponses[[#This Row],[QuestionID]], FinalQuestions!$A:$A, FinalQuestions!$D:$D,"")</f>
        <v>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250</v>
      </c>
      <c r="L216" t="str">
        <f>_xlfn.XLOOKUP(AllResponses[[#This Row],[QuestionID]], FinalQuestions!$A:$A, FinalQuestions!$D:$D,"")</f>
        <v>Transparency in Decision‑Making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251</v>
      </c>
      <c r="L217" t="str">
        <f>_xlfn.XLOOKUP(AllResponses[[#This Row],[QuestionID]], FinalQuestions!$A:$A, FinalQuestions!$D:$D,"")</f>
        <v>Fairness &amp; Equity of Expectations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252</v>
      </c>
      <c r="L218" t="str">
        <f>_xlfn.XLOOKUP(AllResponses[[#This Row],[QuestionID]], FinalQuestions!$A:$A, FinalQuestions!$D:$D,"")</f>
        <v>Leadership Awareness in the team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241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242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243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244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245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246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247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248</v>
      </c>
      <c r="L226" t="str">
        <f>_xlfn.XLOOKUP(AllResponses[[#This Row],[QuestionID]], FinalQuestions!$A:$A, FinalQuestions!$D:$D,"")</f>
        <v>Consistency of Conduct Enforcement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253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222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223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224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225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226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227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228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229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230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231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232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233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234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235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236</v>
      </c>
      <c r="L242" t="str">
        <f>_xlfn.XLOOKUP(AllResponses[[#This Row],[QuestionID]], FinalQuestions!$A:$A, FinalQuestions!$D:$D,"")</f>
        <v>Sense of Ownership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237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238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239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240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249</v>
      </c>
      <c r="L247" t="str">
        <f>_xlfn.XLOOKUP(AllResponses[[#This Row],[QuestionID]], FinalQuestions!$A:$A, FinalQuestions!$D:$D,"")</f>
        <v>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250</v>
      </c>
      <c r="L248" t="str">
        <f>_xlfn.XLOOKUP(AllResponses[[#This Row],[QuestionID]], FinalQuestions!$A:$A, FinalQuestions!$D:$D,"")</f>
        <v>Transparency in Decision‑Making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251</v>
      </c>
      <c r="L249" t="str">
        <f>_xlfn.XLOOKUP(AllResponses[[#This Row],[QuestionID]], FinalQuestions!$A:$A, FinalQuestions!$D:$D,"")</f>
        <v>Fairness &amp; Equity of Expectations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252</v>
      </c>
      <c r="L250" t="str">
        <f>_xlfn.XLOOKUP(AllResponses[[#This Row],[QuestionID]], FinalQuestions!$A:$A, FinalQuestions!$D:$D,"")</f>
        <v>Leadership Awareness in the team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241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242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243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244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245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246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247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248</v>
      </c>
      <c r="L258" t="str">
        <f>_xlfn.XLOOKUP(AllResponses[[#This Row],[QuestionID]], FinalQuestions!$A:$A, FinalQuestions!$D:$D,"")</f>
        <v>Consistency of Conduct Enforcement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253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222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223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224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225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226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227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228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229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230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231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232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233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234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235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236</v>
      </c>
      <c r="L274" t="str">
        <f>_xlfn.XLOOKUP(AllResponses[[#This Row],[QuestionID]], FinalQuestions!$A:$A, FinalQuestions!$D:$D,"")</f>
        <v>Sense of Ownership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237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238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239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240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249</v>
      </c>
      <c r="L279" t="str">
        <f>_xlfn.XLOOKUP(AllResponses[[#This Row],[QuestionID]], FinalQuestions!$A:$A, FinalQuestions!$D:$D,"")</f>
        <v>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250</v>
      </c>
      <c r="L280" t="str">
        <f>_xlfn.XLOOKUP(AllResponses[[#This Row],[QuestionID]], FinalQuestions!$A:$A, FinalQuestions!$D:$D,"")</f>
        <v>Transparency in Decision‑Making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251</v>
      </c>
      <c r="L281" t="str">
        <f>_xlfn.XLOOKUP(AllResponses[[#This Row],[QuestionID]], FinalQuestions!$A:$A, FinalQuestions!$D:$D,"")</f>
        <v>Fairness &amp; Equity of Expectations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252</v>
      </c>
      <c r="L282" t="str">
        <f>_xlfn.XLOOKUP(AllResponses[[#This Row],[QuestionID]], FinalQuestions!$A:$A, FinalQuestions!$D:$D,"")</f>
        <v>Leadership Awareness in the team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241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242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243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244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245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246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247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248</v>
      </c>
      <c r="L290" t="str">
        <f>_xlfn.XLOOKUP(AllResponses[[#This Row],[QuestionID]], FinalQuestions!$A:$A, FinalQuestions!$D:$D,"")</f>
        <v>Consistency of Conduct Enforcement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253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222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223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224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225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226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227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228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229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230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231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232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233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234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235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236</v>
      </c>
      <c r="L306" t="str">
        <f>_xlfn.XLOOKUP(AllResponses[[#This Row],[QuestionID]], FinalQuestions!$A:$A, FinalQuestions!$D:$D,"")</f>
        <v>Sense of Ownership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237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238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239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240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249</v>
      </c>
      <c r="L311" t="str">
        <f>_xlfn.XLOOKUP(AllResponses[[#This Row],[QuestionID]], FinalQuestions!$A:$A, FinalQuestions!$D:$D,"")</f>
        <v>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250</v>
      </c>
      <c r="L312" t="str">
        <f>_xlfn.XLOOKUP(AllResponses[[#This Row],[QuestionID]], FinalQuestions!$A:$A, FinalQuestions!$D:$D,"")</f>
        <v>Transparency in Decision‑Making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251</v>
      </c>
      <c r="L313" t="str">
        <f>_xlfn.XLOOKUP(AllResponses[[#This Row],[QuestionID]], FinalQuestions!$A:$A, FinalQuestions!$D:$D,"")</f>
        <v>Fairness &amp; Equity of Expectations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252</v>
      </c>
      <c r="L314" t="str">
        <f>_xlfn.XLOOKUP(AllResponses[[#This Row],[QuestionID]], FinalQuestions!$A:$A, FinalQuestions!$D:$D,"")</f>
        <v>Leadership Awareness in the team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241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242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243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244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245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246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247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248</v>
      </c>
      <c r="L322" t="str">
        <f>_xlfn.XLOOKUP(AllResponses[[#This Row],[QuestionID]], FinalQuestions!$A:$A, FinalQuestions!$D:$D,"")</f>
        <v>Consistency of Conduct Enforcement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253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222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223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224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225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226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227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228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229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230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231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232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233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234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235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236</v>
      </c>
      <c r="L338" t="str">
        <f>_xlfn.XLOOKUP(AllResponses[[#This Row],[QuestionID]], FinalQuestions!$A:$A, FinalQuestions!$D:$D,"")</f>
        <v>Sense of Ownership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237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238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239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240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249</v>
      </c>
      <c r="L343" t="str">
        <f>_xlfn.XLOOKUP(AllResponses[[#This Row],[QuestionID]], FinalQuestions!$A:$A, FinalQuestions!$D:$D,"")</f>
        <v>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250</v>
      </c>
      <c r="L344" t="str">
        <f>_xlfn.XLOOKUP(AllResponses[[#This Row],[QuestionID]], FinalQuestions!$A:$A, FinalQuestions!$D:$D,"")</f>
        <v>Transparency in Decision‑Making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251</v>
      </c>
      <c r="L345" t="str">
        <f>_xlfn.XLOOKUP(AllResponses[[#This Row],[QuestionID]], FinalQuestions!$A:$A, FinalQuestions!$D:$D,"")</f>
        <v>Fairness &amp; Equity of Expectations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252</v>
      </c>
      <c r="L346" t="str">
        <f>_xlfn.XLOOKUP(AllResponses[[#This Row],[QuestionID]], FinalQuestions!$A:$A, FinalQuestions!$D:$D,"")</f>
        <v>Leadership Awareness in the team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241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242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243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244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245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246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247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248</v>
      </c>
      <c r="L354" t="str">
        <f>_xlfn.XLOOKUP(AllResponses[[#This Row],[QuestionID]], FinalQuestions!$A:$A, FinalQuestions!$D:$D,"")</f>
        <v>Consistency of Conduct Enforcement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253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222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223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224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225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226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227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228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229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230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231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232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233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234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235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236</v>
      </c>
      <c r="L370" t="str">
        <f>_xlfn.XLOOKUP(AllResponses[[#This Row],[QuestionID]], FinalQuestions!$A:$A, FinalQuestions!$D:$D,"")</f>
        <v>Sense of Ownership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237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238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239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240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249</v>
      </c>
      <c r="L375" t="str">
        <f>_xlfn.XLOOKUP(AllResponses[[#This Row],[QuestionID]], FinalQuestions!$A:$A, FinalQuestions!$D:$D,"")</f>
        <v>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250</v>
      </c>
      <c r="L376" t="str">
        <f>_xlfn.XLOOKUP(AllResponses[[#This Row],[QuestionID]], FinalQuestions!$A:$A, FinalQuestions!$D:$D,"")</f>
        <v>Transparency in Decision‑Making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251</v>
      </c>
      <c r="L377" t="str">
        <f>_xlfn.XLOOKUP(AllResponses[[#This Row],[QuestionID]], FinalQuestions!$A:$A, FinalQuestions!$D:$D,"")</f>
        <v>Fairness &amp; Equity of Expectations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252</v>
      </c>
      <c r="L378" t="str">
        <f>_xlfn.XLOOKUP(AllResponses[[#This Row],[QuestionID]], FinalQuestions!$A:$A, FinalQuestions!$D:$D,"")</f>
        <v>Leadership Awareness in the team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241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242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243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244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245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246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247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248</v>
      </c>
      <c r="L386" t="str">
        <f>_xlfn.XLOOKUP(AllResponses[[#This Row],[QuestionID]], FinalQuestions!$A:$A, FinalQuestions!$D:$D,"")</f>
        <v>Consistency of Conduct Enforcement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253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222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223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224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225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226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227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228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229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230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231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232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233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234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235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236</v>
      </c>
      <c r="L402" t="str">
        <f>_xlfn.XLOOKUP(AllResponses[[#This Row],[QuestionID]], FinalQuestions!$A:$A, FinalQuestions!$D:$D,"")</f>
        <v>Sense of Ownership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237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238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239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240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249</v>
      </c>
      <c r="L407" t="str">
        <f>_xlfn.XLOOKUP(AllResponses[[#This Row],[QuestionID]], FinalQuestions!$A:$A, FinalQuestions!$D:$D,"")</f>
        <v>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250</v>
      </c>
      <c r="L408" t="str">
        <f>_xlfn.XLOOKUP(AllResponses[[#This Row],[QuestionID]], FinalQuestions!$A:$A, FinalQuestions!$D:$D,"")</f>
        <v>Transparency in Decision‑Making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251</v>
      </c>
      <c r="L409" t="str">
        <f>_xlfn.XLOOKUP(AllResponses[[#This Row],[QuestionID]], FinalQuestions!$A:$A, FinalQuestions!$D:$D,"")</f>
        <v>Fairness &amp; Equity of Expectations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252</v>
      </c>
      <c r="L410" t="str">
        <f>_xlfn.XLOOKUP(AllResponses[[#This Row],[QuestionID]], FinalQuestions!$A:$A, FinalQuestions!$D:$D,"")</f>
        <v>Leadership Awareness in the team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241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242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243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244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245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246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247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248</v>
      </c>
      <c r="L418" t="str">
        <f>_xlfn.XLOOKUP(AllResponses[[#This Row],[QuestionID]], FinalQuestions!$A:$A, FinalQuestions!$D:$D,"")</f>
        <v>Consistency of Conduct Enforcement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253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222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223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224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225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226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227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228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229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230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231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232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233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234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235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236</v>
      </c>
      <c r="L434" t="str">
        <f>_xlfn.XLOOKUP(AllResponses[[#This Row],[QuestionID]], FinalQuestions!$A:$A, FinalQuestions!$D:$D,"")</f>
        <v>Sense of Ownership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237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238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239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240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249</v>
      </c>
      <c r="L439" t="str">
        <f>_xlfn.XLOOKUP(AllResponses[[#This Row],[QuestionID]], FinalQuestions!$A:$A, FinalQuestions!$D:$D,"")</f>
        <v>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250</v>
      </c>
      <c r="L440" t="str">
        <f>_xlfn.XLOOKUP(AllResponses[[#This Row],[QuestionID]], FinalQuestions!$A:$A, FinalQuestions!$D:$D,"")</f>
        <v>Transparency in Decision‑Making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251</v>
      </c>
      <c r="L441" t="str">
        <f>_xlfn.XLOOKUP(AllResponses[[#This Row],[QuestionID]], FinalQuestions!$A:$A, FinalQuestions!$D:$D,"")</f>
        <v>Fairness &amp; Equity of Expectations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252</v>
      </c>
      <c r="L442" t="str">
        <f>_xlfn.XLOOKUP(AllResponses[[#This Row],[QuestionID]], FinalQuestions!$A:$A, FinalQuestions!$D:$D,"")</f>
        <v>Leadership Awareness in the team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241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242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243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244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245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246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247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248</v>
      </c>
      <c r="L450" t="str">
        <f>_xlfn.XLOOKUP(AllResponses[[#This Row],[QuestionID]], FinalQuestions!$A:$A, FinalQuestions!$D:$D,"")</f>
        <v>Consistency of Conduct Enforcement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253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222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223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224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225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226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227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228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229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230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231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232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233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234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235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236</v>
      </c>
      <c r="L466" t="str">
        <f>_xlfn.XLOOKUP(AllResponses[[#This Row],[QuestionID]], FinalQuestions!$A:$A, FinalQuestions!$D:$D,"")</f>
        <v>Sense of Ownership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237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238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239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240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249</v>
      </c>
      <c r="L471" t="str">
        <f>_xlfn.XLOOKUP(AllResponses[[#This Row],[QuestionID]], FinalQuestions!$A:$A, FinalQuestions!$D:$D,"")</f>
        <v>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250</v>
      </c>
      <c r="L472" t="str">
        <f>_xlfn.XLOOKUP(AllResponses[[#This Row],[QuestionID]], FinalQuestions!$A:$A, FinalQuestions!$D:$D,"")</f>
        <v>Transparency in Decision‑Making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251</v>
      </c>
      <c r="L473" t="str">
        <f>_xlfn.XLOOKUP(AllResponses[[#This Row],[QuestionID]], FinalQuestions!$A:$A, FinalQuestions!$D:$D,"")</f>
        <v>Fairness &amp; Equity of Expectations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252</v>
      </c>
      <c r="L474" t="str">
        <f>_xlfn.XLOOKUP(AllResponses[[#This Row],[QuestionID]], FinalQuestions!$A:$A, FinalQuestions!$D:$D,"")</f>
        <v>Leadership Awareness in the team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241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242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243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244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245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246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247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248</v>
      </c>
      <c r="L482" t="str">
        <f>_xlfn.XLOOKUP(AllResponses[[#This Row],[QuestionID]], FinalQuestions!$A:$A, FinalQuestions!$D:$D,"")</f>
        <v>Consistency of Conduct Enforcement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253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222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223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224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225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226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227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228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229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230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231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232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233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234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235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236</v>
      </c>
      <c r="L498" t="str">
        <f>_xlfn.XLOOKUP(AllResponses[[#This Row],[QuestionID]], FinalQuestions!$A:$A, FinalQuestions!$D:$D,"")</f>
        <v>Sense of Ownership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237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238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239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240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249</v>
      </c>
      <c r="L503" t="str">
        <f>_xlfn.XLOOKUP(AllResponses[[#This Row],[QuestionID]], FinalQuestions!$A:$A, FinalQuestions!$D:$D,"")</f>
        <v>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250</v>
      </c>
      <c r="L504" t="str">
        <f>_xlfn.XLOOKUP(AllResponses[[#This Row],[QuestionID]], FinalQuestions!$A:$A, FinalQuestions!$D:$D,"")</f>
        <v>Transparency in Decision‑Making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251</v>
      </c>
      <c r="L505" t="str">
        <f>_xlfn.XLOOKUP(AllResponses[[#This Row],[QuestionID]], FinalQuestions!$A:$A, FinalQuestions!$D:$D,"")</f>
        <v>Fairness &amp; Equity of Expectations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252</v>
      </c>
      <c r="L506" t="str">
        <f>_xlfn.XLOOKUP(AllResponses[[#This Row],[QuestionID]], FinalQuestions!$A:$A, FinalQuestions!$D:$D,"")</f>
        <v>Leadership Awareness in the team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241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242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243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244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245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246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247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248</v>
      </c>
      <c r="L514" t="str">
        <f>_xlfn.XLOOKUP(AllResponses[[#This Row],[QuestionID]], FinalQuestions!$A:$A, FinalQuestions!$D:$D,"")</f>
        <v>Consistency of Conduct Enforcement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253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222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223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224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225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226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227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228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229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230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231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232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233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234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235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236</v>
      </c>
      <c r="L530" t="str">
        <f>_xlfn.XLOOKUP(AllResponses[[#This Row],[QuestionID]], FinalQuestions!$A:$A, FinalQuestions!$D:$D,"")</f>
        <v>Sense of Ownership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237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238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239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240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249</v>
      </c>
      <c r="L535" t="str">
        <f>_xlfn.XLOOKUP(AllResponses[[#This Row],[QuestionID]], FinalQuestions!$A:$A, FinalQuestions!$D:$D,"")</f>
        <v>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250</v>
      </c>
      <c r="L536" t="str">
        <f>_xlfn.XLOOKUP(AllResponses[[#This Row],[QuestionID]], FinalQuestions!$A:$A, FinalQuestions!$D:$D,"")</f>
        <v>Transparency in Decision‑Making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251</v>
      </c>
      <c r="L537" t="str">
        <f>_xlfn.XLOOKUP(AllResponses[[#This Row],[QuestionID]], FinalQuestions!$A:$A, FinalQuestions!$D:$D,"")</f>
        <v>Fairness &amp; Equity of Expectations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252</v>
      </c>
      <c r="L538" t="str">
        <f>_xlfn.XLOOKUP(AllResponses[[#This Row],[QuestionID]], FinalQuestions!$A:$A, FinalQuestions!$D:$D,"")</f>
        <v>Leadership Awareness in the team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241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242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243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244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245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246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247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248</v>
      </c>
      <c r="L546" t="str">
        <f>_xlfn.XLOOKUP(AllResponses[[#This Row],[QuestionID]], FinalQuestions!$A:$A, FinalQuestions!$D:$D,"")</f>
        <v>Consistency of Conduct Enforcement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253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222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223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224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225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226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227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228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229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230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231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232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233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234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235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236</v>
      </c>
      <c r="L562" t="str">
        <f>_xlfn.XLOOKUP(AllResponses[[#This Row],[QuestionID]], FinalQuestions!$A:$A, FinalQuestions!$D:$D,"")</f>
        <v>Sense of Ownership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237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238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239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240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249</v>
      </c>
      <c r="L567" t="str">
        <f>_xlfn.XLOOKUP(AllResponses[[#This Row],[QuestionID]], FinalQuestions!$A:$A, FinalQuestions!$D:$D,"")</f>
        <v>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250</v>
      </c>
      <c r="L568" t="str">
        <f>_xlfn.XLOOKUP(AllResponses[[#This Row],[QuestionID]], FinalQuestions!$A:$A, FinalQuestions!$D:$D,"")</f>
        <v>Transparency in Decision‑Making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251</v>
      </c>
      <c r="L569" t="str">
        <f>_xlfn.XLOOKUP(AllResponses[[#This Row],[QuestionID]], FinalQuestions!$A:$A, FinalQuestions!$D:$D,"")</f>
        <v>Fairness &amp; Equity of Expectations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252</v>
      </c>
      <c r="L570" t="str">
        <f>_xlfn.XLOOKUP(AllResponses[[#This Row],[QuestionID]], FinalQuestions!$A:$A, FinalQuestions!$D:$D,"")</f>
        <v>Leadership Awareness in the team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241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242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243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244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245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246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247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248</v>
      </c>
      <c r="L578" t="str">
        <f>_xlfn.XLOOKUP(AllResponses[[#This Row],[QuestionID]], FinalQuestions!$A:$A, FinalQuestions!$D:$D,"")</f>
        <v>Consistency of Conduct Enforcement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253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222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223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224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225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226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227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228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229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230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231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232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233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234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235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236</v>
      </c>
      <c r="L594" t="str">
        <f>_xlfn.XLOOKUP(AllResponses[[#This Row],[QuestionID]], FinalQuestions!$A:$A, FinalQuestions!$D:$D,"")</f>
        <v>Sense of Ownership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237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238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239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240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249</v>
      </c>
      <c r="L599" t="str">
        <f>_xlfn.XLOOKUP(AllResponses[[#This Row],[QuestionID]], FinalQuestions!$A:$A, FinalQuestions!$D:$D,"")</f>
        <v>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250</v>
      </c>
      <c r="L600" t="str">
        <f>_xlfn.XLOOKUP(AllResponses[[#This Row],[QuestionID]], FinalQuestions!$A:$A, FinalQuestions!$D:$D,"")</f>
        <v>Transparency in Decision‑Making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251</v>
      </c>
      <c r="L601" t="str">
        <f>_xlfn.XLOOKUP(AllResponses[[#This Row],[QuestionID]], FinalQuestions!$A:$A, FinalQuestions!$D:$D,"")</f>
        <v>Fairness &amp; Equity of Expectations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252</v>
      </c>
      <c r="L602" t="str">
        <f>_xlfn.XLOOKUP(AllResponses[[#This Row],[QuestionID]], FinalQuestions!$A:$A, FinalQuestions!$D:$D,"")</f>
        <v>Leadership Awareness in the team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241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242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243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244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245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246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247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248</v>
      </c>
      <c r="L610" t="str">
        <f>_xlfn.XLOOKUP(AllResponses[[#This Row],[QuestionID]], FinalQuestions!$A:$A, FinalQuestions!$D:$D,"")</f>
        <v>Consistency of Conduct Enforcement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253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222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223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224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225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226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227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228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229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230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231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232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233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234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235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236</v>
      </c>
      <c r="L626" t="str">
        <f>_xlfn.XLOOKUP(AllResponses[[#This Row],[QuestionID]], FinalQuestions!$A:$A, FinalQuestions!$D:$D,"")</f>
        <v>Sense of Ownership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237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238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239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240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249</v>
      </c>
      <c r="L631" t="str">
        <f>_xlfn.XLOOKUP(AllResponses[[#This Row],[QuestionID]], FinalQuestions!$A:$A, FinalQuestions!$D:$D,"")</f>
        <v>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250</v>
      </c>
      <c r="L632" t="str">
        <f>_xlfn.XLOOKUP(AllResponses[[#This Row],[QuestionID]], FinalQuestions!$A:$A, FinalQuestions!$D:$D,"")</f>
        <v>Transparency in Decision‑Making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251</v>
      </c>
      <c r="L633" t="str">
        <f>_xlfn.XLOOKUP(AllResponses[[#This Row],[QuestionID]], FinalQuestions!$A:$A, FinalQuestions!$D:$D,"")</f>
        <v>Fairness &amp; Equity of Expectations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252</v>
      </c>
      <c r="L634" t="str">
        <f>_xlfn.XLOOKUP(AllResponses[[#This Row],[QuestionID]], FinalQuestions!$A:$A, FinalQuestions!$D:$D,"")</f>
        <v>Leadership Awareness in the team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241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242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243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244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245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246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247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248</v>
      </c>
      <c r="L642" t="str">
        <f>_xlfn.XLOOKUP(AllResponses[[#This Row],[QuestionID]], FinalQuestions!$A:$A, FinalQuestions!$D:$D,"")</f>
        <v>Consistency of Conduct Enforcement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253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222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223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224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225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226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227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228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229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230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231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232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233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234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235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236</v>
      </c>
      <c r="L658" t="str">
        <f>_xlfn.XLOOKUP(AllResponses[[#This Row],[QuestionID]], FinalQuestions!$A:$A, FinalQuestions!$D:$D,"")</f>
        <v>Sense of Ownership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237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238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239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240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249</v>
      </c>
      <c r="L663" t="str">
        <f>_xlfn.XLOOKUP(AllResponses[[#This Row],[QuestionID]], FinalQuestions!$A:$A, FinalQuestions!$D:$D,"")</f>
        <v>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250</v>
      </c>
      <c r="L664" t="str">
        <f>_xlfn.XLOOKUP(AllResponses[[#This Row],[QuestionID]], FinalQuestions!$A:$A, FinalQuestions!$D:$D,"")</f>
        <v>Transparency in Decision‑Making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251</v>
      </c>
      <c r="L665" t="str">
        <f>_xlfn.XLOOKUP(AllResponses[[#This Row],[QuestionID]], FinalQuestions!$A:$A, FinalQuestions!$D:$D,"")</f>
        <v>Fairness &amp; Equity of Expectations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252</v>
      </c>
      <c r="L666" t="str">
        <f>_xlfn.XLOOKUP(AllResponses[[#This Row],[QuestionID]], FinalQuestions!$A:$A, FinalQuestions!$D:$D,"")</f>
        <v>Leadership Awareness in the team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241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242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243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244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245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246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247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248</v>
      </c>
      <c r="L674" t="str">
        <f>_xlfn.XLOOKUP(AllResponses[[#This Row],[QuestionID]], FinalQuestions!$A:$A, FinalQuestions!$D:$D,"")</f>
        <v>Consistency of Conduct Enforcement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253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222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223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224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225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226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227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228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229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230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231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232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233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234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235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236</v>
      </c>
      <c r="L690" t="str">
        <f>_xlfn.XLOOKUP(AllResponses[[#This Row],[QuestionID]], FinalQuestions!$A:$A, FinalQuestions!$D:$D,"")</f>
        <v>Sense of Ownership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237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238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239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240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249</v>
      </c>
      <c r="L695" t="str">
        <f>_xlfn.XLOOKUP(AllResponses[[#This Row],[QuestionID]], FinalQuestions!$A:$A, FinalQuestions!$D:$D,"")</f>
        <v>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250</v>
      </c>
      <c r="L696" t="str">
        <f>_xlfn.XLOOKUP(AllResponses[[#This Row],[QuestionID]], FinalQuestions!$A:$A, FinalQuestions!$D:$D,"")</f>
        <v>Transparency in Decision‑Making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251</v>
      </c>
      <c r="L697" t="str">
        <f>_xlfn.XLOOKUP(AllResponses[[#This Row],[QuestionID]], FinalQuestions!$A:$A, FinalQuestions!$D:$D,"")</f>
        <v>Fairness &amp; Equity of Expectations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252</v>
      </c>
      <c r="L698" t="str">
        <f>_xlfn.XLOOKUP(AllResponses[[#This Row],[QuestionID]], FinalQuestions!$A:$A, FinalQuestions!$D:$D,"")</f>
        <v>Leadership Awareness in the team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241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242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243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244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245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246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247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248</v>
      </c>
      <c r="L706" t="str">
        <f>_xlfn.XLOOKUP(AllResponses[[#This Row],[QuestionID]], FinalQuestions!$A:$A, FinalQuestions!$D:$D,"")</f>
        <v>Consistency of Conduct Enforcement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253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222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223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224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225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226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227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228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229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230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231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232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233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234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235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236</v>
      </c>
      <c r="L722" t="str">
        <f>_xlfn.XLOOKUP(AllResponses[[#This Row],[QuestionID]], FinalQuestions!$A:$A, FinalQuestions!$D:$D,"")</f>
        <v>Sense of Ownership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237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238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239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240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249</v>
      </c>
      <c r="L727" t="str">
        <f>_xlfn.XLOOKUP(AllResponses[[#This Row],[QuestionID]], FinalQuestions!$A:$A, FinalQuestions!$D:$D,"")</f>
        <v>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250</v>
      </c>
      <c r="L728" t="str">
        <f>_xlfn.XLOOKUP(AllResponses[[#This Row],[QuestionID]], FinalQuestions!$A:$A, FinalQuestions!$D:$D,"")</f>
        <v>Transparency in Decision‑Making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251</v>
      </c>
      <c r="L729" t="str">
        <f>_xlfn.XLOOKUP(AllResponses[[#This Row],[QuestionID]], FinalQuestions!$A:$A, FinalQuestions!$D:$D,"")</f>
        <v>Fairness &amp; Equity of Expectations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252</v>
      </c>
      <c r="L730" t="str">
        <f>_xlfn.XLOOKUP(AllResponses[[#This Row],[QuestionID]], FinalQuestions!$A:$A, FinalQuestions!$D:$D,"")</f>
        <v>Leadership Awareness in the team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241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242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243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244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245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246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247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248</v>
      </c>
      <c r="L738" t="str">
        <f>_xlfn.XLOOKUP(AllResponses[[#This Row],[QuestionID]], FinalQuestions!$A:$A, FinalQuestions!$D:$D,"")</f>
        <v>Consistency of Conduct Enforcement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253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222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223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224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225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226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227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228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229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230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231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232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233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234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235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236</v>
      </c>
      <c r="L754" t="str">
        <f>_xlfn.XLOOKUP(AllResponses[[#This Row],[QuestionID]], FinalQuestions!$A:$A, FinalQuestions!$D:$D,"")</f>
        <v>Sense of Ownership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237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238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239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240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249</v>
      </c>
      <c r="L759" t="str">
        <f>_xlfn.XLOOKUP(AllResponses[[#This Row],[QuestionID]], FinalQuestions!$A:$A, FinalQuestions!$D:$D,"")</f>
        <v>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250</v>
      </c>
      <c r="L760" t="str">
        <f>_xlfn.XLOOKUP(AllResponses[[#This Row],[QuestionID]], FinalQuestions!$A:$A, FinalQuestions!$D:$D,"")</f>
        <v>Transparency in Decision‑Making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251</v>
      </c>
      <c r="L761" t="str">
        <f>_xlfn.XLOOKUP(AllResponses[[#This Row],[QuestionID]], FinalQuestions!$A:$A, FinalQuestions!$D:$D,"")</f>
        <v>Fairness &amp; Equity of Expectations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252</v>
      </c>
      <c r="L762" t="str">
        <f>_xlfn.XLOOKUP(AllResponses[[#This Row],[QuestionID]], FinalQuestions!$A:$A, FinalQuestions!$D:$D,"")</f>
        <v>Leadership Awareness in the team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241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242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243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244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245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246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247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248</v>
      </c>
      <c r="L770" t="str">
        <f>_xlfn.XLOOKUP(AllResponses[[#This Row],[QuestionID]], FinalQuestions!$A:$A, FinalQuestions!$D:$D,"")</f>
        <v>Consistency of Conduct Enforcement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253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222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223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224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225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226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227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228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229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230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231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232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233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234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235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236</v>
      </c>
      <c r="L786" t="str">
        <f>_xlfn.XLOOKUP(AllResponses[[#This Row],[QuestionID]], FinalQuestions!$A:$A, FinalQuestions!$D:$D,"")</f>
        <v>Sense of Ownership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237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238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239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240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249</v>
      </c>
      <c r="L791" t="str">
        <f>_xlfn.XLOOKUP(AllResponses[[#This Row],[QuestionID]], FinalQuestions!$A:$A, FinalQuestions!$D:$D,"")</f>
        <v>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250</v>
      </c>
      <c r="L792" t="str">
        <f>_xlfn.XLOOKUP(AllResponses[[#This Row],[QuestionID]], FinalQuestions!$A:$A, FinalQuestions!$D:$D,"")</f>
        <v>Transparency in Decision‑Making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251</v>
      </c>
      <c r="L793" t="str">
        <f>_xlfn.XLOOKUP(AllResponses[[#This Row],[QuestionID]], FinalQuestions!$A:$A, FinalQuestions!$D:$D,"")</f>
        <v>Fairness &amp; Equity of Expectations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252</v>
      </c>
      <c r="L794" t="str">
        <f>_xlfn.XLOOKUP(AllResponses[[#This Row],[QuestionID]], FinalQuestions!$A:$A, FinalQuestions!$D:$D,"")</f>
        <v>Leadership Awareness in the team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241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242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243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244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245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246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247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248</v>
      </c>
      <c r="L802" t="str">
        <f>_xlfn.XLOOKUP(AllResponses[[#This Row],[QuestionID]], FinalQuestions!$A:$A, FinalQuestions!$D:$D,"")</f>
        <v>Consistency of Conduct Enforcement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253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222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223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224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225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226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227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228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229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230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231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232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233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234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235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236</v>
      </c>
      <c r="L818" t="str">
        <f>_xlfn.XLOOKUP(AllResponses[[#This Row],[QuestionID]], FinalQuestions!$A:$A, FinalQuestions!$D:$D,"")</f>
        <v>Sense of Ownership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237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238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239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240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249</v>
      </c>
      <c r="L823" t="str">
        <f>_xlfn.XLOOKUP(AllResponses[[#This Row],[QuestionID]], FinalQuestions!$A:$A, FinalQuestions!$D:$D,"")</f>
        <v>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250</v>
      </c>
      <c r="L824" t="str">
        <f>_xlfn.XLOOKUP(AllResponses[[#This Row],[QuestionID]], FinalQuestions!$A:$A, FinalQuestions!$D:$D,"")</f>
        <v>Transparency in Decision‑Making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251</v>
      </c>
      <c r="L825" t="str">
        <f>_xlfn.XLOOKUP(AllResponses[[#This Row],[QuestionID]], FinalQuestions!$A:$A, FinalQuestions!$D:$D,"")</f>
        <v>Fairness &amp; Equity of Expectations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252</v>
      </c>
      <c r="L826" t="str">
        <f>_xlfn.XLOOKUP(AllResponses[[#This Row],[QuestionID]], FinalQuestions!$A:$A, FinalQuestions!$D:$D,"")</f>
        <v>Leadership Awareness in the team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241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242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243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244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245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246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247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248</v>
      </c>
      <c r="L834" t="str">
        <f>_xlfn.XLOOKUP(AllResponses[[#This Row],[QuestionID]], FinalQuestions!$A:$A, FinalQuestions!$D:$D,"")</f>
        <v>Consistency of Conduct Enforcement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253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222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223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224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225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226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227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228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229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230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231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232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233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234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235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236</v>
      </c>
      <c r="L850" t="str">
        <f>_xlfn.XLOOKUP(AllResponses[[#This Row],[QuestionID]], FinalQuestions!$A:$A, FinalQuestions!$D:$D,"")</f>
        <v>Sense of Ownership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237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238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239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240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249</v>
      </c>
      <c r="L855" t="str">
        <f>_xlfn.XLOOKUP(AllResponses[[#This Row],[QuestionID]], FinalQuestions!$A:$A, FinalQuestions!$D:$D,"")</f>
        <v>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250</v>
      </c>
      <c r="L856" t="str">
        <f>_xlfn.XLOOKUP(AllResponses[[#This Row],[QuestionID]], FinalQuestions!$A:$A, FinalQuestions!$D:$D,"")</f>
        <v>Transparency in Decision‑Making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251</v>
      </c>
      <c r="L857" t="str">
        <f>_xlfn.XLOOKUP(AllResponses[[#This Row],[QuestionID]], FinalQuestions!$A:$A, FinalQuestions!$D:$D,"")</f>
        <v>Fairness &amp; Equity of Expectations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252</v>
      </c>
      <c r="L858" t="str">
        <f>_xlfn.XLOOKUP(AllResponses[[#This Row],[QuestionID]], FinalQuestions!$A:$A, FinalQuestions!$D:$D,"")</f>
        <v>Leadership Awareness in the team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241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242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243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244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245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246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247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248</v>
      </c>
      <c r="L866" t="str">
        <f>_xlfn.XLOOKUP(AllResponses[[#This Row],[QuestionID]], FinalQuestions!$A:$A, FinalQuestions!$D:$D,"")</f>
        <v>Consistency of Conduct Enforcement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B17" sqref="B17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75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78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72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75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75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75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74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Master Question Bank</vt:lpstr>
      <vt:lpstr>FinalQuestions</vt:lpstr>
      <vt:lpstr>Sheet2</vt:lpstr>
      <vt:lpstr>Responses</vt:lpstr>
      <vt:lpstr>Function_SC</vt:lpstr>
      <vt:lpstr>Sheet1</vt:lpstr>
      <vt:lpstr>Culture_Risk_Index</vt:lpstr>
      <vt:lpstr>Sector benchmark score</vt:lpstr>
      <vt:lpstr>Summary</vt:lpstr>
      <vt:lpstr>SOFT CONTROL SCORECARD</vt:lpstr>
      <vt:lpstr>SurveyForm</vt:lpstr>
      <vt:lpstr>Functions</vt:lpstr>
      <vt:lpstr>Dimension Sheet</vt:lpstr>
      <vt:lpstr>Flagged_Qs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2026-04-20T11:33:50Z</dcterms:modified>
</cp:coreProperties>
</file>